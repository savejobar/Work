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05 Логистика\01. Департамент логистики\Внешняя логистика\Планирование\"/>
    </mc:Choice>
  </mc:AlternateContent>
  <xr:revisionPtr revIDLastSave="0" documentId="13_ncr:1_{94BA816A-4519-4E20-AF09-2CCA34F868BC}" xr6:coauthVersionLast="37" xr6:coauthVersionMax="37" xr10:uidLastSave="{00000000-0000-0000-0000-000000000000}"/>
  <bookViews>
    <workbookView xWindow="0" yWindow="105" windowWidth="28740" windowHeight="13245" activeTab="1" xr2:uid="{00000000-000D-0000-FFFF-FFFF00000000}"/>
  </bookViews>
  <sheets>
    <sheet name="Ввод 2026" sheetId="16" r:id="rId1"/>
    <sheet name="31.01.26" sheetId="15" r:id="rId2"/>
    <sheet name="Ввод 2025" sheetId="5" r:id="rId3"/>
    <sheet name="31.12.24" sheetId="7" r:id="rId4"/>
    <sheet name="31.01.25" sheetId="8" r:id="rId5"/>
    <sheet name="28.02.25" sheetId="9" r:id="rId6"/>
    <sheet name="31.03.25" sheetId="10" r:id="rId7"/>
    <sheet name="30.04.25" sheetId="11" r:id="rId8"/>
    <sheet name="31.05.25" sheetId="12" r:id="rId9"/>
    <sheet name="30.06.25" sheetId="13" r:id="rId10"/>
    <sheet name="31.07.25" sheetId="6" r:id="rId11"/>
    <sheet name="31.08.25" sheetId="1" r:id="rId12"/>
    <sheet name="30.09.25" sheetId="2" r:id="rId13"/>
    <sheet name="31.10.25" sheetId="3" r:id="rId14"/>
    <sheet name="30.11.25" sheetId="4" r:id="rId15"/>
    <sheet name="31.12.25" sheetId="14" r:id="rId16"/>
  </sheets>
  <definedNames>
    <definedName name="_xlnm._FilterDatabase" localSheetId="2" hidden="1">'Ввод 2025'!$A$2:$AA$199</definedName>
    <definedName name="_xlnm._FilterDatabase" localSheetId="0" hidden="1">'Ввод 2026'!$A$2:$E$199</definedName>
  </definedNames>
  <calcPr calcId="179021"/>
</workbook>
</file>

<file path=xl/calcChain.xml><?xml version="1.0" encoding="utf-8"?>
<calcChain xmlns="http://schemas.openxmlformats.org/spreadsheetml/2006/main">
  <c r="AA143" i="5" l="1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7" i="16"/>
  <c r="C116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60" i="16"/>
  <c r="C61" i="16"/>
  <c r="C62" i="16"/>
  <c r="C63" i="16"/>
  <c r="C3" i="16"/>
  <c r="C4" i="16"/>
  <c r="C5" i="16"/>
  <c r="C6" i="16"/>
  <c r="C7" i="16"/>
  <c r="C8" i="16"/>
  <c r="C9" i="16"/>
  <c r="C10" i="16"/>
  <c r="C11" i="16"/>
  <c r="C59" i="16"/>
  <c r="B12" i="16"/>
  <c r="D12" i="16" s="1"/>
  <c r="B13" i="16"/>
  <c r="D13" i="16" s="1"/>
  <c r="B14" i="16"/>
  <c r="D14" i="16" s="1"/>
  <c r="B15" i="16"/>
  <c r="D15" i="16" s="1"/>
  <c r="B16" i="16"/>
  <c r="D16" i="16" s="1"/>
  <c r="B17" i="16"/>
  <c r="B18" i="16"/>
  <c r="B19" i="16"/>
  <c r="B20" i="16"/>
  <c r="B21" i="16"/>
  <c r="B22" i="16"/>
  <c r="B23" i="16"/>
  <c r="B24" i="16"/>
  <c r="D24" i="16" s="1"/>
  <c r="B25" i="16"/>
  <c r="D25" i="16" s="1"/>
  <c r="B26" i="16"/>
  <c r="D26" i="16" s="1"/>
  <c r="B27" i="16"/>
  <c r="D27" i="16" s="1"/>
  <c r="B28" i="16"/>
  <c r="D28" i="16" s="1"/>
  <c r="B29" i="16"/>
  <c r="B30" i="16"/>
  <c r="B31" i="16"/>
  <c r="B32" i="16"/>
  <c r="B33" i="16"/>
  <c r="B34" i="16"/>
  <c r="B35" i="16"/>
  <c r="B36" i="16"/>
  <c r="D36" i="16" s="1"/>
  <c r="B37" i="16"/>
  <c r="D37" i="16" s="1"/>
  <c r="B38" i="16"/>
  <c r="D38" i="16" s="1"/>
  <c r="B39" i="16"/>
  <c r="D39" i="16" s="1"/>
  <c r="B40" i="16"/>
  <c r="B41" i="16"/>
  <c r="B42" i="16"/>
  <c r="B43" i="16"/>
  <c r="B44" i="16"/>
  <c r="B45" i="16"/>
  <c r="B46" i="16"/>
  <c r="B47" i="16"/>
  <c r="B48" i="16"/>
  <c r="B49" i="16"/>
  <c r="D49" i="16" s="1"/>
  <c r="B50" i="16"/>
  <c r="B51" i="16"/>
  <c r="B52" i="16"/>
  <c r="B53" i="16"/>
  <c r="B54" i="16"/>
  <c r="B55" i="16"/>
  <c r="B56" i="16"/>
  <c r="B57" i="16"/>
  <c r="B58" i="16"/>
  <c r="B64" i="16"/>
  <c r="B65" i="16"/>
  <c r="B66" i="16"/>
  <c r="D66" i="16" s="1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7" i="16"/>
  <c r="B116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60" i="16"/>
  <c r="B61" i="16"/>
  <c r="B62" i="16"/>
  <c r="B63" i="16"/>
  <c r="B3" i="16"/>
  <c r="B4" i="16"/>
  <c r="B5" i="16"/>
  <c r="B6" i="16"/>
  <c r="B7" i="16"/>
  <c r="B8" i="16"/>
  <c r="B9" i="16"/>
  <c r="B10" i="16"/>
  <c r="B11" i="16"/>
  <c r="B59" i="16"/>
  <c r="D143" i="16"/>
  <c r="D80" i="16" l="1"/>
  <c r="D68" i="16"/>
  <c r="D151" i="16"/>
  <c r="D138" i="16"/>
  <c r="D126" i="16"/>
  <c r="D114" i="16"/>
  <c r="D102" i="16"/>
  <c r="D90" i="16"/>
  <c r="D78" i="16"/>
  <c r="D178" i="16"/>
  <c r="D166" i="16"/>
  <c r="D154" i="16"/>
  <c r="D141" i="16"/>
  <c r="D129" i="16"/>
  <c r="D116" i="16"/>
  <c r="D93" i="16"/>
  <c r="D81" i="16"/>
  <c r="D69" i="16"/>
  <c r="D40" i="16"/>
  <c r="D197" i="16"/>
  <c r="D185" i="16"/>
  <c r="D173" i="16"/>
  <c r="D161" i="16"/>
  <c r="D149" i="16"/>
  <c r="D187" i="16"/>
  <c r="D175" i="16"/>
  <c r="D163" i="16"/>
  <c r="D158" i="16"/>
  <c r="D44" i="16"/>
  <c r="D20" i="16"/>
  <c r="D177" i="16"/>
  <c r="D165" i="16"/>
  <c r="D153" i="16"/>
  <c r="D140" i="16"/>
  <c r="D128" i="16"/>
  <c r="D117" i="16"/>
  <c r="D104" i="16"/>
  <c r="D92" i="16"/>
  <c r="D164" i="16"/>
  <c r="D152" i="16"/>
  <c r="D139" i="16"/>
  <c r="D127" i="16"/>
  <c r="D115" i="16"/>
  <c r="D103" i="16"/>
  <c r="D91" i="16"/>
  <c r="D79" i="16"/>
  <c r="D67" i="16"/>
  <c r="D50" i="16"/>
  <c r="D146" i="16"/>
  <c r="D85" i="16"/>
  <c r="D32" i="16"/>
  <c r="D133" i="16"/>
  <c r="D121" i="16"/>
  <c r="D109" i="16"/>
  <c r="D97" i="16"/>
  <c r="D73" i="16"/>
  <c r="D56" i="16"/>
  <c r="D57" i="16"/>
  <c r="D98" i="16"/>
  <c r="D33" i="16"/>
  <c r="D134" i="16"/>
  <c r="D122" i="16"/>
  <c r="D110" i="16"/>
  <c r="D86" i="16"/>
  <c r="D74" i="16"/>
  <c r="D45" i="16"/>
  <c r="D123" i="16"/>
  <c r="D99" i="16"/>
  <c r="D87" i="16"/>
  <c r="D58" i="16"/>
  <c r="D34" i="16"/>
  <c r="D22" i="16"/>
  <c r="D120" i="16"/>
  <c r="D108" i="16"/>
  <c r="D96" i="16"/>
  <c r="D72" i="16"/>
  <c r="D55" i="16"/>
  <c r="D43" i="16"/>
  <c r="D31" i="16"/>
  <c r="D19" i="16"/>
  <c r="D155" i="16"/>
  <c r="D142" i="16"/>
  <c r="D171" i="16"/>
  <c r="D191" i="16"/>
  <c r="D179" i="16"/>
  <c r="D130" i="16"/>
  <c r="D118" i="16"/>
  <c r="D82" i="16"/>
  <c r="D53" i="16"/>
  <c r="D41" i="16"/>
  <c r="D17" i="16"/>
  <c r="D3" i="16"/>
  <c r="D192" i="16"/>
  <c r="D180" i="16"/>
  <c r="D168" i="16"/>
  <c r="D144" i="16"/>
  <c r="D119" i="16"/>
  <c r="D107" i="16"/>
  <c r="D95" i="16"/>
  <c r="D83" i="16"/>
  <c r="D71" i="16"/>
  <c r="D54" i="16"/>
  <c r="D42" i="16"/>
  <c r="D18" i="16"/>
  <c r="D30" i="16"/>
  <c r="D9" i="16"/>
  <c r="D198" i="16"/>
  <c r="D186" i="16"/>
  <c r="D162" i="16"/>
  <c r="D150" i="16"/>
  <c r="D137" i="16"/>
  <c r="D125" i="16"/>
  <c r="D113" i="16"/>
  <c r="D101" i="16"/>
  <c r="D89" i="16"/>
  <c r="D77" i="16"/>
  <c r="D65" i="16"/>
  <c r="D48" i="16"/>
  <c r="D174" i="16"/>
  <c r="D157" i="16"/>
  <c r="D52" i="16"/>
  <c r="D169" i="16"/>
  <c r="D51" i="16"/>
  <c r="D167" i="16"/>
  <c r="D193" i="16"/>
  <c r="D29" i="16"/>
  <c r="D145" i="16"/>
  <c r="D181" i="16"/>
  <c r="C1" i="16"/>
  <c r="D76" i="16"/>
  <c r="D170" i="16"/>
  <c r="D21" i="16"/>
  <c r="D4" i="16"/>
  <c r="D11" i="16"/>
  <c r="D60" i="16"/>
  <c r="D176" i="16"/>
  <c r="D190" i="16"/>
  <c r="D160" i="16"/>
  <c r="D189" i="16"/>
  <c r="D188" i="16"/>
  <c r="D199" i="16"/>
  <c r="D100" i="16"/>
  <c r="D88" i="16"/>
  <c r="D47" i="16"/>
  <c r="D196" i="16"/>
  <c r="D184" i="16"/>
  <c r="D172" i="16"/>
  <c r="D148" i="16"/>
  <c r="D135" i="16"/>
  <c r="D195" i="16"/>
  <c r="D183" i="16"/>
  <c r="D147" i="16"/>
  <c r="D182" i="16"/>
  <c r="D59" i="16"/>
  <c r="D61" i="16"/>
  <c r="D10" i="16"/>
  <c r="D7" i="16"/>
  <c r="D23" i="16"/>
  <c r="D46" i="16"/>
  <c r="D112" i="16"/>
  <c r="D136" i="16"/>
  <c r="D35" i="16"/>
  <c r="D194" i="16"/>
  <c r="B1" i="16"/>
  <c r="D75" i="16"/>
  <c r="D159" i="16"/>
  <c r="D124" i="16"/>
  <c r="D111" i="16"/>
  <c r="D62" i="16"/>
  <c r="D8" i="16"/>
  <c r="D5" i="16"/>
  <c r="D63" i="16"/>
  <c r="D6" i="16"/>
  <c r="D94" i="16"/>
  <c r="D106" i="16"/>
  <c r="D132" i="16"/>
  <c r="D84" i="16"/>
  <c r="D64" i="16"/>
  <c r="D105" i="16"/>
  <c r="D131" i="16"/>
  <c r="D70" i="16"/>
  <c r="D156" i="16"/>
  <c r="Y56" i="5"/>
  <c r="AA56" i="5" s="1"/>
  <c r="Y4" i="5"/>
  <c r="Y5" i="5"/>
  <c r="Y6" i="5"/>
  <c r="Y7" i="5"/>
  <c r="Y8" i="5"/>
  <c r="Y9" i="5"/>
  <c r="Y10" i="5"/>
  <c r="Y11" i="5"/>
  <c r="Y12" i="5"/>
  <c r="Y13" i="5"/>
  <c r="Y14" i="5"/>
  <c r="AA14" i="5" s="1"/>
  <c r="Y15" i="5"/>
  <c r="Y16" i="5"/>
  <c r="Y17" i="5"/>
  <c r="AA17" i="5" s="1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AA34" i="5" s="1"/>
  <c r="Y35" i="5"/>
  <c r="AA35" i="5" s="1"/>
  <c r="Y36" i="5"/>
  <c r="Y37" i="5"/>
  <c r="AA37" i="5" s="1"/>
  <c r="Y38" i="5"/>
  <c r="Y39" i="5"/>
  <c r="AA39" i="5" s="1"/>
  <c r="Y40" i="5"/>
  <c r="Y41" i="5"/>
  <c r="Y42" i="5"/>
  <c r="Y43" i="5"/>
  <c r="AA43" i="5" s="1"/>
  <c r="Y44" i="5"/>
  <c r="Y45" i="5"/>
  <c r="Y46" i="5"/>
  <c r="Y47" i="5"/>
  <c r="Y48" i="5"/>
  <c r="Y49" i="5"/>
  <c r="Y50" i="5"/>
  <c r="Y51" i="5"/>
  <c r="Y52" i="5"/>
  <c r="Y53" i="5"/>
  <c r="Y54" i="5"/>
  <c r="Y55" i="5"/>
  <c r="Y57" i="5"/>
  <c r="AA57" i="5" s="1"/>
  <c r="Y58" i="5"/>
  <c r="AA58" i="5" s="1"/>
  <c r="Y59" i="5"/>
  <c r="Y60" i="5"/>
  <c r="Y61" i="5"/>
  <c r="Y62" i="5"/>
  <c r="Y63" i="5"/>
  <c r="AA63" i="5" s="1"/>
  <c r="Y64" i="5"/>
  <c r="Y65" i="5"/>
  <c r="Y66" i="5"/>
  <c r="AA66" i="5" s="1"/>
  <c r="Y67" i="5"/>
  <c r="AA67" i="5" s="1"/>
  <c r="Y68" i="5"/>
  <c r="AA68" i="5" s="1"/>
  <c r="Y69" i="5"/>
  <c r="Y70" i="5"/>
  <c r="Y71" i="5"/>
  <c r="Y72" i="5"/>
  <c r="Y73" i="5"/>
  <c r="Y74" i="5"/>
  <c r="Y75" i="5"/>
  <c r="Y76" i="5"/>
  <c r="Y77" i="5"/>
  <c r="AA77" i="5" s="1"/>
  <c r="Y78" i="5"/>
  <c r="Y79" i="5"/>
  <c r="AA79" i="5" s="1"/>
  <c r="Y80" i="5"/>
  <c r="AA80" i="5" s="1"/>
  <c r="Y81" i="5"/>
  <c r="Y82" i="5"/>
  <c r="Y83" i="5"/>
  <c r="Y84" i="5"/>
  <c r="Y85" i="5"/>
  <c r="Y86" i="5"/>
  <c r="Y87" i="5"/>
  <c r="AA87" i="5" s="1"/>
  <c r="Y88" i="5"/>
  <c r="AA88" i="5" s="1"/>
  <c r="Y89" i="5"/>
  <c r="Y90" i="5"/>
  <c r="Y91" i="5"/>
  <c r="Y92" i="5"/>
  <c r="AA92" i="5" s="1"/>
  <c r="Y93" i="5"/>
  <c r="Y94" i="5"/>
  <c r="Y95" i="5"/>
  <c r="AA95" i="5" s="1"/>
  <c r="Y96" i="5"/>
  <c r="Y97" i="5"/>
  <c r="Y98" i="5"/>
  <c r="AA98" i="5" s="1"/>
  <c r="Y99" i="5"/>
  <c r="AA99" i="5" s="1"/>
  <c r="Y100" i="5"/>
  <c r="AA100" i="5" s="1"/>
  <c r="Y101" i="5"/>
  <c r="AA101" i="5" s="1"/>
  <c r="Y102" i="5"/>
  <c r="Y103" i="5"/>
  <c r="AA103" i="5" s="1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AA116" i="5" s="1"/>
  <c r="Y117" i="5"/>
  <c r="AA117" i="5" s="1"/>
  <c r="Y118" i="5"/>
  <c r="AA118" i="5" s="1"/>
  <c r="Y119" i="5"/>
  <c r="AA119" i="5" s="1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AA142" i="5" s="1"/>
  <c r="Y144" i="5"/>
  <c r="AA144" i="5" s="1"/>
  <c r="Y145" i="5"/>
  <c r="AA145" i="5" s="1"/>
  <c r="Y146" i="5"/>
  <c r="AA146" i="5" s="1"/>
  <c r="Y147" i="5"/>
  <c r="AA147" i="5" s="1"/>
  <c r="Y148" i="5"/>
  <c r="AA148" i="5" s="1"/>
  <c r="Y149" i="5"/>
  <c r="AA149" i="5" s="1"/>
  <c r="Y150" i="5"/>
  <c r="AA150" i="5" s="1"/>
  <c r="Y151" i="5"/>
  <c r="AA151" i="5" s="1"/>
  <c r="Y152" i="5"/>
  <c r="Y153" i="5"/>
  <c r="Y154" i="5"/>
  <c r="Y155" i="5"/>
  <c r="AA155" i="5" s="1"/>
  <c r="Y156" i="5"/>
  <c r="Y157" i="5"/>
  <c r="AA157" i="5" s="1"/>
  <c r="Y158" i="5"/>
  <c r="AA158" i="5" s="1"/>
  <c r="Y159" i="5"/>
  <c r="Y160" i="5"/>
  <c r="AA160" i="5" s="1"/>
  <c r="Y161" i="5"/>
  <c r="AA161" i="5" s="1"/>
  <c r="Y162" i="5"/>
  <c r="AA162" i="5" s="1"/>
  <c r="Y163" i="5"/>
  <c r="Y164" i="5"/>
  <c r="AA164" i="5" s="1"/>
  <c r="Y165" i="5"/>
  <c r="AA165" i="5" s="1"/>
  <c r="Y166" i="5"/>
  <c r="Y167" i="5"/>
  <c r="AA167" i="5" s="1"/>
  <c r="Y168" i="5"/>
  <c r="AA168" i="5" s="1"/>
  <c r="Y169" i="5"/>
  <c r="AA169" i="5" s="1"/>
  <c r="Y170" i="5"/>
  <c r="Y171" i="5"/>
  <c r="AA171" i="5" s="1"/>
  <c r="Y172" i="5"/>
  <c r="Y173" i="5"/>
  <c r="Y174" i="5"/>
  <c r="AA174" i="5" s="1"/>
  <c r="Y175" i="5"/>
  <c r="AA175" i="5" s="1"/>
  <c r="Y176" i="5"/>
  <c r="Y177" i="5"/>
  <c r="Y178" i="5"/>
  <c r="Y179" i="5"/>
  <c r="AA179" i="5" s="1"/>
  <c r="Y180" i="5"/>
  <c r="AA180" i="5" s="1"/>
  <c r="Y181" i="5"/>
  <c r="AA181" i="5" s="1"/>
  <c r="Y182" i="5"/>
  <c r="AA182" i="5" s="1"/>
  <c r="Y183" i="5"/>
  <c r="AA183" i="5" s="1"/>
  <c r="Y184" i="5"/>
  <c r="AA184" i="5" s="1"/>
  <c r="Y185" i="5"/>
  <c r="AA185" i="5" s="1"/>
  <c r="Y186" i="5"/>
  <c r="AA186" i="5" s="1"/>
  <c r="Y187" i="5"/>
  <c r="AA187" i="5" s="1"/>
  <c r="Y188" i="5"/>
  <c r="AA188" i="5" s="1"/>
  <c r="Y189" i="5"/>
  <c r="AA189" i="5" s="1"/>
  <c r="Y190" i="5"/>
  <c r="AA190" i="5" s="1"/>
  <c r="Y191" i="5"/>
  <c r="Y192" i="5"/>
  <c r="AA192" i="5" s="1"/>
  <c r="Y193" i="5"/>
  <c r="AA193" i="5" s="1"/>
  <c r="Y194" i="5"/>
  <c r="Y195" i="5"/>
  <c r="AA195" i="5" s="1"/>
  <c r="Y196" i="5"/>
  <c r="AA196" i="5" s="1"/>
  <c r="Y197" i="5"/>
  <c r="AA197" i="5" s="1"/>
  <c r="Y198" i="5"/>
  <c r="AA198" i="5" s="1"/>
  <c r="Y199" i="5"/>
  <c r="AA199" i="5" s="1"/>
  <c r="Y3" i="5"/>
  <c r="D1" i="16" l="1"/>
  <c r="Y1" i="5"/>
  <c r="Z56" i="5"/>
  <c r="B20" i="5"/>
  <c r="AA20" i="5" s="1"/>
  <c r="B49" i="5"/>
  <c r="AA49" i="5" s="1"/>
  <c r="Z57" i="5" l="1"/>
  <c r="M20" i="5" l="1"/>
  <c r="M49" i="5"/>
  <c r="M21" i="5"/>
  <c r="M22" i="5"/>
  <c r="M50" i="5"/>
  <c r="M51" i="5"/>
  <c r="M23" i="5"/>
  <c r="M24" i="5"/>
  <c r="M25" i="5"/>
  <c r="M26" i="5"/>
  <c r="M27" i="5"/>
  <c r="M52" i="5"/>
  <c r="M31" i="5"/>
  <c r="M30" i="5"/>
  <c r="M3" i="5"/>
  <c r="M4" i="5"/>
  <c r="M5" i="5"/>
  <c r="M6" i="5"/>
  <c r="M7" i="5"/>
  <c r="M86" i="5"/>
  <c r="M91" i="5"/>
  <c r="M104" i="5"/>
  <c r="M105" i="5"/>
  <c r="M110" i="5"/>
  <c r="M111" i="5"/>
  <c r="M112" i="5"/>
  <c r="M113" i="5"/>
  <c r="M114" i="5"/>
  <c r="M115" i="5"/>
  <c r="M120" i="5"/>
  <c r="M121" i="5"/>
  <c r="M122" i="5"/>
  <c r="M172" i="5"/>
  <c r="M8" i="5"/>
  <c r="M9" i="5"/>
  <c r="M10" i="5"/>
  <c r="M11" i="5"/>
  <c r="M12" i="5"/>
  <c r="M13" i="5"/>
  <c r="M14" i="5"/>
  <c r="M15" i="5"/>
  <c r="M16" i="5"/>
  <c r="M17" i="5"/>
  <c r="M18" i="5"/>
  <c r="M19" i="5"/>
  <c r="M28" i="5"/>
  <c r="M29" i="5"/>
  <c r="M32" i="5"/>
  <c r="M33" i="5"/>
  <c r="P34" i="5"/>
  <c r="M35" i="5"/>
  <c r="M36" i="5"/>
  <c r="M37" i="5"/>
  <c r="M38" i="5"/>
  <c r="P39" i="5"/>
  <c r="M40" i="5"/>
  <c r="M41" i="5"/>
  <c r="M42" i="5"/>
  <c r="P43" i="5"/>
  <c r="M44" i="5"/>
  <c r="M45" i="5"/>
  <c r="M46" i="5"/>
  <c r="M47" i="5"/>
  <c r="M53" i="5"/>
  <c r="M54" i="5"/>
  <c r="M55" i="5"/>
  <c r="M58" i="5"/>
  <c r="M59" i="5"/>
  <c r="M60" i="5"/>
  <c r="M61" i="5"/>
  <c r="M62" i="5"/>
  <c r="M64" i="5"/>
  <c r="M65" i="5"/>
  <c r="M139" i="5"/>
  <c r="M140" i="5"/>
  <c r="M141" i="5"/>
  <c r="M69" i="5"/>
  <c r="M70" i="5"/>
  <c r="M71" i="5"/>
  <c r="M72" i="5"/>
  <c r="M73" i="5"/>
  <c r="M74" i="5"/>
  <c r="M75" i="5"/>
  <c r="M76" i="5"/>
  <c r="M78" i="5"/>
  <c r="P79" i="5"/>
  <c r="M81" i="5"/>
  <c r="M82" i="5"/>
  <c r="M83" i="5"/>
  <c r="M84" i="5"/>
  <c r="M85" i="5"/>
  <c r="M87" i="5"/>
  <c r="M88" i="5"/>
  <c r="M89" i="5"/>
  <c r="M90" i="5"/>
  <c r="M93" i="5"/>
  <c r="M94" i="5"/>
  <c r="M96" i="5"/>
  <c r="M97" i="5"/>
  <c r="M98" i="5"/>
  <c r="M99" i="5"/>
  <c r="M100" i="5"/>
  <c r="M101" i="5"/>
  <c r="M102" i="5"/>
  <c r="P103" i="5"/>
  <c r="M106" i="5"/>
  <c r="M107" i="5"/>
  <c r="M108" i="5"/>
  <c r="M109" i="5"/>
  <c r="P116" i="5"/>
  <c r="P119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52" i="5"/>
  <c r="M153" i="5"/>
  <c r="M154" i="5"/>
  <c r="M156" i="5"/>
  <c r="M159" i="5"/>
  <c r="M163" i="5"/>
  <c r="M166" i="5"/>
  <c r="M170" i="5"/>
  <c r="M173" i="5"/>
  <c r="M183" i="5"/>
  <c r="M189" i="5"/>
  <c r="M190" i="5"/>
  <c r="M191" i="5"/>
  <c r="M192" i="5"/>
  <c r="M193" i="5"/>
  <c r="M196" i="5"/>
  <c r="M197" i="5"/>
  <c r="M199" i="5"/>
  <c r="M176" i="5"/>
  <c r="M177" i="5"/>
  <c r="M194" i="5"/>
  <c r="M178" i="5"/>
  <c r="M48" i="5"/>
  <c r="K20" i="5"/>
  <c r="K49" i="5"/>
  <c r="K21" i="5"/>
  <c r="K22" i="5"/>
  <c r="K50" i="5"/>
  <c r="K51" i="5"/>
  <c r="K23" i="5"/>
  <c r="K24" i="5"/>
  <c r="K25" i="5"/>
  <c r="K26" i="5"/>
  <c r="K27" i="5"/>
  <c r="K52" i="5"/>
  <c r="K31" i="5"/>
  <c r="K30" i="5"/>
  <c r="K3" i="5"/>
  <c r="K4" i="5"/>
  <c r="K5" i="5"/>
  <c r="K6" i="5"/>
  <c r="K7" i="5"/>
  <c r="K86" i="5"/>
  <c r="K91" i="5"/>
  <c r="K104" i="5"/>
  <c r="K105" i="5"/>
  <c r="K110" i="5"/>
  <c r="K111" i="5"/>
  <c r="K112" i="5"/>
  <c r="K113" i="5"/>
  <c r="K114" i="5"/>
  <c r="K115" i="5"/>
  <c r="K120" i="5"/>
  <c r="K121" i="5"/>
  <c r="K122" i="5"/>
  <c r="K172" i="5"/>
  <c r="K8" i="5"/>
  <c r="K9" i="5"/>
  <c r="K10" i="5"/>
  <c r="K11" i="5"/>
  <c r="K12" i="5"/>
  <c r="K13" i="5"/>
  <c r="K14" i="5"/>
  <c r="K15" i="5"/>
  <c r="K16" i="5"/>
  <c r="K17" i="5"/>
  <c r="K18" i="5"/>
  <c r="K19" i="5"/>
  <c r="K28" i="5"/>
  <c r="K29" i="5"/>
  <c r="K32" i="5"/>
  <c r="K33" i="5"/>
  <c r="K35" i="5"/>
  <c r="K36" i="5"/>
  <c r="K37" i="5"/>
  <c r="K38" i="5"/>
  <c r="K40" i="5"/>
  <c r="K41" i="5"/>
  <c r="K42" i="5"/>
  <c r="K44" i="5"/>
  <c r="K45" i="5"/>
  <c r="K46" i="5"/>
  <c r="K47" i="5"/>
  <c r="K53" i="5"/>
  <c r="K54" i="5"/>
  <c r="K55" i="5"/>
  <c r="K58" i="5"/>
  <c r="K59" i="5"/>
  <c r="K60" i="5"/>
  <c r="K61" i="5"/>
  <c r="K62" i="5"/>
  <c r="K64" i="5"/>
  <c r="K65" i="5"/>
  <c r="K139" i="5"/>
  <c r="K140" i="5"/>
  <c r="K141" i="5"/>
  <c r="K69" i="5"/>
  <c r="K70" i="5"/>
  <c r="K71" i="5"/>
  <c r="K72" i="5"/>
  <c r="K73" i="5"/>
  <c r="K74" i="5"/>
  <c r="K75" i="5"/>
  <c r="K76" i="5"/>
  <c r="K78" i="5"/>
  <c r="K81" i="5"/>
  <c r="K82" i="5"/>
  <c r="K83" i="5"/>
  <c r="K84" i="5"/>
  <c r="K85" i="5"/>
  <c r="K87" i="5"/>
  <c r="K88" i="5"/>
  <c r="K89" i="5"/>
  <c r="K90" i="5"/>
  <c r="K93" i="5"/>
  <c r="K94" i="5"/>
  <c r="K96" i="5"/>
  <c r="K97" i="5"/>
  <c r="K98" i="5"/>
  <c r="K99" i="5"/>
  <c r="K100" i="5"/>
  <c r="K101" i="5"/>
  <c r="K102" i="5"/>
  <c r="K106" i="5"/>
  <c r="K107" i="5"/>
  <c r="K108" i="5"/>
  <c r="K109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52" i="5"/>
  <c r="K153" i="5"/>
  <c r="K154" i="5"/>
  <c r="K156" i="5"/>
  <c r="K159" i="5"/>
  <c r="K163" i="5"/>
  <c r="K166" i="5"/>
  <c r="K170" i="5"/>
  <c r="K173" i="5"/>
  <c r="K189" i="5"/>
  <c r="K190" i="5"/>
  <c r="K191" i="5"/>
  <c r="K193" i="5"/>
  <c r="K196" i="5"/>
  <c r="K199" i="5"/>
  <c r="K176" i="5"/>
  <c r="K177" i="5"/>
  <c r="K194" i="5"/>
  <c r="K178" i="5"/>
  <c r="K48" i="5"/>
  <c r="I20" i="5"/>
  <c r="I49" i="5"/>
  <c r="I21" i="5"/>
  <c r="I22" i="5"/>
  <c r="I50" i="5"/>
  <c r="I51" i="5"/>
  <c r="I23" i="5"/>
  <c r="I24" i="5"/>
  <c r="I25" i="5"/>
  <c r="I26" i="5"/>
  <c r="I27" i="5"/>
  <c r="I52" i="5"/>
  <c r="I31" i="5"/>
  <c r="I30" i="5"/>
  <c r="I3" i="5"/>
  <c r="I4" i="5"/>
  <c r="I5" i="5"/>
  <c r="I6" i="5"/>
  <c r="I7" i="5"/>
  <c r="I86" i="5"/>
  <c r="I91" i="5"/>
  <c r="I104" i="5"/>
  <c r="I105" i="5"/>
  <c r="I110" i="5"/>
  <c r="I111" i="5"/>
  <c r="I112" i="5"/>
  <c r="I113" i="5"/>
  <c r="I114" i="5"/>
  <c r="I115" i="5"/>
  <c r="I120" i="5"/>
  <c r="I121" i="5"/>
  <c r="I122" i="5"/>
  <c r="I172" i="5"/>
  <c r="I8" i="5"/>
  <c r="I9" i="5"/>
  <c r="I10" i="5"/>
  <c r="I11" i="5"/>
  <c r="I12" i="5"/>
  <c r="I13" i="5"/>
  <c r="I14" i="5"/>
  <c r="I15" i="5"/>
  <c r="I16" i="5"/>
  <c r="I17" i="5"/>
  <c r="I18" i="5"/>
  <c r="I19" i="5"/>
  <c r="I28" i="5"/>
  <c r="I29" i="5"/>
  <c r="I32" i="5"/>
  <c r="I33" i="5"/>
  <c r="I36" i="5"/>
  <c r="I37" i="5"/>
  <c r="I38" i="5"/>
  <c r="I40" i="5"/>
  <c r="I41" i="5"/>
  <c r="I42" i="5"/>
  <c r="I44" i="5"/>
  <c r="I45" i="5"/>
  <c r="I46" i="5"/>
  <c r="I47" i="5"/>
  <c r="I53" i="5"/>
  <c r="I54" i="5"/>
  <c r="I55" i="5"/>
  <c r="I59" i="5"/>
  <c r="I60" i="5"/>
  <c r="I61" i="5"/>
  <c r="I62" i="5"/>
  <c r="I64" i="5"/>
  <c r="I65" i="5"/>
  <c r="I139" i="5"/>
  <c r="I140" i="5"/>
  <c r="I141" i="5"/>
  <c r="I69" i="5"/>
  <c r="I70" i="5"/>
  <c r="I71" i="5"/>
  <c r="I72" i="5"/>
  <c r="I73" i="5"/>
  <c r="I74" i="5"/>
  <c r="I75" i="5"/>
  <c r="I76" i="5"/>
  <c r="I78" i="5"/>
  <c r="I81" i="5"/>
  <c r="I82" i="5"/>
  <c r="I83" i="5"/>
  <c r="I84" i="5"/>
  <c r="I85" i="5"/>
  <c r="I87" i="5"/>
  <c r="I88" i="5"/>
  <c r="I89" i="5"/>
  <c r="I90" i="5"/>
  <c r="I93" i="5"/>
  <c r="I94" i="5"/>
  <c r="I96" i="5"/>
  <c r="I97" i="5"/>
  <c r="I98" i="5"/>
  <c r="I99" i="5"/>
  <c r="I100" i="5"/>
  <c r="I101" i="5"/>
  <c r="I102" i="5"/>
  <c r="I106" i="5"/>
  <c r="I107" i="5"/>
  <c r="I108" i="5"/>
  <c r="I109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52" i="5"/>
  <c r="I153" i="5"/>
  <c r="I154" i="5"/>
  <c r="I156" i="5"/>
  <c r="I159" i="5"/>
  <c r="I163" i="5"/>
  <c r="I166" i="5"/>
  <c r="I170" i="5"/>
  <c r="I173" i="5"/>
  <c r="L182" i="5"/>
  <c r="I189" i="5"/>
  <c r="I191" i="5"/>
  <c r="I193" i="5"/>
  <c r="I199" i="5"/>
  <c r="I176" i="5"/>
  <c r="I177" i="5"/>
  <c r="I194" i="5"/>
  <c r="I178" i="5"/>
  <c r="I48" i="5"/>
  <c r="G20" i="5"/>
  <c r="G49" i="5"/>
  <c r="G21" i="5"/>
  <c r="G22" i="5"/>
  <c r="G50" i="5"/>
  <c r="G51" i="5"/>
  <c r="G23" i="5"/>
  <c r="G24" i="5"/>
  <c r="G25" i="5"/>
  <c r="G26" i="5"/>
  <c r="G27" i="5"/>
  <c r="G52" i="5"/>
  <c r="G31" i="5"/>
  <c r="G30" i="5"/>
  <c r="G3" i="5"/>
  <c r="G4" i="5"/>
  <c r="G5" i="5"/>
  <c r="G6" i="5"/>
  <c r="G7" i="5"/>
  <c r="G86" i="5"/>
  <c r="G91" i="5"/>
  <c r="G104" i="5"/>
  <c r="G105" i="5"/>
  <c r="G110" i="5"/>
  <c r="G111" i="5"/>
  <c r="G112" i="5"/>
  <c r="G113" i="5"/>
  <c r="G114" i="5"/>
  <c r="G115" i="5"/>
  <c r="G120" i="5"/>
  <c r="G121" i="5"/>
  <c r="G122" i="5"/>
  <c r="G172" i="5"/>
  <c r="G8" i="5"/>
  <c r="G9" i="5"/>
  <c r="G10" i="5"/>
  <c r="G11" i="5"/>
  <c r="G12" i="5"/>
  <c r="G13" i="5"/>
  <c r="G14" i="5"/>
  <c r="G15" i="5"/>
  <c r="G16" i="5"/>
  <c r="G18" i="5"/>
  <c r="G19" i="5"/>
  <c r="G28" i="5"/>
  <c r="G29" i="5"/>
  <c r="G32" i="5"/>
  <c r="G33" i="5"/>
  <c r="G36" i="5"/>
  <c r="G37" i="5"/>
  <c r="G38" i="5"/>
  <c r="G40" i="5"/>
  <c r="G41" i="5"/>
  <c r="G42" i="5"/>
  <c r="G44" i="5"/>
  <c r="G45" i="5"/>
  <c r="G46" i="5"/>
  <c r="G47" i="5"/>
  <c r="G53" i="5"/>
  <c r="G54" i="5"/>
  <c r="G55" i="5"/>
  <c r="G59" i="5"/>
  <c r="G60" i="5"/>
  <c r="G61" i="5"/>
  <c r="G62" i="5"/>
  <c r="G64" i="5"/>
  <c r="G65" i="5"/>
  <c r="G139" i="5"/>
  <c r="G140" i="5"/>
  <c r="G141" i="5"/>
  <c r="G69" i="5"/>
  <c r="G70" i="5"/>
  <c r="G71" i="5"/>
  <c r="G72" i="5"/>
  <c r="G73" i="5"/>
  <c r="G74" i="5"/>
  <c r="G75" i="5"/>
  <c r="G76" i="5"/>
  <c r="G78" i="5"/>
  <c r="G81" i="5"/>
  <c r="G82" i="5"/>
  <c r="G83" i="5"/>
  <c r="G84" i="5"/>
  <c r="G85" i="5"/>
  <c r="G87" i="5"/>
  <c r="G88" i="5"/>
  <c r="G89" i="5"/>
  <c r="G90" i="5"/>
  <c r="G93" i="5"/>
  <c r="G94" i="5"/>
  <c r="G96" i="5"/>
  <c r="G97" i="5"/>
  <c r="G98" i="5"/>
  <c r="G99" i="5"/>
  <c r="G100" i="5"/>
  <c r="G101" i="5"/>
  <c r="G102" i="5"/>
  <c r="G106" i="5"/>
  <c r="G107" i="5"/>
  <c r="G108" i="5"/>
  <c r="G109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52" i="5"/>
  <c r="G153" i="5"/>
  <c r="G154" i="5"/>
  <c r="G156" i="5"/>
  <c r="G159" i="5"/>
  <c r="G163" i="5"/>
  <c r="G166" i="5"/>
  <c r="G170" i="5"/>
  <c r="G173" i="5"/>
  <c r="G191" i="5"/>
  <c r="G199" i="5"/>
  <c r="G176" i="5"/>
  <c r="G177" i="5"/>
  <c r="G194" i="5"/>
  <c r="G178" i="5"/>
  <c r="G48" i="5"/>
  <c r="E20" i="5"/>
  <c r="E49" i="5"/>
  <c r="E21" i="5"/>
  <c r="E22" i="5"/>
  <c r="E50" i="5"/>
  <c r="E51" i="5"/>
  <c r="E23" i="5"/>
  <c r="E24" i="5"/>
  <c r="E25" i="5"/>
  <c r="E26" i="5"/>
  <c r="E27" i="5"/>
  <c r="E52" i="5"/>
  <c r="E31" i="5"/>
  <c r="E30" i="5"/>
  <c r="E3" i="5"/>
  <c r="E4" i="5"/>
  <c r="E5" i="5"/>
  <c r="E6" i="5"/>
  <c r="E7" i="5"/>
  <c r="E86" i="5"/>
  <c r="E91" i="5"/>
  <c r="E104" i="5"/>
  <c r="E105" i="5"/>
  <c r="E110" i="5"/>
  <c r="E111" i="5"/>
  <c r="E112" i="5"/>
  <c r="E113" i="5"/>
  <c r="E114" i="5"/>
  <c r="E115" i="5"/>
  <c r="E120" i="5"/>
  <c r="E121" i="5"/>
  <c r="E122" i="5"/>
  <c r="E172" i="5"/>
  <c r="E8" i="5"/>
  <c r="E9" i="5"/>
  <c r="E10" i="5"/>
  <c r="E11" i="5"/>
  <c r="E12" i="5"/>
  <c r="E13" i="5"/>
  <c r="E14" i="5"/>
  <c r="E15" i="5"/>
  <c r="E16" i="5"/>
  <c r="E18" i="5"/>
  <c r="E19" i="5"/>
  <c r="E28" i="5"/>
  <c r="E29" i="5"/>
  <c r="E32" i="5"/>
  <c r="E33" i="5"/>
  <c r="E36" i="5"/>
  <c r="E38" i="5"/>
  <c r="E40" i="5"/>
  <c r="E41" i="5"/>
  <c r="E42" i="5"/>
  <c r="E44" i="5"/>
  <c r="E45" i="5"/>
  <c r="E46" i="5"/>
  <c r="E47" i="5"/>
  <c r="E53" i="5"/>
  <c r="E54" i="5"/>
  <c r="E55" i="5"/>
  <c r="E59" i="5"/>
  <c r="E60" i="5"/>
  <c r="E61" i="5"/>
  <c r="E62" i="5"/>
  <c r="E64" i="5"/>
  <c r="E65" i="5"/>
  <c r="E139" i="5"/>
  <c r="E140" i="5"/>
  <c r="E141" i="5"/>
  <c r="F68" i="5"/>
  <c r="E69" i="5"/>
  <c r="E70" i="5"/>
  <c r="E71" i="5"/>
  <c r="E72" i="5"/>
  <c r="E73" i="5"/>
  <c r="E74" i="5"/>
  <c r="E75" i="5"/>
  <c r="E76" i="5"/>
  <c r="E78" i="5"/>
  <c r="E81" i="5"/>
  <c r="E82" i="5"/>
  <c r="E83" i="5"/>
  <c r="E84" i="5"/>
  <c r="E85" i="5"/>
  <c r="E87" i="5"/>
  <c r="E88" i="5"/>
  <c r="E89" i="5"/>
  <c r="E90" i="5"/>
  <c r="F92" i="5"/>
  <c r="E93" i="5"/>
  <c r="E94" i="5"/>
  <c r="E96" i="5"/>
  <c r="E97" i="5"/>
  <c r="E98" i="5"/>
  <c r="E99" i="5"/>
  <c r="E100" i="5"/>
  <c r="F100" i="5" s="1"/>
  <c r="E101" i="5"/>
  <c r="E102" i="5"/>
  <c r="E106" i="5"/>
  <c r="E107" i="5"/>
  <c r="E108" i="5"/>
  <c r="E109" i="5"/>
  <c r="F116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F142" i="5"/>
  <c r="F146" i="5"/>
  <c r="F150" i="5"/>
  <c r="E152" i="5"/>
  <c r="E153" i="5"/>
  <c r="E154" i="5"/>
  <c r="E156" i="5"/>
  <c r="F158" i="5"/>
  <c r="E159" i="5"/>
  <c r="F162" i="5"/>
  <c r="E163" i="5"/>
  <c r="E166" i="5"/>
  <c r="E170" i="5"/>
  <c r="E173" i="5"/>
  <c r="F175" i="5"/>
  <c r="F182" i="5"/>
  <c r="F186" i="5"/>
  <c r="E191" i="5"/>
  <c r="E176" i="5"/>
  <c r="E177" i="5"/>
  <c r="E194" i="5"/>
  <c r="E178" i="5"/>
  <c r="E48" i="5"/>
  <c r="C20" i="5"/>
  <c r="C49" i="5"/>
  <c r="C21" i="5"/>
  <c r="C22" i="5"/>
  <c r="C50" i="5"/>
  <c r="C51" i="5"/>
  <c r="C23" i="5"/>
  <c r="C24" i="5"/>
  <c r="C25" i="5"/>
  <c r="C26" i="5"/>
  <c r="C27" i="5"/>
  <c r="C52" i="5"/>
  <c r="C31" i="5"/>
  <c r="C30" i="5"/>
  <c r="C3" i="5"/>
  <c r="C4" i="5"/>
  <c r="C5" i="5"/>
  <c r="C6" i="5"/>
  <c r="C7" i="5"/>
  <c r="C86" i="5"/>
  <c r="C91" i="5"/>
  <c r="C104" i="5"/>
  <c r="C105" i="5"/>
  <c r="C110" i="5"/>
  <c r="C111" i="5"/>
  <c r="C112" i="5"/>
  <c r="C113" i="5"/>
  <c r="C114" i="5"/>
  <c r="C115" i="5"/>
  <c r="C120" i="5"/>
  <c r="C121" i="5"/>
  <c r="C122" i="5"/>
  <c r="C172" i="5"/>
  <c r="C8" i="5"/>
  <c r="C9" i="5"/>
  <c r="C10" i="5"/>
  <c r="C11" i="5"/>
  <c r="C12" i="5"/>
  <c r="C13" i="5"/>
  <c r="C14" i="5"/>
  <c r="C15" i="5"/>
  <c r="C16" i="5"/>
  <c r="C18" i="5"/>
  <c r="C19" i="5"/>
  <c r="C28" i="5"/>
  <c r="C29" i="5"/>
  <c r="C32" i="5"/>
  <c r="C33" i="5"/>
  <c r="C36" i="5"/>
  <c r="C38" i="5"/>
  <c r="C40" i="5"/>
  <c r="C41" i="5"/>
  <c r="C42" i="5"/>
  <c r="C44" i="5"/>
  <c r="C45" i="5"/>
  <c r="C46" i="5"/>
  <c r="C47" i="5"/>
  <c r="C53" i="5"/>
  <c r="C54" i="5"/>
  <c r="C55" i="5"/>
  <c r="C59" i="5"/>
  <c r="C60" i="5"/>
  <c r="C61" i="5"/>
  <c r="C62" i="5"/>
  <c r="C64" i="5"/>
  <c r="C65" i="5"/>
  <c r="D67" i="5"/>
  <c r="C139" i="5"/>
  <c r="C140" i="5"/>
  <c r="C141" i="5"/>
  <c r="C69" i="5"/>
  <c r="C70" i="5"/>
  <c r="C71" i="5"/>
  <c r="C72" i="5"/>
  <c r="C73" i="5"/>
  <c r="C74" i="5"/>
  <c r="C75" i="5"/>
  <c r="C76" i="5"/>
  <c r="C78" i="5"/>
  <c r="D80" i="5"/>
  <c r="C81" i="5"/>
  <c r="C82" i="5"/>
  <c r="C83" i="5"/>
  <c r="C84" i="5"/>
  <c r="C85" i="5"/>
  <c r="C89" i="5"/>
  <c r="C90" i="5"/>
  <c r="C93" i="5"/>
  <c r="C94" i="5"/>
  <c r="C96" i="5"/>
  <c r="C97" i="5"/>
  <c r="D98" i="5"/>
  <c r="C102" i="5"/>
  <c r="C106" i="5"/>
  <c r="C107" i="5"/>
  <c r="C108" i="5"/>
  <c r="C109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52" i="5"/>
  <c r="C153" i="5"/>
  <c r="C154" i="5"/>
  <c r="C156" i="5"/>
  <c r="C159" i="5"/>
  <c r="C163" i="5"/>
  <c r="C166" i="5"/>
  <c r="C170" i="5"/>
  <c r="C173" i="5"/>
  <c r="C191" i="5"/>
  <c r="C176" i="5"/>
  <c r="C177" i="5"/>
  <c r="C194" i="5"/>
  <c r="C178" i="5"/>
  <c r="C48" i="5"/>
  <c r="B21" i="5"/>
  <c r="AA21" i="5" s="1"/>
  <c r="B22" i="5"/>
  <c r="AA22" i="5" s="1"/>
  <c r="B50" i="5"/>
  <c r="AA50" i="5" s="1"/>
  <c r="B51" i="5"/>
  <c r="AA51" i="5" s="1"/>
  <c r="B23" i="5"/>
  <c r="AA23" i="5" s="1"/>
  <c r="B24" i="5"/>
  <c r="AA24" i="5" s="1"/>
  <c r="B25" i="5"/>
  <c r="AA25" i="5" s="1"/>
  <c r="B26" i="5"/>
  <c r="AA26" i="5" s="1"/>
  <c r="B27" i="5"/>
  <c r="AA27" i="5" s="1"/>
  <c r="B52" i="5"/>
  <c r="AA52" i="5" s="1"/>
  <c r="B31" i="5"/>
  <c r="AA31" i="5" s="1"/>
  <c r="B30" i="5"/>
  <c r="AA30" i="5" s="1"/>
  <c r="B3" i="5"/>
  <c r="AA3" i="5" s="1"/>
  <c r="B4" i="5"/>
  <c r="AA4" i="5" s="1"/>
  <c r="B5" i="5"/>
  <c r="AA5" i="5" s="1"/>
  <c r="B6" i="5"/>
  <c r="AA6" i="5" s="1"/>
  <c r="B7" i="5"/>
  <c r="AA7" i="5" s="1"/>
  <c r="B86" i="5"/>
  <c r="AA86" i="5" s="1"/>
  <c r="B91" i="5"/>
  <c r="AA91" i="5" s="1"/>
  <c r="B104" i="5"/>
  <c r="AA104" i="5" s="1"/>
  <c r="B105" i="5"/>
  <c r="AA105" i="5" s="1"/>
  <c r="B110" i="5"/>
  <c r="AA110" i="5" s="1"/>
  <c r="B111" i="5"/>
  <c r="AA111" i="5" s="1"/>
  <c r="B112" i="5"/>
  <c r="AA112" i="5" s="1"/>
  <c r="B113" i="5"/>
  <c r="AA113" i="5" s="1"/>
  <c r="B114" i="5"/>
  <c r="AA114" i="5" s="1"/>
  <c r="B115" i="5"/>
  <c r="AA115" i="5" s="1"/>
  <c r="B120" i="5"/>
  <c r="AA120" i="5" s="1"/>
  <c r="B121" i="5"/>
  <c r="AA121" i="5" s="1"/>
  <c r="B122" i="5"/>
  <c r="AA122" i="5" s="1"/>
  <c r="B172" i="5"/>
  <c r="AA172" i="5" s="1"/>
  <c r="B8" i="5"/>
  <c r="AA8" i="5" s="1"/>
  <c r="B9" i="5"/>
  <c r="AA9" i="5" s="1"/>
  <c r="B10" i="5"/>
  <c r="AA10" i="5" s="1"/>
  <c r="B11" i="5"/>
  <c r="AA11" i="5" s="1"/>
  <c r="B12" i="5"/>
  <c r="AA12" i="5" s="1"/>
  <c r="B13" i="5"/>
  <c r="AA13" i="5" s="1"/>
  <c r="B15" i="5"/>
  <c r="AA15" i="5" s="1"/>
  <c r="B16" i="5"/>
  <c r="AA16" i="5" s="1"/>
  <c r="D17" i="5"/>
  <c r="B18" i="5"/>
  <c r="AA18" i="5" s="1"/>
  <c r="B19" i="5"/>
  <c r="AA19" i="5" s="1"/>
  <c r="B28" i="5"/>
  <c r="AA28" i="5" s="1"/>
  <c r="B29" i="5"/>
  <c r="AA29" i="5" s="1"/>
  <c r="B32" i="5"/>
  <c r="AA32" i="5" s="1"/>
  <c r="B33" i="5"/>
  <c r="AA33" i="5" s="1"/>
  <c r="D35" i="5"/>
  <c r="B36" i="5"/>
  <c r="AA36" i="5" s="1"/>
  <c r="B38" i="5"/>
  <c r="AA38" i="5" s="1"/>
  <c r="D39" i="5"/>
  <c r="B40" i="5"/>
  <c r="AA40" i="5" s="1"/>
  <c r="B41" i="5"/>
  <c r="AA41" i="5" s="1"/>
  <c r="B42" i="5"/>
  <c r="AA42" i="5" s="1"/>
  <c r="B44" i="5"/>
  <c r="AA44" i="5" s="1"/>
  <c r="B45" i="5"/>
  <c r="AA45" i="5" s="1"/>
  <c r="B46" i="5"/>
  <c r="AA46" i="5" s="1"/>
  <c r="B47" i="5"/>
  <c r="AA47" i="5" s="1"/>
  <c r="B53" i="5"/>
  <c r="AA53" i="5" s="1"/>
  <c r="B54" i="5"/>
  <c r="AA54" i="5" s="1"/>
  <c r="B55" i="5"/>
  <c r="AA55" i="5" s="1"/>
  <c r="B59" i="5"/>
  <c r="AA59" i="5" s="1"/>
  <c r="B60" i="5"/>
  <c r="AA60" i="5" s="1"/>
  <c r="B61" i="5"/>
  <c r="AA61" i="5" s="1"/>
  <c r="B62" i="5"/>
  <c r="AA62" i="5" s="1"/>
  <c r="B64" i="5"/>
  <c r="AA64" i="5" s="1"/>
  <c r="B65" i="5"/>
  <c r="AA65" i="5" s="1"/>
  <c r="B139" i="5"/>
  <c r="AA139" i="5" s="1"/>
  <c r="B140" i="5"/>
  <c r="AA140" i="5" s="1"/>
  <c r="B141" i="5"/>
  <c r="AA141" i="5" s="1"/>
  <c r="B69" i="5"/>
  <c r="AA69" i="5" s="1"/>
  <c r="B70" i="5"/>
  <c r="AA70" i="5" s="1"/>
  <c r="B71" i="5"/>
  <c r="AA71" i="5" s="1"/>
  <c r="B72" i="5"/>
  <c r="AA72" i="5" s="1"/>
  <c r="B73" i="5"/>
  <c r="AA73" i="5" s="1"/>
  <c r="B74" i="5"/>
  <c r="AA74" i="5" s="1"/>
  <c r="B75" i="5"/>
  <c r="AA75" i="5" s="1"/>
  <c r="B76" i="5"/>
  <c r="AA76" i="5" s="1"/>
  <c r="B78" i="5"/>
  <c r="AA78" i="5" s="1"/>
  <c r="B81" i="5"/>
  <c r="AA81" i="5" s="1"/>
  <c r="B82" i="5"/>
  <c r="AA82" i="5" s="1"/>
  <c r="B83" i="5"/>
  <c r="AA83" i="5" s="1"/>
  <c r="B84" i="5"/>
  <c r="AA84" i="5" s="1"/>
  <c r="B85" i="5"/>
  <c r="AA85" i="5" s="1"/>
  <c r="B89" i="5"/>
  <c r="AA89" i="5" s="1"/>
  <c r="B90" i="5"/>
  <c r="AA90" i="5" s="1"/>
  <c r="B93" i="5"/>
  <c r="AA93" i="5" s="1"/>
  <c r="B94" i="5"/>
  <c r="AA94" i="5" s="1"/>
  <c r="B96" i="5"/>
  <c r="AA96" i="5" s="1"/>
  <c r="B97" i="5"/>
  <c r="AA97" i="5" s="1"/>
  <c r="B102" i="5"/>
  <c r="AA102" i="5" s="1"/>
  <c r="B106" i="5"/>
  <c r="AA106" i="5" s="1"/>
  <c r="B107" i="5"/>
  <c r="AA107" i="5" s="1"/>
  <c r="B108" i="5"/>
  <c r="AA108" i="5" s="1"/>
  <c r="B109" i="5"/>
  <c r="AA109" i="5" s="1"/>
  <c r="B123" i="5"/>
  <c r="AA123" i="5" s="1"/>
  <c r="B124" i="5"/>
  <c r="AA124" i="5" s="1"/>
  <c r="B125" i="5"/>
  <c r="AA125" i="5" s="1"/>
  <c r="B126" i="5"/>
  <c r="AA126" i="5" s="1"/>
  <c r="B127" i="5"/>
  <c r="AA127" i="5" s="1"/>
  <c r="B128" i="5"/>
  <c r="AA128" i="5" s="1"/>
  <c r="B129" i="5"/>
  <c r="AA129" i="5" s="1"/>
  <c r="B130" i="5"/>
  <c r="AA130" i="5" s="1"/>
  <c r="B131" i="5"/>
  <c r="AA131" i="5" s="1"/>
  <c r="B132" i="5"/>
  <c r="AA132" i="5" s="1"/>
  <c r="B133" i="5"/>
  <c r="AA133" i="5" s="1"/>
  <c r="B134" i="5"/>
  <c r="AA134" i="5" s="1"/>
  <c r="B135" i="5"/>
  <c r="AA135" i="5" s="1"/>
  <c r="B136" i="5"/>
  <c r="AA136" i="5" s="1"/>
  <c r="B137" i="5"/>
  <c r="AA137" i="5" s="1"/>
  <c r="B138" i="5"/>
  <c r="AA138" i="5" s="1"/>
  <c r="B152" i="5"/>
  <c r="AA152" i="5" s="1"/>
  <c r="B153" i="5"/>
  <c r="AA153" i="5" s="1"/>
  <c r="B154" i="5"/>
  <c r="AA154" i="5" s="1"/>
  <c r="B156" i="5"/>
  <c r="AA156" i="5" s="1"/>
  <c r="B159" i="5"/>
  <c r="AA159" i="5" s="1"/>
  <c r="B163" i="5"/>
  <c r="AA163" i="5" s="1"/>
  <c r="B166" i="5"/>
  <c r="AA166" i="5" s="1"/>
  <c r="B170" i="5"/>
  <c r="AA170" i="5" s="1"/>
  <c r="B173" i="5"/>
  <c r="AA173" i="5" s="1"/>
  <c r="B191" i="5"/>
  <c r="AA191" i="5" s="1"/>
  <c r="B176" i="5"/>
  <c r="AA176" i="5" s="1"/>
  <c r="B177" i="5"/>
  <c r="AA177" i="5" s="1"/>
  <c r="B194" i="5"/>
  <c r="AA194" i="5" s="1"/>
  <c r="B178" i="5"/>
  <c r="AA178" i="5" s="1"/>
  <c r="B48" i="5"/>
  <c r="AA48" i="5" s="1"/>
  <c r="O20" i="5"/>
  <c r="P20" i="5" s="1"/>
  <c r="O49" i="5"/>
  <c r="P49" i="5" s="1"/>
  <c r="O21" i="5"/>
  <c r="P21" i="5" s="1"/>
  <c r="O22" i="5"/>
  <c r="O50" i="5"/>
  <c r="P50" i="5" s="1"/>
  <c r="O51" i="5"/>
  <c r="P51" i="5" s="1"/>
  <c r="O23" i="5"/>
  <c r="O24" i="5"/>
  <c r="O25" i="5"/>
  <c r="O26" i="5"/>
  <c r="O27" i="5"/>
  <c r="O52" i="5"/>
  <c r="O31" i="5"/>
  <c r="P31" i="5" s="1"/>
  <c r="O30" i="5"/>
  <c r="P30" i="5" s="1"/>
  <c r="O3" i="5"/>
  <c r="O4" i="5"/>
  <c r="O5" i="5"/>
  <c r="P5" i="5" s="1"/>
  <c r="O6" i="5"/>
  <c r="P6" i="5" s="1"/>
  <c r="O7" i="5"/>
  <c r="O86" i="5"/>
  <c r="O91" i="5"/>
  <c r="O104" i="5"/>
  <c r="O105" i="5"/>
  <c r="O110" i="5"/>
  <c r="O111" i="5"/>
  <c r="P111" i="5" s="1"/>
  <c r="O112" i="5"/>
  <c r="O113" i="5"/>
  <c r="P113" i="5" s="1"/>
  <c r="O114" i="5"/>
  <c r="O115" i="5"/>
  <c r="P115" i="5" s="1"/>
  <c r="O120" i="5"/>
  <c r="P120" i="5" s="1"/>
  <c r="O121" i="5"/>
  <c r="O122" i="5"/>
  <c r="O172" i="5"/>
  <c r="O8" i="5"/>
  <c r="O9" i="5"/>
  <c r="O10" i="5"/>
  <c r="O11" i="5"/>
  <c r="P11" i="5" s="1"/>
  <c r="O12" i="5"/>
  <c r="O13" i="5"/>
  <c r="P13" i="5" s="1"/>
  <c r="O14" i="5"/>
  <c r="O15" i="5"/>
  <c r="P15" i="5" s="1"/>
  <c r="O16" i="5"/>
  <c r="P16" i="5" s="1"/>
  <c r="O17" i="5"/>
  <c r="O18" i="5"/>
  <c r="O19" i="5"/>
  <c r="O28" i="5"/>
  <c r="O29" i="5"/>
  <c r="O32" i="5"/>
  <c r="O33" i="5"/>
  <c r="P33" i="5" s="1"/>
  <c r="O35" i="5"/>
  <c r="P35" i="5" s="1"/>
  <c r="O36" i="5"/>
  <c r="O37" i="5"/>
  <c r="P37" i="5" s="1"/>
  <c r="O38" i="5"/>
  <c r="P38" i="5" s="1"/>
  <c r="O40" i="5"/>
  <c r="O41" i="5"/>
  <c r="O42" i="5"/>
  <c r="O44" i="5"/>
  <c r="O45" i="5"/>
  <c r="P45" i="5" s="1"/>
  <c r="O46" i="5"/>
  <c r="O47" i="5"/>
  <c r="P47" i="5" s="1"/>
  <c r="O53" i="5"/>
  <c r="O54" i="5"/>
  <c r="P54" i="5" s="1"/>
  <c r="O55" i="5"/>
  <c r="P55" i="5" s="1"/>
  <c r="O58" i="5"/>
  <c r="O59" i="5"/>
  <c r="O60" i="5"/>
  <c r="O61" i="5"/>
  <c r="O62" i="5"/>
  <c r="O64" i="5"/>
  <c r="O65" i="5"/>
  <c r="P65" i="5" s="1"/>
  <c r="O66" i="5"/>
  <c r="P66" i="5" s="1"/>
  <c r="O139" i="5"/>
  <c r="O140" i="5"/>
  <c r="P140" i="5" s="1"/>
  <c r="O141" i="5"/>
  <c r="O69" i="5"/>
  <c r="P69" i="5" s="1"/>
  <c r="O70" i="5"/>
  <c r="P70" i="5" s="1"/>
  <c r="O71" i="5"/>
  <c r="O72" i="5"/>
  <c r="O73" i="5"/>
  <c r="O74" i="5"/>
  <c r="O75" i="5"/>
  <c r="O76" i="5"/>
  <c r="O77" i="5"/>
  <c r="P77" i="5" s="1"/>
  <c r="O78" i="5"/>
  <c r="P78" i="5" s="1"/>
  <c r="O81" i="5"/>
  <c r="P81" i="5" s="1"/>
  <c r="O82" i="5"/>
  <c r="O83" i="5"/>
  <c r="P83" i="5" s="1"/>
  <c r="O84" i="5"/>
  <c r="O85" i="5"/>
  <c r="O87" i="5"/>
  <c r="O88" i="5"/>
  <c r="O89" i="5"/>
  <c r="O90" i="5"/>
  <c r="O92" i="5"/>
  <c r="P92" i="5" s="1"/>
  <c r="O93" i="5"/>
  <c r="O94" i="5"/>
  <c r="O95" i="5"/>
  <c r="P95" i="5" s="1"/>
  <c r="O96" i="5"/>
  <c r="O97" i="5"/>
  <c r="P97" i="5" s="1"/>
  <c r="O98" i="5"/>
  <c r="O99" i="5"/>
  <c r="P99" i="5" s="1"/>
  <c r="O100" i="5"/>
  <c r="P100" i="5" s="1"/>
  <c r="O101" i="5"/>
  <c r="O102" i="5"/>
  <c r="O106" i="5"/>
  <c r="O107" i="5"/>
  <c r="O108" i="5"/>
  <c r="O109" i="5"/>
  <c r="P109" i="5" s="1"/>
  <c r="O123" i="5"/>
  <c r="O124" i="5"/>
  <c r="O125" i="5"/>
  <c r="O126" i="5"/>
  <c r="O127" i="5"/>
  <c r="O128" i="5"/>
  <c r="O129" i="5"/>
  <c r="O130" i="5"/>
  <c r="O131" i="5"/>
  <c r="O132" i="5"/>
  <c r="P132" i="5" s="1"/>
  <c r="O133" i="5"/>
  <c r="O134" i="5"/>
  <c r="P134" i="5" s="1"/>
  <c r="O135" i="5"/>
  <c r="O136" i="5"/>
  <c r="O137" i="5"/>
  <c r="O138" i="5"/>
  <c r="R144" i="5"/>
  <c r="R148" i="5"/>
  <c r="O152" i="5"/>
  <c r="O153" i="5"/>
  <c r="O154" i="5"/>
  <c r="O156" i="5"/>
  <c r="O159" i="5"/>
  <c r="R160" i="5"/>
  <c r="R162" i="5"/>
  <c r="O163" i="5"/>
  <c r="P163" i="5" s="1"/>
  <c r="R164" i="5"/>
  <c r="O166" i="5"/>
  <c r="R168" i="5"/>
  <c r="O170" i="5"/>
  <c r="P170" i="5" s="1"/>
  <c r="O173" i="5"/>
  <c r="R180" i="5"/>
  <c r="R182" i="5"/>
  <c r="O183" i="5"/>
  <c r="P183" i="5" s="1"/>
  <c r="O184" i="5"/>
  <c r="O185" i="5"/>
  <c r="P185" i="5" s="1"/>
  <c r="R188" i="5"/>
  <c r="O189" i="5"/>
  <c r="P189" i="5" s="1"/>
  <c r="O190" i="5"/>
  <c r="O191" i="5"/>
  <c r="O192" i="5"/>
  <c r="O193" i="5"/>
  <c r="O196" i="5"/>
  <c r="O197" i="5"/>
  <c r="O198" i="5"/>
  <c r="P198" i="5" s="1"/>
  <c r="O199" i="5"/>
  <c r="P199" i="5" s="1"/>
  <c r="O176" i="5"/>
  <c r="O177" i="5"/>
  <c r="O194" i="5"/>
  <c r="O178" i="5"/>
  <c r="O48" i="5"/>
  <c r="R39" i="5"/>
  <c r="R43" i="5"/>
  <c r="R68" i="5"/>
  <c r="R79" i="5"/>
  <c r="R80" i="5"/>
  <c r="R117" i="5"/>
  <c r="R118" i="5"/>
  <c r="R119" i="5"/>
  <c r="R142" i="5"/>
  <c r="R143" i="5"/>
  <c r="R145" i="5"/>
  <c r="R146" i="5"/>
  <c r="R147" i="5"/>
  <c r="R149" i="5"/>
  <c r="R150" i="5"/>
  <c r="R151" i="5"/>
  <c r="R155" i="5"/>
  <c r="R157" i="5"/>
  <c r="R158" i="5"/>
  <c r="R161" i="5"/>
  <c r="R165" i="5"/>
  <c r="R167" i="5"/>
  <c r="R169" i="5"/>
  <c r="R171" i="5"/>
  <c r="R174" i="5"/>
  <c r="R175" i="5"/>
  <c r="R181" i="5"/>
  <c r="R187" i="5"/>
  <c r="R195" i="5"/>
  <c r="P85" i="5" l="1"/>
  <c r="P71" i="5"/>
  <c r="P58" i="5"/>
  <c r="P17" i="5"/>
  <c r="P7" i="5"/>
  <c r="P23" i="5"/>
  <c r="P101" i="5"/>
  <c r="P166" i="5"/>
  <c r="P96" i="5"/>
  <c r="P12" i="5"/>
  <c r="P112" i="5"/>
  <c r="P139" i="5"/>
  <c r="P176" i="5"/>
  <c r="P46" i="5"/>
  <c r="P19" i="5"/>
  <c r="P172" i="5"/>
  <c r="P25" i="5"/>
  <c r="P126" i="5"/>
  <c r="P138" i="5"/>
  <c r="P178" i="5"/>
  <c r="P136" i="5"/>
  <c r="P124" i="5"/>
  <c r="P153" i="5"/>
  <c r="P88" i="5"/>
  <c r="P73" i="5"/>
  <c r="P41" i="5"/>
  <c r="P128" i="5"/>
  <c r="P60" i="5"/>
  <c r="P190" i="5"/>
  <c r="P62" i="5"/>
  <c r="P29" i="5"/>
  <c r="P9" i="5"/>
  <c r="P105" i="5"/>
  <c r="P27" i="5"/>
  <c r="P90" i="5"/>
  <c r="P75" i="5"/>
  <c r="P28" i="5"/>
  <c r="P8" i="5"/>
  <c r="P104" i="5"/>
  <c r="P26" i="5"/>
  <c r="P106" i="5"/>
  <c r="P74" i="5"/>
  <c r="P42" i="5"/>
  <c r="P154" i="5"/>
  <c r="P61" i="5"/>
  <c r="P193" i="5"/>
  <c r="AA1" i="5"/>
  <c r="P107" i="5"/>
  <c r="P130" i="5"/>
  <c r="P196" i="5"/>
  <c r="P159" i="5"/>
  <c r="P93" i="5"/>
  <c r="B1" i="5"/>
  <c r="E1" i="5"/>
  <c r="M1" i="5"/>
  <c r="P3" i="5"/>
  <c r="O1" i="5"/>
  <c r="G1" i="5"/>
  <c r="C1" i="5"/>
  <c r="I1" i="5"/>
  <c r="K1" i="5"/>
  <c r="P121" i="5"/>
  <c r="D13" i="5"/>
  <c r="D9" i="5"/>
  <c r="D121" i="5"/>
  <c r="D113" i="5"/>
  <c r="D105" i="5"/>
  <c r="D7" i="5"/>
  <c r="D3" i="5"/>
  <c r="D27" i="5"/>
  <c r="D23" i="5"/>
  <c r="D21" i="5"/>
  <c r="P91" i="5"/>
  <c r="D96" i="5"/>
  <c r="D29" i="5"/>
  <c r="D112" i="5"/>
  <c r="D26" i="5"/>
  <c r="P87" i="5"/>
  <c r="P82" i="5"/>
  <c r="P141" i="5"/>
  <c r="P194" i="5"/>
  <c r="P135" i="5"/>
  <c r="P131" i="5"/>
  <c r="P127" i="5"/>
  <c r="P123" i="5"/>
  <c r="P64" i="5"/>
  <c r="P59" i="5"/>
  <c r="P53" i="5"/>
  <c r="P191" i="5"/>
  <c r="P44" i="5"/>
  <c r="D65" i="5"/>
  <c r="F60" i="5"/>
  <c r="D78" i="5"/>
  <c r="F59" i="5"/>
  <c r="F36" i="5"/>
  <c r="D16" i="5"/>
  <c r="F50" i="5"/>
  <c r="J191" i="5"/>
  <c r="F199" i="5"/>
  <c r="F195" i="5"/>
  <c r="F53" i="5"/>
  <c r="P102" i="5"/>
  <c r="P98" i="5"/>
  <c r="P94" i="5"/>
  <c r="P89" i="5"/>
  <c r="P84" i="5"/>
  <c r="P32" i="5"/>
  <c r="P18" i="5"/>
  <c r="P10" i="5"/>
  <c r="P122" i="5"/>
  <c r="P114" i="5"/>
  <c r="P110" i="5"/>
  <c r="P86" i="5"/>
  <c r="P4" i="5"/>
  <c r="P52" i="5"/>
  <c r="P24" i="5"/>
  <c r="P22" i="5"/>
  <c r="D42" i="5"/>
  <c r="F10" i="5"/>
  <c r="D114" i="5"/>
  <c r="F86" i="5"/>
  <c r="F4" i="5"/>
  <c r="D52" i="5"/>
  <c r="F22" i="5"/>
  <c r="J194" i="5"/>
  <c r="J198" i="5"/>
  <c r="J193" i="5"/>
  <c r="J189" i="5"/>
  <c r="J185" i="5"/>
  <c r="J181" i="5"/>
  <c r="L180" i="5"/>
  <c r="L173" i="5"/>
  <c r="L168" i="5"/>
  <c r="L164" i="5"/>
  <c r="L160" i="5"/>
  <c r="L156" i="5"/>
  <c r="L152" i="5"/>
  <c r="L148" i="5"/>
  <c r="L144" i="5"/>
  <c r="L137" i="5"/>
  <c r="L133" i="5"/>
  <c r="L129" i="5"/>
  <c r="L125" i="5"/>
  <c r="L118" i="5"/>
  <c r="L108" i="5"/>
  <c r="L102" i="5"/>
  <c r="L98" i="5"/>
  <c r="L94" i="5"/>
  <c r="L89" i="5"/>
  <c r="L84" i="5"/>
  <c r="L80" i="5"/>
  <c r="L76" i="5"/>
  <c r="L72" i="5"/>
  <c r="L68" i="5"/>
  <c r="L67" i="5"/>
  <c r="L63" i="5"/>
  <c r="L59" i="5"/>
  <c r="L53" i="5"/>
  <c r="L44" i="5"/>
  <c r="L40" i="5"/>
  <c r="L36" i="5"/>
  <c r="L32" i="5"/>
  <c r="L18" i="5"/>
  <c r="L10" i="5"/>
  <c r="L122" i="5"/>
  <c r="L114" i="5"/>
  <c r="L110" i="5"/>
  <c r="L86" i="5"/>
  <c r="L4" i="5"/>
  <c r="L52" i="5"/>
  <c r="L24" i="5"/>
  <c r="L22" i="5"/>
  <c r="N48" i="5"/>
  <c r="P108" i="5"/>
  <c r="P36" i="5"/>
  <c r="F72" i="5"/>
  <c r="D18" i="5"/>
  <c r="F178" i="5"/>
  <c r="F166" i="5"/>
  <c r="F135" i="5"/>
  <c r="F127" i="5"/>
  <c r="F123" i="5"/>
  <c r="F96" i="5"/>
  <c r="F82" i="5"/>
  <c r="F78" i="5"/>
  <c r="P156" i="5"/>
  <c r="P76" i="5"/>
  <c r="P72" i="5"/>
  <c r="P40" i="5"/>
  <c r="D44" i="5"/>
  <c r="N197" i="5"/>
  <c r="N192" i="5"/>
  <c r="N173" i="5"/>
  <c r="N160" i="5"/>
  <c r="P160" i="5"/>
  <c r="N156" i="5"/>
  <c r="N148" i="5"/>
  <c r="P148" i="5"/>
  <c r="N137" i="5"/>
  <c r="N133" i="5"/>
  <c r="N129" i="5"/>
  <c r="N125" i="5"/>
  <c r="N118" i="5"/>
  <c r="P192" i="5"/>
  <c r="D89" i="5"/>
  <c r="D72" i="5"/>
  <c r="D63" i="5"/>
  <c r="D59" i="5"/>
  <c r="D40" i="5"/>
  <c r="D36" i="5"/>
  <c r="D14" i="5"/>
  <c r="D10" i="5"/>
  <c r="D110" i="5"/>
  <c r="D86" i="5"/>
  <c r="D24" i="5"/>
  <c r="D22" i="5"/>
  <c r="F37" i="5"/>
  <c r="N176" i="5"/>
  <c r="N196" i="5"/>
  <c r="N191" i="5"/>
  <c r="N187" i="5"/>
  <c r="P187" i="5"/>
  <c r="N183" i="5"/>
  <c r="N179" i="5"/>
  <c r="P179" i="5"/>
  <c r="N171" i="5"/>
  <c r="P171" i="5"/>
  <c r="N167" i="5"/>
  <c r="P167" i="5"/>
  <c r="N163" i="5"/>
  <c r="N159" i="5"/>
  <c r="N155" i="5"/>
  <c r="P155" i="5"/>
  <c r="N151" i="5"/>
  <c r="P151" i="5"/>
  <c r="N147" i="5"/>
  <c r="P147" i="5"/>
  <c r="N143" i="5"/>
  <c r="P143" i="5"/>
  <c r="N136" i="5"/>
  <c r="N132" i="5"/>
  <c r="N128" i="5"/>
  <c r="N124" i="5"/>
  <c r="N117" i="5"/>
  <c r="P117" i="5"/>
  <c r="N107" i="5"/>
  <c r="N101" i="5"/>
  <c r="N97" i="5"/>
  <c r="N188" i="5"/>
  <c r="P188" i="5"/>
  <c r="N180" i="5"/>
  <c r="P180" i="5"/>
  <c r="N164" i="5"/>
  <c r="P164" i="5"/>
  <c r="N152" i="5"/>
  <c r="P177" i="5"/>
  <c r="P197" i="5"/>
  <c r="P14" i="5"/>
  <c r="D87" i="5"/>
  <c r="D70" i="5"/>
  <c r="D55" i="5"/>
  <c r="D34" i="5"/>
  <c r="D8" i="5"/>
  <c r="D6" i="5"/>
  <c r="D49" i="5"/>
  <c r="F122" i="5"/>
  <c r="N178" i="5"/>
  <c r="N199" i="5"/>
  <c r="N195" i="5"/>
  <c r="P195" i="5"/>
  <c r="N190" i="5"/>
  <c r="N186" i="5"/>
  <c r="P186" i="5"/>
  <c r="N182" i="5"/>
  <c r="P182" i="5"/>
  <c r="N175" i="5"/>
  <c r="P175" i="5"/>
  <c r="N170" i="5"/>
  <c r="N166" i="5"/>
  <c r="N162" i="5"/>
  <c r="P162" i="5"/>
  <c r="N158" i="5"/>
  <c r="P158" i="5"/>
  <c r="N154" i="5"/>
  <c r="N150" i="5"/>
  <c r="P150" i="5"/>
  <c r="N146" i="5"/>
  <c r="P146" i="5"/>
  <c r="N142" i="5"/>
  <c r="P142" i="5"/>
  <c r="N135" i="5"/>
  <c r="N131" i="5"/>
  <c r="N127" i="5"/>
  <c r="L14" i="5"/>
  <c r="N177" i="5"/>
  <c r="N184" i="5"/>
  <c r="N168" i="5"/>
  <c r="P168" i="5"/>
  <c r="N144" i="5"/>
  <c r="P144" i="5"/>
  <c r="P48" i="5"/>
  <c r="P184" i="5"/>
  <c r="P173" i="5"/>
  <c r="P152" i="5"/>
  <c r="P137" i="5"/>
  <c r="P133" i="5"/>
  <c r="P129" i="5"/>
  <c r="P125" i="5"/>
  <c r="N194" i="5"/>
  <c r="N198" i="5"/>
  <c r="N193" i="5"/>
  <c r="N189" i="5"/>
  <c r="N185" i="5"/>
  <c r="N181" i="5"/>
  <c r="P181" i="5"/>
  <c r="N174" i="5"/>
  <c r="P174" i="5"/>
  <c r="N169" i="5"/>
  <c r="P169" i="5"/>
  <c r="N165" i="5"/>
  <c r="P165" i="5"/>
  <c r="N161" i="5"/>
  <c r="P161" i="5"/>
  <c r="N157" i="5"/>
  <c r="P157" i="5"/>
  <c r="N153" i="5"/>
  <c r="N149" i="5"/>
  <c r="P149" i="5"/>
  <c r="N145" i="5"/>
  <c r="P145" i="5"/>
  <c r="N138" i="5"/>
  <c r="N134" i="5"/>
  <c r="N130" i="5"/>
  <c r="N108" i="5"/>
  <c r="N102" i="5"/>
  <c r="N98" i="5"/>
  <c r="N94" i="5"/>
  <c r="N89" i="5"/>
  <c r="N84" i="5"/>
  <c r="N80" i="5"/>
  <c r="N76" i="5"/>
  <c r="N72" i="5"/>
  <c r="N68" i="5"/>
  <c r="N67" i="5"/>
  <c r="N63" i="5"/>
  <c r="N59" i="5"/>
  <c r="N53" i="5"/>
  <c r="N44" i="5"/>
  <c r="N40" i="5"/>
  <c r="N36" i="5"/>
  <c r="N32" i="5"/>
  <c r="N18" i="5"/>
  <c r="N14" i="5"/>
  <c r="N10" i="5"/>
  <c r="N122" i="5"/>
  <c r="N114" i="5"/>
  <c r="N110" i="5"/>
  <c r="N86" i="5"/>
  <c r="N4" i="5"/>
  <c r="N52" i="5"/>
  <c r="N24" i="5"/>
  <c r="N22" i="5"/>
  <c r="N93" i="5"/>
  <c r="N88" i="5"/>
  <c r="N83" i="5"/>
  <c r="N79" i="5"/>
  <c r="N75" i="5"/>
  <c r="N71" i="5"/>
  <c r="N141" i="5"/>
  <c r="N66" i="5"/>
  <c r="N62" i="5"/>
  <c r="N58" i="5"/>
  <c r="N47" i="5"/>
  <c r="N43" i="5"/>
  <c r="N39" i="5"/>
  <c r="N35" i="5"/>
  <c r="N29" i="5"/>
  <c r="N17" i="5"/>
  <c r="N13" i="5"/>
  <c r="N9" i="5"/>
  <c r="N121" i="5"/>
  <c r="N113" i="5"/>
  <c r="N105" i="5"/>
  <c r="N7" i="5"/>
  <c r="N3" i="5"/>
  <c r="N27" i="5"/>
  <c r="N23" i="5"/>
  <c r="N21" i="5"/>
  <c r="N123" i="5"/>
  <c r="N116" i="5"/>
  <c r="N106" i="5"/>
  <c r="N100" i="5"/>
  <c r="N96" i="5"/>
  <c r="N92" i="5"/>
  <c r="N87" i="5"/>
  <c r="N82" i="5"/>
  <c r="N78" i="5"/>
  <c r="N74" i="5"/>
  <c r="N70" i="5"/>
  <c r="N140" i="5"/>
  <c r="N65" i="5"/>
  <c r="N61" i="5"/>
  <c r="N55" i="5"/>
  <c r="N46" i="5"/>
  <c r="N42" i="5"/>
  <c r="N38" i="5"/>
  <c r="N34" i="5"/>
  <c r="N28" i="5"/>
  <c r="N16" i="5"/>
  <c r="N12" i="5"/>
  <c r="N8" i="5"/>
  <c r="N120" i="5"/>
  <c r="N112" i="5"/>
  <c r="N104" i="5"/>
  <c r="N6" i="5"/>
  <c r="N30" i="5"/>
  <c r="N26" i="5"/>
  <c r="N51" i="5"/>
  <c r="N49" i="5"/>
  <c r="N126" i="5"/>
  <c r="N119" i="5"/>
  <c r="N109" i="5"/>
  <c r="N103" i="5"/>
  <c r="N99" i="5"/>
  <c r="N95" i="5"/>
  <c r="N90" i="5"/>
  <c r="N85" i="5"/>
  <c r="N81" i="5"/>
  <c r="N77" i="5"/>
  <c r="N73" i="5"/>
  <c r="N69" i="5"/>
  <c r="N139" i="5"/>
  <c r="N64" i="5"/>
  <c r="N60" i="5"/>
  <c r="N54" i="5"/>
  <c r="N45" i="5"/>
  <c r="N41" i="5"/>
  <c r="N37" i="5"/>
  <c r="N33" i="5"/>
  <c r="N19" i="5"/>
  <c r="N15" i="5"/>
  <c r="N11" i="5"/>
  <c r="N172" i="5"/>
  <c r="N115" i="5"/>
  <c r="N111" i="5"/>
  <c r="N91" i="5"/>
  <c r="N5" i="5"/>
  <c r="N31" i="5"/>
  <c r="N25" i="5"/>
  <c r="N50" i="5"/>
  <c r="N20" i="5"/>
  <c r="P118" i="5"/>
  <c r="P80" i="5"/>
  <c r="P68" i="5"/>
  <c r="P67" i="5"/>
  <c r="P63" i="5"/>
  <c r="D177" i="5"/>
  <c r="D197" i="5"/>
  <c r="D192" i="5"/>
  <c r="D188" i="5"/>
  <c r="D184" i="5"/>
  <c r="D180" i="5"/>
  <c r="D173" i="5"/>
  <c r="D168" i="5"/>
  <c r="D164" i="5"/>
  <c r="D160" i="5"/>
  <c r="D156" i="5"/>
  <c r="D152" i="5"/>
  <c r="D148" i="5"/>
  <c r="D144" i="5"/>
  <c r="D137" i="5"/>
  <c r="D133" i="5"/>
  <c r="D129" i="5"/>
  <c r="D125" i="5"/>
  <c r="D118" i="5"/>
  <c r="D108" i="5"/>
  <c r="D102" i="5"/>
  <c r="D94" i="5"/>
  <c r="D84" i="5"/>
  <c r="D76" i="5"/>
  <c r="D53" i="5"/>
  <c r="D32" i="5"/>
  <c r="D122" i="5"/>
  <c r="J129" i="5"/>
  <c r="J125" i="5"/>
  <c r="J118" i="5"/>
  <c r="J108" i="5"/>
  <c r="L48" i="5"/>
  <c r="D191" i="5"/>
  <c r="D187" i="5"/>
  <c r="D183" i="5"/>
  <c r="D179" i="5"/>
  <c r="D171" i="5"/>
  <c r="D167" i="5"/>
  <c r="D163" i="5"/>
  <c r="D159" i="5"/>
  <c r="D155" i="5"/>
  <c r="D151" i="5"/>
  <c r="D147" i="5"/>
  <c r="D143" i="5"/>
  <c r="D136" i="5"/>
  <c r="D132" i="5"/>
  <c r="D128" i="5"/>
  <c r="D124" i="5"/>
  <c r="D117" i="5"/>
  <c r="D107" i="5"/>
  <c r="D101" i="5"/>
  <c r="D97" i="5"/>
  <c r="D93" i="5"/>
  <c r="D88" i="5"/>
  <c r="D83" i="5"/>
  <c r="D79" i="5"/>
  <c r="D75" i="5"/>
  <c r="D71" i="5"/>
  <c r="D141" i="5"/>
  <c r="D66" i="5"/>
  <c r="D62" i="5"/>
  <c r="D58" i="5"/>
  <c r="D47" i="5"/>
  <c r="D43" i="5"/>
  <c r="D176" i="5"/>
  <c r="D196" i="5"/>
  <c r="D100" i="5"/>
  <c r="D92" i="5"/>
  <c r="F87" i="5"/>
  <c r="D82" i="5"/>
  <c r="D74" i="5"/>
  <c r="D140" i="5"/>
  <c r="D61" i="5"/>
  <c r="D46" i="5"/>
  <c r="D38" i="5"/>
  <c r="D28" i="5"/>
  <c r="D12" i="5"/>
  <c r="D120" i="5"/>
  <c r="D104" i="5"/>
  <c r="D30" i="5"/>
  <c r="D51" i="5"/>
  <c r="F66" i="5"/>
  <c r="F43" i="5"/>
  <c r="F39" i="5"/>
  <c r="F35" i="5"/>
  <c r="F29" i="5"/>
  <c r="F17" i="5"/>
  <c r="F13" i="5"/>
  <c r="F9" i="5"/>
  <c r="F121" i="5"/>
  <c r="F113" i="5"/>
  <c r="F105" i="5"/>
  <c r="F7" i="5"/>
  <c r="F3" i="5"/>
  <c r="F27" i="5"/>
  <c r="F23" i="5"/>
  <c r="F21" i="5"/>
  <c r="J178" i="5"/>
  <c r="F176" i="5"/>
  <c r="F187" i="5"/>
  <c r="F183" i="5"/>
  <c r="F179" i="5"/>
  <c r="F171" i="5"/>
  <c r="F167" i="5"/>
  <c r="F163" i="5"/>
  <c r="F159" i="5"/>
  <c r="F155" i="5"/>
  <c r="F151" i="5"/>
  <c r="F147" i="5"/>
  <c r="F143" i="5"/>
  <c r="F136" i="5"/>
  <c r="F132" i="5"/>
  <c r="F128" i="5"/>
  <c r="F124" i="5"/>
  <c r="F117" i="5"/>
  <c r="F107" i="5"/>
  <c r="F101" i="5"/>
  <c r="F97" i="5"/>
  <c r="F93" i="5"/>
  <c r="F88" i="5"/>
  <c r="F83" i="5"/>
  <c r="F79" i="5"/>
  <c r="F75" i="5"/>
  <c r="F71" i="5"/>
  <c r="F141" i="5"/>
  <c r="F62" i="5"/>
  <c r="F58" i="5"/>
  <c r="F47" i="5"/>
  <c r="D178" i="5"/>
  <c r="D199" i="5"/>
  <c r="D195" i="5"/>
  <c r="D190" i="5"/>
  <c r="D186" i="5"/>
  <c r="D182" i="5"/>
  <c r="D175" i="5"/>
  <c r="D170" i="5"/>
  <c r="D166" i="5"/>
  <c r="D162" i="5"/>
  <c r="D158" i="5"/>
  <c r="D154" i="5"/>
  <c r="D150" i="5"/>
  <c r="D146" i="5"/>
  <c r="D142" i="5"/>
  <c r="D135" i="5"/>
  <c r="D131" i="5"/>
  <c r="D127" i="5"/>
  <c r="D123" i="5"/>
  <c r="D116" i="5"/>
  <c r="D106" i="5"/>
  <c r="F74" i="5"/>
  <c r="F70" i="5"/>
  <c r="F140" i="5"/>
  <c r="F32" i="5"/>
  <c r="J196" i="5"/>
  <c r="F196" i="5"/>
  <c r="D194" i="5"/>
  <c r="F194" i="5"/>
  <c r="D198" i="5"/>
  <c r="F198" i="5"/>
  <c r="D193" i="5"/>
  <c r="F193" i="5"/>
  <c r="D189" i="5"/>
  <c r="F189" i="5"/>
  <c r="D185" i="5"/>
  <c r="F185" i="5"/>
  <c r="D181" i="5"/>
  <c r="F181" i="5"/>
  <c r="D174" i="5"/>
  <c r="F174" i="5"/>
  <c r="D169" i="5"/>
  <c r="F169" i="5"/>
  <c r="D165" i="5"/>
  <c r="F165" i="5"/>
  <c r="D161" i="5"/>
  <c r="F161" i="5"/>
  <c r="D157" i="5"/>
  <c r="F157" i="5"/>
  <c r="D153" i="5"/>
  <c r="F153" i="5"/>
  <c r="D149" i="5"/>
  <c r="F149" i="5"/>
  <c r="D145" i="5"/>
  <c r="F145" i="5"/>
  <c r="D138" i="5"/>
  <c r="F138" i="5"/>
  <c r="D134" i="5"/>
  <c r="F134" i="5"/>
  <c r="D130" i="5"/>
  <c r="F130" i="5"/>
  <c r="D126" i="5"/>
  <c r="F126" i="5"/>
  <c r="D119" i="5"/>
  <c r="F119" i="5"/>
  <c r="D109" i="5"/>
  <c r="F109" i="5"/>
  <c r="D103" i="5"/>
  <c r="F103" i="5"/>
  <c r="D99" i="5"/>
  <c r="F99" i="5"/>
  <c r="D95" i="5"/>
  <c r="F95" i="5"/>
  <c r="D90" i="5"/>
  <c r="F90" i="5"/>
  <c r="D85" i="5"/>
  <c r="F85" i="5"/>
  <c r="D81" i="5"/>
  <c r="F81" i="5"/>
  <c r="D77" i="5"/>
  <c r="F77" i="5"/>
  <c r="D73" i="5"/>
  <c r="F69" i="5"/>
  <c r="D69" i="5"/>
  <c r="D139" i="5"/>
  <c r="D64" i="5"/>
  <c r="F64" i="5"/>
  <c r="D60" i="5"/>
  <c r="F54" i="5"/>
  <c r="D54" i="5"/>
  <c r="D45" i="5"/>
  <c r="D41" i="5"/>
  <c r="F41" i="5"/>
  <c r="D37" i="5"/>
  <c r="F33" i="5"/>
  <c r="D33" i="5"/>
  <c r="D19" i="5"/>
  <c r="D15" i="5"/>
  <c r="F15" i="5"/>
  <c r="D11" i="5"/>
  <c r="F172" i="5"/>
  <c r="D172" i="5"/>
  <c r="D115" i="5"/>
  <c r="D111" i="5"/>
  <c r="F111" i="5"/>
  <c r="D91" i="5"/>
  <c r="F5" i="5"/>
  <c r="D5" i="5"/>
  <c r="D31" i="5"/>
  <c r="D25" i="5"/>
  <c r="F25" i="5"/>
  <c r="D50" i="5"/>
  <c r="F20" i="5"/>
  <c r="D20" i="5"/>
  <c r="F139" i="5"/>
  <c r="F45" i="5"/>
  <c r="F19" i="5"/>
  <c r="F115" i="5"/>
  <c r="F31" i="5"/>
  <c r="F190" i="5"/>
  <c r="F170" i="5"/>
  <c r="F154" i="5"/>
  <c r="F73" i="5"/>
  <c r="F91" i="5"/>
  <c r="H48" i="5"/>
  <c r="J48" i="5"/>
  <c r="H176" i="5"/>
  <c r="J176" i="5"/>
  <c r="H196" i="5"/>
  <c r="H191" i="5"/>
  <c r="H187" i="5"/>
  <c r="H183" i="5"/>
  <c r="J183" i="5"/>
  <c r="H179" i="5"/>
  <c r="H171" i="5"/>
  <c r="H167" i="5"/>
  <c r="H163" i="5"/>
  <c r="H159" i="5"/>
  <c r="H155" i="5"/>
  <c r="H151" i="5"/>
  <c r="H147" i="5"/>
  <c r="H143" i="5"/>
  <c r="H136" i="5"/>
  <c r="H132" i="5"/>
  <c r="H128" i="5"/>
  <c r="H124" i="5"/>
  <c r="H117" i="5"/>
  <c r="H107" i="5"/>
  <c r="H101" i="5"/>
  <c r="H97" i="5"/>
  <c r="H93" i="5"/>
  <c r="H88" i="5"/>
  <c r="H83" i="5"/>
  <c r="H79" i="5"/>
  <c r="H75" i="5"/>
  <c r="H71" i="5"/>
  <c r="H141" i="5"/>
  <c r="H66" i="5"/>
  <c r="H62" i="5"/>
  <c r="H58" i="5"/>
  <c r="H47" i="5"/>
  <c r="H43" i="5"/>
  <c r="H39" i="5"/>
  <c r="F48" i="5"/>
  <c r="F191" i="5"/>
  <c r="D48" i="5"/>
  <c r="D4" i="5"/>
  <c r="D68" i="5"/>
  <c r="F177" i="5"/>
  <c r="F197" i="5"/>
  <c r="F192" i="5"/>
  <c r="F188" i="5"/>
  <c r="F184" i="5"/>
  <c r="F180" i="5"/>
  <c r="F173" i="5"/>
  <c r="F168" i="5"/>
  <c r="F164" i="5"/>
  <c r="F160" i="5"/>
  <c r="F156" i="5"/>
  <c r="F152" i="5"/>
  <c r="F148" i="5"/>
  <c r="F144" i="5"/>
  <c r="F137" i="5"/>
  <c r="F133" i="5"/>
  <c r="F129" i="5"/>
  <c r="F125" i="5"/>
  <c r="F118" i="5"/>
  <c r="F108" i="5"/>
  <c r="F102" i="5"/>
  <c r="F98" i="5"/>
  <c r="F94" i="5"/>
  <c r="F89" i="5"/>
  <c r="F84" i="5"/>
  <c r="F80" i="5"/>
  <c r="F76" i="5"/>
  <c r="F67" i="5"/>
  <c r="F63" i="5"/>
  <c r="F44" i="5"/>
  <c r="F40" i="5"/>
  <c r="F18" i="5"/>
  <c r="F14" i="5"/>
  <c r="F114" i="5"/>
  <c r="F110" i="5"/>
  <c r="F52" i="5"/>
  <c r="F24" i="5"/>
  <c r="F131" i="5"/>
  <c r="F106" i="5"/>
  <c r="F11" i="5"/>
  <c r="F65" i="5"/>
  <c r="F61" i="5"/>
  <c r="F55" i="5"/>
  <c r="F46" i="5"/>
  <c r="F42" i="5"/>
  <c r="F38" i="5"/>
  <c r="F34" i="5"/>
  <c r="F28" i="5"/>
  <c r="F16" i="5"/>
  <c r="F12" i="5"/>
  <c r="F8" i="5"/>
  <c r="F120" i="5"/>
  <c r="F112" i="5"/>
  <c r="F104" i="5"/>
  <c r="F6" i="5"/>
  <c r="F30" i="5"/>
  <c r="F26" i="5"/>
  <c r="F51" i="5"/>
  <c r="F49" i="5"/>
  <c r="H178" i="5"/>
  <c r="H199" i="5"/>
  <c r="H195" i="5"/>
  <c r="H190" i="5"/>
  <c r="H186" i="5"/>
  <c r="H182" i="5"/>
  <c r="H175" i="5"/>
  <c r="H170" i="5"/>
  <c r="H166" i="5"/>
  <c r="H162" i="5"/>
  <c r="H158" i="5"/>
  <c r="H154" i="5"/>
  <c r="H150" i="5"/>
  <c r="H146" i="5"/>
  <c r="H142" i="5"/>
  <c r="H135" i="5"/>
  <c r="H131" i="5"/>
  <c r="H127" i="5"/>
  <c r="H123" i="5"/>
  <c r="H116" i="5"/>
  <c r="H106" i="5"/>
  <c r="H100" i="5"/>
  <c r="H96" i="5"/>
  <c r="H92" i="5"/>
  <c r="H87" i="5"/>
  <c r="H82" i="5"/>
  <c r="H78" i="5"/>
  <c r="H74" i="5"/>
  <c r="H70" i="5"/>
  <c r="H140" i="5"/>
  <c r="H65" i="5"/>
  <c r="H61" i="5"/>
  <c r="H55" i="5"/>
  <c r="H46" i="5"/>
  <c r="H42" i="5"/>
  <c r="H38" i="5"/>
  <c r="H34" i="5"/>
  <c r="H28" i="5"/>
  <c r="H16" i="5"/>
  <c r="H12" i="5"/>
  <c r="H8" i="5"/>
  <c r="H120" i="5"/>
  <c r="H112" i="5"/>
  <c r="H104" i="5"/>
  <c r="H6" i="5"/>
  <c r="H30" i="5"/>
  <c r="H26" i="5"/>
  <c r="H51" i="5"/>
  <c r="H49" i="5"/>
  <c r="J195" i="5"/>
  <c r="J187" i="5"/>
  <c r="J173" i="5"/>
  <c r="J168" i="5"/>
  <c r="J164" i="5"/>
  <c r="J160" i="5"/>
  <c r="J156" i="5"/>
  <c r="J152" i="5"/>
  <c r="J148" i="5"/>
  <c r="J144" i="5"/>
  <c r="J137" i="5"/>
  <c r="J133" i="5"/>
  <c r="J186" i="5"/>
  <c r="J179" i="5"/>
  <c r="J171" i="5"/>
  <c r="H177" i="5"/>
  <c r="H197" i="5"/>
  <c r="H192" i="5"/>
  <c r="H188" i="5"/>
  <c r="H184" i="5"/>
  <c r="H180" i="5"/>
  <c r="H173" i="5"/>
  <c r="H168" i="5"/>
  <c r="H164" i="5"/>
  <c r="H160" i="5"/>
  <c r="H156" i="5"/>
  <c r="H152" i="5"/>
  <c r="H148" i="5"/>
  <c r="H144" i="5"/>
  <c r="H137" i="5"/>
  <c r="H133" i="5"/>
  <c r="H129" i="5"/>
  <c r="J175" i="5"/>
  <c r="J170" i="5"/>
  <c r="H194" i="5"/>
  <c r="H198" i="5"/>
  <c r="H193" i="5"/>
  <c r="H189" i="5"/>
  <c r="H185" i="5"/>
  <c r="H181" i="5"/>
  <c r="H174" i="5"/>
  <c r="H169" i="5"/>
  <c r="H165" i="5"/>
  <c r="H161" i="5"/>
  <c r="H157" i="5"/>
  <c r="H153" i="5"/>
  <c r="H149" i="5"/>
  <c r="H145" i="5"/>
  <c r="H138" i="5"/>
  <c r="H134" i="5"/>
  <c r="H130" i="5"/>
  <c r="H126" i="5"/>
  <c r="H119" i="5"/>
  <c r="H109" i="5"/>
  <c r="H103" i="5"/>
  <c r="H99" i="5"/>
  <c r="H95" i="5"/>
  <c r="H90" i="5"/>
  <c r="H85" i="5"/>
  <c r="H81" i="5"/>
  <c r="H77" i="5"/>
  <c r="H73" i="5"/>
  <c r="H69" i="5"/>
  <c r="H139" i="5"/>
  <c r="H64" i="5"/>
  <c r="H60" i="5"/>
  <c r="H54" i="5"/>
  <c r="H45" i="5"/>
  <c r="H41" i="5"/>
  <c r="H37" i="5"/>
  <c r="H33" i="5"/>
  <c r="H19" i="5"/>
  <c r="H15" i="5"/>
  <c r="H11" i="5"/>
  <c r="H172" i="5"/>
  <c r="H115" i="5"/>
  <c r="H111" i="5"/>
  <c r="H91" i="5"/>
  <c r="H5" i="5"/>
  <c r="H31" i="5"/>
  <c r="H25" i="5"/>
  <c r="H50" i="5"/>
  <c r="H20" i="5"/>
  <c r="J197" i="5"/>
  <c r="J188" i="5"/>
  <c r="J180" i="5"/>
  <c r="J174" i="5"/>
  <c r="J167" i="5"/>
  <c r="J163" i="5"/>
  <c r="J159" i="5"/>
  <c r="J155" i="5"/>
  <c r="J151" i="5"/>
  <c r="H125" i="5"/>
  <c r="H118" i="5"/>
  <c r="H108" i="5"/>
  <c r="H102" i="5"/>
  <c r="H98" i="5"/>
  <c r="H94" i="5"/>
  <c r="H89" i="5"/>
  <c r="H84" i="5"/>
  <c r="H80" i="5"/>
  <c r="H76" i="5"/>
  <c r="H72" i="5"/>
  <c r="H68" i="5"/>
  <c r="H67" i="5"/>
  <c r="H63" i="5"/>
  <c r="H59" i="5"/>
  <c r="H53" i="5"/>
  <c r="H44" i="5"/>
  <c r="H40" i="5"/>
  <c r="H36" i="5"/>
  <c r="H32" i="5"/>
  <c r="H18" i="5"/>
  <c r="H14" i="5"/>
  <c r="H10" i="5"/>
  <c r="H122" i="5"/>
  <c r="H114" i="5"/>
  <c r="H110" i="5"/>
  <c r="H86" i="5"/>
  <c r="H4" i="5"/>
  <c r="H52" i="5"/>
  <c r="H24" i="5"/>
  <c r="H22" i="5"/>
  <c r="J199" i="5"/>
  <c r="J190" i="5"/>
  <c r="J182" i="5"/>
  <c r="J166" i="5"/>
  <c r="J162" i="5"/>
  <c r="J158" i="5"/>
  <c r="J154" i="5"/>
  <c r="J150" i="5"/>
  <c r="J146" i="5"/>
  <c r="J142" i="5"/>
  <c r="J135" i="5"/>
  <c r="J131" i="5"/>
  <c r="J127" i="5"/>
  <c r="L194" i="5"/>
  <c r="L198" i="5"/>
  <c r="L193" i="5"/>
  <c r="L189" i="5"/>
  <c r="L185" i="5"/>
  <c r="H35" i="5"/>
  <c r="H29" i="5"/>
  <c r="H17" i="5"/>
  <c r="H13" i="5"/>
  <c r="H9" i="5"/>
  <c r="H121" i="5"/>
  <c r="H113" i="5"/>
  <c r="H105" i="5"/>
  <c r="H7" i="5"/>
  <c r="H3" i="5"/>
  <c r="H27" i="5"/>
  <c r="H23" i="5"/>
  <c r="H21" i="5"/>
  <c r="J177" i="5"/>
  <c r="J192" i="5"/>
  <c r="J184" i="5"/>
  <c r="L184" i="5"/>
  <c r="J169" i="5"/>
  <c r="J165" i="5"/>
  <c r="J161" i="5"/>
  <c r="J157" i="5"/>
  <c r="J153" i="5"/>
  <c r="J149" i="5"/>
  <c r="J145" i="5"/>
  <c r="J138" i="5"/>
  <c r="J134" i="5"/>
  <c r="J130" i="5"/>
  <c r="J126" i="5"/>
  <c r="J119" i="5"/>
  <c r="J109" i="5"/>
  <c r="J103" i="5"/>
  <c r="J99" i="5"/>
  <c r="J95" i="5"/>
  <c r="J90" i="5"/>
  <c r="J85" i="5"/>
  <c r="J81" i="5"/>
  <c r="J77" i="5"/>
  <c r="J73" i="5"/>
  <c r="J69" i="5"/>
  <c r="J139" i="5"/>
  <c r="J64" i="5"/>
  <c r="J60" i="5"/>
  <c r="J54" i="5"/>
  <c r="J45" i="5"/>
  <c r="J41" i="5"/>
  <c r="J37" i="5"/>
  <c r="J33" i="5"/>
  <c r="J19" i="5"/>
  <c r="J15" i="5"/>
  <c r="J11" i="5"/>
  <c r="J172" i="5"/>
  <c r="J115" i="5"/>
  <c r="J111" i="5"/>
  <c r="J91" i="5"/>
  <c r="J5" i="5"/>
  <c r="J31" i="5"/>
  <c r="J25" i="5"/>
  <c r="J50" i="5"/>
  <c r="J20" i="5"/>
  <c r="J102" i="5"/>
  <c r="J98" i="5"/>
  <c r="J94" i="5"/>
  <c r="J89" i="5"/>
  <c r="J84" i="5"/>
  <c r="J80" i="5"/>
  <c r="J76" i="5"/>
  <c r="J72" i="5"/>
  <c r="J68" i="5"/>
  <c r="J67" i="5"/>
  <c r="J63" i="5"/>
  <c r="J59" i="5"/>
  <c r="J53" i="5"/>
  <c r="J44" i="5"/>
  <c r="J40" i="5"/>
  <c r="J36" i="5"/>
  <c r="J32" i="5"/>
  <c r="J18" i="5"/>
  <c r="J14" i="5"/>
  <c r="J10" i="5"/>
  <c r="J122" i="5"/>
  <c r="J114" i="5"/>
  <c r="J110" i="5"/>
  <c r="J86" i="5"/>
  <c r="J4" i="5"/>
  <c r="J52" i="5"/>
  <c r="J24" i="5"/>
  <c r="J22" i="5"/>
  <c r="L177" i="5"/>
  <c r="L197" i="5"/>
  <c r="L192" i="5"/>
  <c r="L188" i="5"/>
  <c r="L179" i="5"/>
  <c r="L171" i="5"/>
  <c r="L167" i="5"/>
  <c r="L163" i="5"/>
  <c r="L159" i="5"/>
  <c r="L155" i="5"/>
  <c r="L151" i="5"/>
  <c r="L147" i="5"/>
  <c r="L143" i="5"/>
  <c r="L136" i="5"/>
  <c r="L132" i="5"/>
  <c r="L128" i="5"/>
  <c r="L124" i="5"/>
  <c r="L117" i="5"/>
  <c r="L107" i="5"/>
  <c r="L101" i="5"/>
  <c r="L97" i="5"/>
  <c r="L93" i="5"/>
  <c r="L88" i="5"/>
  <c r="L83" i="5"/>
  <c r="L79" i="5"/>
  <c r="L75" i="5"/>
  <c r="L71" i="5"/>
  <c r="L141" i="5"/>
  <c r="L66" i="5"/>
  <c r="L62" i="5"/>
  <c r="L58" i="5"/>
  <c r="L47" i="5"/>
  <c r="L43" i="5"/>
  <c r="L39" i="5"/>
  <c r="L35" i="5"/>
  <c r="L29" i="5"/>
  <c r="L17" i="5"/>
  <c r="L13" i="5"/>
  <c r="L9" i="5"/>
  <c r="L121" i="5"/>
  <c r="L113" i="5"/>
  <c r="L105" i="5"/>
  <c r="L7" i="5"/>
  <c r="L3" i="5"/>
  <c r="L27" i="5"/>
  <c r="L23" i="5"/>
  <c r="L21" i="5"/>
  <c r="J147" i="5"/>
  <c r="J143" i="5"/>
  <c r="J136" i="5"/>
  <c r="J132" i="5"/>
  <c r="J128" i="5"/>
  <c r="J124" i="5"/>
  <c r="J117" i="5"/>
  <c r="J107" i="5"/>
  <c r="J101" i="5"/>
  <c r="J97" i="5"/>
  <c r="J93" i="5"/>
  <c r="J88" i="5"/>
  <c r="J83" i="5"/>
  <c r="J79" i="5"/>
  <c r="J75" i="5"/>
  <c r="J71" i="5"/>
  <c r="J141" i="5"/>
  <c r="J66" i="5"/>
  <c r="J62" i="5"/>
  <c r="J58" i="5"/>
  <c r="J47" i="5"/>
  <c r="J43" i="5"/>
  <c r="J39" i="5"/>
  <c r="J35" i="5"/>
  <c r="J29" i="5"/>
  <c r="J17" i="5"/>
  <c r="J13" i="5"/>
  <c r="J9" i="5"/>
  <c r="J121" i="5"/>
  <c r="J113" i="5"/>
  <c r="J105" i="5"/>
  <c r="J7" i="5"/>
  <c r="J3" i="5"/>
  <c r="J27" i="5"/>
  <c r="J23" i="5"/>
  <c r="J21" i="5"/>
  <c r="L176" i="5"/>
  <c r="L196" i="5"/>
  <c r="L191" i="5"/>
  <c r="L187" i="5"/>
  <c r="L181" i="5"/>
  <c r="L175" i="5"/>
  <c r="L170" i="5"/>
  <c r="L166" i="5"/>
  <c r="L162" i="5"/>
  <c r="L158" i="5"/>
  <c r="L154" i="5"/>
  <c r="L150" i="5"/>
  <c r="L146" i="5"/>
  <c r="L142" i="5"/>
  <c r="L135" i="5"/>
  <c r="L131" i="5"/>
  <c r="L127" i="5"/>
  <c r="L123" i="5"/>
  <c r="L116" i="5"/>
  <c r="L106" i="5"/>
  <c r="L100" i="5"/>
  <c r="L96" i="5"/>
  <c r="L92" i="5"/>
  <c r="L87" i="5"/>
  <c r="L82" i="5"/>
  <c r="L78" i="5"/>
  <c r="L74" i="5"/>
  <c r="L70" i="5"/>
  <c r="L140" i="5"/>
  <c r="L65" i="5"/>
  <c r="L61" i="5"/>
  <c r="L55" i="5"/>
  <c r="L46" i="5"/>
  <c r="L42" i="5"/>
  <c r="L38" i="5"/>
  <c r="L34" i="5"/>
  <c r="L28" i="5"/>
  <c r="L16" i="5"/>
  <c r="L12" i="5"/>
  <c r="L8" i="5"/>
  <c r="L120" i="5"/>
  <c r="L112" i="5"/>
  <c r="L104" i="5"/>
  <c r="L6" i="5"/>
  <c r="L30" i="5"/>
  <c r="L26" i="5"/>
  <c r="L51" i="5"/>
  <c r="L49" i="5"/>
  <c r="J123" i="5"/>
  <c r="J116" i="5"/>
  <c r="J106" i="5"/>
  <c r="J100" i="5"/>
  <c r="J96" i="5"/>
  <c r="J92" i="5"/>
  <c r="J87" i="5"/>
  <c r="J82" i="5"/>
  <c r="J78" i="5"/>
  <c r="J74" i="5"/>
  <c r="J70" i="5"/>
  <c r="J140" i="5"/>
  <c r="J65" i="5"/>
  <c r="J61" i="5"/>
  <c r="J55" i="5"/>
  <c r="J46" i="5"/>
  <c r="J42" i="5"/>
  <c r="J38" i="5"/>
  <c r="J34" i="5"/>
  <c r="J28" i="5"/>
  <c r="J16" i="5"/>
  <c r="J12" i="5"/>
  <c r="J8" i="5"/>
  <c r="J120" i="5"/>
  <c r="J112" i="5"/>
  <c r="J104" i="5"/>
  <c r="J6" i="5"/>
  <c r="J30" i="5"/>
  <c r="J26" i="5"/>
  <c r="J51" i="5"/>
  <c r="J49" i="5"/>
  <c r="L178" i="5"/>
  <c r="L199" i="5"/>
  <c r="L195" i="5"/>
  <c r="L190" i="5"/>
  <c r="L186" i="5"/>
  <c r="L183" i="5"/>
  <c r="L174" i="5"/>
  <c r="L169" i="5"/>
  <c r="L165" i="5"/>
  <c r="L161" i="5"/>
  <c r="L157" i="5"/>
  <c r="L153" i="5"/>
  <c r="L149" i="5"/>
  <c r="L145" i="5"/>
  <c r="L138" i="5"/>
  <c r="L134" i="5"/>
  <c r="L130" i="5"/>
  <c r="L126" i="5"/>
  <c r="L119" i="5"/>
  <c r="L109" i="5"/>
  <c r="L103" i="5"/>
  <c r="L99" i="5"/>
  <c r="L95" i="5"/>
  <c r="L90" i="5"/>
  <c r="L85" i="5"/>
  <c r="L81" i="5"/>
  <c r="L77" i="5"/>
  <c r="L73" i="5"/>
  <c r="L69" i="5"/>
  <c r="L139" i="5"/>
  <c r="L64" i="5"/>
  <c r="L60" i="5"/>
  <c r="L54" i="5"/>
  <c r="L45" i="5"/>
  <c r="L41" i="5"/>
  <c r="L37" i="5"/>
  <c r="L33" i="5"/>
  <c r="L19" i="5"/>
  <c r="L15" i="5"/>
  <c r="L11" i="5"/>
  <c r="L172" i="5"/>
  <c r="L115" i="5"/>
  <c r="L111" i="5"/>
  <c r="L91" i="5"/>
  <c r="L5" i="5"/>
  <c r="L31" i="5"/>
  <c r="L25" i="5"/>
  <c r="L50" i="5"/>
  <c r="L20" i="5"/>
  <c r="W20" i="5"/>
  <c r="Z20" i="5" s="1"/>
  <c r="W49" i="5"/>
  <c r="W21" i="5"/>
  <c r="Z21" i="5" s="1"/>
  <c r="W22" i="5"/>
  <c r="W50" i="5"/>
  <c r="Z50" i="5" s="1"/>
  <c r="W51" i="5"/>
  <c r="Z51" i="5" s="1"/>
  <c r="W23" i="5"/>
  <c r="W24" i="5"/>
  <c r="W25" i="5"/>
  <c r="Z25" i="5" s="1"/>
  <c r="W26" i="5"/>
  <c r="W27" i="5"/>
  <c r="Z27" i="5" s="1"/>
  <c r="W52" i="5"/>
  <c r="W31" i="5"/>
  <c r="Z31" i="5" s="1"/>
  <c r="W30" i="5"/>
  <c r="Z30" i="5" s="1"/>
  <c r="W3" i="5"/>
  <c r="W4" i="5"/>
  <c r="W5" i="5"/>
  <c r="Z5" i="5" s="1"/>
  <c r="W6" i="5"/>
  <c r="W7" i="5"/>
  <c r="Z7" i="5" s="1"/>
  <c r="W86" i="5"/>
  <c r="W91" i="5"/>
  <c r="Z91" i="5" s="1"/>
  <c r="W104" i="5"/>
  <c r="Z104" i="5" s="1"/>
  <c r="W105" i="5"/>
  <c r="W110" i="5"/>
  <c r="W111" i="5"/>
  <c r="Z111" i="5" s="1"/>
  <c r="W112" i="5"/>
  <c r="W113" i="5"/>
  <c r="Z113" i="5" s="1"/>
  <c r="W114" i="5"/>
  <c r="W115" i="5"/>
  <c r="Z115" i="5" s="1"/>
  <c r="W120" i="5"/>
  <c r="Z120" i="5" s="1"/>
  <c r="W121" i="5"/>
  <c r="W122" i="5"/>
  <c r="W172" i="5"/>
  <c r="Z172" i="5" s="1"/>
  <c r="W8" i="5"/>
  <c r="W9" i="5"/>
  <c r="Z9" i="5" s="1"/>
  <c r="W10" i="5"/>
  <c r="Z10" i="5" s="1"/>
  <c r="W11" i="5"/>
  <c r="Z11" i="5" s="1"/>
  <c r="W12" i="5"/>
  <c r="W13" i="5"/>
  <c r="W14" i="5"/>
  <c r="Z14" i="5" s="1"/>
  <c r="W15" i="5"/>
  <c r="W16" i="5"/>
  <c r="Z16" i="5" s="1"/>
  <c r="W17" i="5"/>
  <c r="W18" i="5"/>
  <c r="Z18" i="5" s="1"/>
  <c r="W19" i="5"/>
  <c r="Z19" i="5" s="1"/>
  <c r="W28" i="5"/>
  <c r="W29" i="5"/>
  <c r="W32" i="5"/>
  <c r="Z32" i="5" s="1"/>
  <c r="W33" i="5"/>
  <c r="W34" i="5"/>
  <c r="Z34" i="5" s="1"/>
  <c r="W35" i="5"/>
  <c r="W36" i="5"/>
  <c r="Z36" i="5" s="1"/>
  <c r="W37" i="5"/>
  <c r="Z37" i="5" s="1"/>
  <c r="W38" i="5"/>
  <c r="W39" i="5"/>
  <c r="W40" i="5"/>
  <c r="Z40" i="5" s="1"/>
  <c r="W41" i="5"/>
  <c r="W42" i="5"/>
  <c r="Z42" i="5" s="1"/>
  <c r="W43" i="5"/>
  <c r="W44" i="5"/>
  <c r="Z44" i="5" s="1"/>
  <c r="W45" i="5"/>
  <c r="Z45" i="5" s="1"/>
  <c r="W46" i="5"/>
  <c r="W47" i="5"/>
  <c r="W53" i="5"/>
  <c r="Z53" i="5" s="1"/>
  <c r="W54" i="5"/>
  <c r="W55" i="5"/>
  <c r="Z55" i="5" s="1"/>
  <c r="W58" i="5"/>
  <c r="W59" i="5"/>
  <c r="Z59" i="5" s="1"/>
  <c r="W60" i="5"/>
  <c r="Z60" i="5" s="1"/>
  <c r="W61" i="5"/>
  <c r="W62" i="5"/>
  <c r="W63" i="5"/>
  <c r="Z63" i="5" s="1"/>
  <c r="W64" i="5"/>
  <c r="W65" i="5"/>
  <c r="Z65" i="5" s="1"/>
  <c r="W66" i="5"/>
  <c r="W67" i="5"/>
  <c r="Z67" i="5" s="1"/>
  <c r="W139" i="5"/>
  <c r="Z139" i="5" s="1"/>
  <c r="W140" i="5"/>
  <c r="W141" i="5"/>
  <c r="W68" i="5"/>
  <c r="Z68" i="5" s="1"/>
  <c r="W69" i="5"/>
  <c r="Z69" i="5" s="1"/>
  <c r="W70" i="5"/>
  <c r="Z70" i="5" s="1"/>
  <c r="W71" i="5"/>
  <c r="W72" i="5"/>
  <c r="Z72" i="5" s="1"/>
  <c r="W73" i="5"/>
  <c r="Z73" i="5" s="1"/>
  <c r="W74" i="5"/>
  <c r="W75" i="5"/>
  <c r="W76" i="5"/>
  <c r="Z76" i="5" s="1"/>
  <c r="W77" i="5"/>
  <c r="Z77" i="5" s="1"/>
  <c r="W78" i="5"/>
  <c r="Z78" i="5" s="1"/>
  <c r="W79" i="5"/>
  <c r="W80" i="5"/>
  <c r="Z80" i="5" s="1"/>
  <c r="W81" i="5"/>
  <c r="Z81" i="5" s="1"/>
  <c r="W82" i="5"/>
  <c r="Z82" i="5" s="1"/>
  <c r="W83" i="5"/>
  <c r="Z83" i="5" s="1"/>
  <c r="W84" i="5"/>
  <c r="Z84" i="5" s="1"/>
  <c r="W85" i="5"/>
  <c r="Z85" i="5" s="1"/>
  <c r="W87" i="5"/>
  <c r="Z87" i="5" s="1"/>
  <c r="W88" i="5"/>
  <c r="Z88" i="5" s="1"/>
  <c r="W89" i="5"/>
  <c r="Z89" i="5" s="1"/>
  <c r="W90" i="5"/>
  <c r="Z90" i="5" s="1"/>
  <c r="W92" i="5"/>
  <c r="Z92" i="5" s="1"/>
  <c r="W93" i="5"/>
  <c r="Z93" i="5" s="1"/>
  <c r="W94" i="5"/>
  <c r="Z94" i="5" s="1"/>
  <c r="W95" i="5"/>
  <c r="Z95" i="5" s="1"/>
  <c r="W96" i="5"/>
  <c r="Z96" i="5" s="1"/>
  <c r="W97" i="5"/>
  <c r="Z97" i="5" s="1"/>
  <c r="W98" i="5"/>
  <c r="Z98" i="5" s="1"/>
  <c r="W99" i="5"/>
  <c r="Z99" i="5" s="1"/>
  <c r="W100" i="5"/>
  <c r="Z100" i="5" s="1"/>
  <c r="W101" i="5"/>
  <c r="Z101" i="5" s="1"/>
  <c r="W102" i="5"/>
  <c r="Z102" i="5" s="1"/>
  <c r="W103" i="5"/>
  <c r="Z103" i="5" s="1"/>
  <c r="W106" i="5"/>
  <c r="Z106" i="5" s="1"/>
  <c r="W107" i="5"/>
  <c r="W108" i="5"/>
  <c r="Z108" i="5" s="1"/>
  <c r="W109" i="5"/>
  <c r="Z109" i="5" s="1"/>
  <c r="W116" i="5"/>
  <c r="W117" i="5"/>
  <c r="W118" i="5"/>
  <c r="Z118" i="5" s="1"/>
  <c r="W119" i="5"/>
  <c r="W123" i="5"/>
  <c r="W124" i="5"/>
  <c r="W125" i="5"/>
  <c r="W126" i="5"/>
  <c r="Z126" i="5" s="1"/>
  <c r="W127" i="5"/>
  <c r="W128" i="5"/>
  <c r="W129" i="5"/>
  <c r="W130" i="5"/>
  <c r="W131" i="5"/>
  <c r="W132" i="5"/>
  <c r="W133" i="5"/>
  <c r="Z133" i="5" s="1"/>
  <c r="W134" i="5"/>
  <c r="W135" i="5"/>
  <c r="W136" i="5"/>
  <c r="W137" i="5"/>
  <c r="W138" i="5"/>
  <c r="W142" i="5"/>
  <c r="W143" i="5"/>
  <c r="W144" i="5"/>
  <c r="W145" i="5"/>
  <c r="W146" i="5"/>
  <c r="Z146" i="5" s="1"/>
  <c r="W147" i="5"/>
  <c r="W148" i="5"/>
  <c r="W149" i="5"/>
  <c r="Z149" i="5" s="1"/>
  <c r="W150" i="5"/>
  <c r="Z150" i="5" s="1"/>
  <c r="W151" i="5"/>
  <c r="W152" i="5"/>
  <c r="W153" i="5"/>
  <c r="W154" i="5"/>
  <c r="Z154" i="5" s="1"/>
  <c r="W155" i="5"/>
  <c r="Z155" i="5" s="1"/>
  <c r="W156" i="5"/>
  <c r="Z156" i="5" s="1"/>
  <c r="W157" i="5"/>
  <c r="Z157" i="5" s="1"/>
  <c r="W158" i="5"/>
  <c r="Z158" i="5" s="1"/>
  <c r="W159" i="5"/>
  <c r="Z159" i="5" s="1"/>
  <c r="W160" i="5"/>
  <c r="Z160" i="5" s="1"/>
  <c r="W161" i="5"/>
  <c r="Z161" i="5" s="1"/>
  <c r="W162" i="5"/>
  <c r="Z162" i="5" s="1"/>
  <c r="W163" i="5"/>
  <c r="Z163" i="5" s="1"/>
  <c r="W164" i="5"/>
  <c r="Z164" i="5" s="1"/>
  <c r="W165" i="5"/>
  <c r="Z165" i="5" s="1"/>
  <c r="W166" i="5"/>
  <c r="Z166" i="5" s="1"/>
  <c r="W167" i="5"/>
  <c r="Z167" i="5" s="1"/>
  <c r="W168" i="5"/>
  <c r="Z168" i="5" s="1"/>
  <c r="W169" i="5"/>
  <c r="Z169" i="5" s="1"/>
  <c r="W170" i="5"/>
  <c r="Z170" i="5" s="1"/>
  <c r="W171" i="5"/>
  <c r="Z171" i="5" s="1"/>
  <c r="W173" i="5"/>
  <c r="Z173" i="5" s="1"/>
  <c r="W174" i="5"/>
  <c r="Z174" i="5" s="1"/>
  <c r="W175" i="5"/>
  <c r="Z175" i="5" s="1"/>
  <c r="W179" i="5"/>
  <c r="Z179" i="5" s="1"/>
  <c r="W181" i="5"/>
  <c r="W182" i="5"/>
  <c r="Z182" i="5" s="1"/>
  <c r="W183" i="5"/>
  <c r="W184" i="5"/>
  <c r="W185" i="5"/>
  <c r="W186" i="5"/>
  <c r="Z186" i="5" s="1"/>
  <c r="W187" i="5"/>
  <c r="W188" i="5"/>
  <c r="W189" i="5"/>
  <c r="W190" i="5"/>
  <c r="Z190" i="5" s="1"/>
  <c r="W191" i="5"/>
  <c r="W192" i="5"/>
  <c r="W193" i="5"/>
  <c r="W195" i="5"/>
  <c r="Z195" i="5" s="1"/>
  <c r="W196" i="5"/>
  <c r="W197" i="5"/>
  <c r="W198" i="5"/>
  <c r="W199" i="5"/>
  <c r="Z199" i="5" s="1"/>
  <c r="W176" i="5"/>
  <c r="W177" i="5"/>
  <c r="W194" i="5"/>
  <c r="W178" i="5"/>
  <c r="Z178" i="5" s="1"/>
  <c r="W48" i="5"/>
  <c r="U20" i="5"/>
  <c r="U49" i="5"/>
  <c r="U21" i="5"/>
  <c r="U22" i="5"/>
  <c r="U50" i="5"/>
  <c r="U51" i="5"/>
  <c r="U23" i="5"/>
  <c r="U24" i="5"/>
  <c r="U25" i="5"/>
  <c r="U26" i="5"/>
  <c r="U27" i="5"/>
  <c r="U52" i="5"/>
  <c r="U31" i="5"/>
  <c r="U30" i="5"/>
  <c r="U3" i="5"/>
  <c r="U4" i="5"/>
  <c r="U5" i="5"/>
  <c r="U6" i="5"/>
  <c r="U7" i="5"/>
  <c r="U86" i="5"/>
  <c r="U91" i="5"/>
  <c r="U104" i="5"/>
  <c r="U105" i="5"/>
  <c r="U110" i="5"/>
  <c r="U111" i="5"/>
  <c r="U112" i="5"/>
  <c r="U113" i="5"/>
  <c r="U114" i="5"/>
  <c r="U115" i="5"/>
  <c r="U120" i="5"/>
  <c r="U121" i="5"/>
  <c r="U122" i="5"/>
  <c r="U172" i="5"/>
  <c r="U8" i="5"/>
  <c r="U9" i="5"/>
  <c r="U10" i="5"/>
  <c r="U11" i="5"/>
  <c r="U12" i="5"/>
  <c r="U13" i="5"/>
  <c r="U14" i="5"/>
  <c r="U15" i="5"/>
  <c r="U16" i="5"/>
  <c r="U17" i="5"/>
  <c r="U18" i="5"/>
  <c r="U19" i="5"/>
  <c r="U28" i="5"/>
  <c r="U29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53" i="5"/>
  <c r="U54" i="5"/>
  <c r="U55" i="5"/>
  <c r="U58" i="5"/>
  <c r="U59" i="5"/>
  <c r="U60" i="5"/>
  <c r="U61" i="5"/>
  <c r="U62" i="5"/>
  <c r="U63" i="5"/>
  <c r="U64" i="5"/>
  <c r="U65" i="5"/>
  <c r="U66" i="5"/>
  <c r="U67" i="5"/>
  <c r="U139" i="5"/>
  <c r="U140" i="5"/>
  <c r="U141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7" i="5"/>
  <c r="U88" i="5"/>
  <c r="U89" i="5"/>
  <c r="U90" i="5"/>
  <c r="U92" i="5"/>
  <c r="U93" i="5"/>
  <c r="U94" i="5"/>
  <c r="U95" i="5"/>
  <c r="U96" i="5"/>
  <c r="U97" i="5"/>
  <c r="U98" i="5"/>
  <c r="U99" i="5"/>
  <c r="U100" i="5"/>
  <c r="U101" i="5"/>
  <c r="U102" i="5"/>
  <c r="U103" i="5"/>
  <c r="U106" i="5"/>
  <c r="U107" i="5"/>
  <c r="U108" i="5"/>
  <c r="U109" i="5"/>
  <c r="U116" i="5"/>
  <c r="U117" i="5"/>
  <c r="U118" i="5"/>
  <c r="U119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8" i="5"/>
  <c r="U169" i="5"/>
  <c r="U170" i="5"/>
  <c r="U171" i="5"/>
  <c r="U173" i="5"/>
  <c r="U175" i="5"/>
  <c r="U179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5" i="5"/>
  <c r="U196" i="5"/>
  <c r="U197" i="5"/>
  <c r="U198" i="5"/>
  <c r="U199" i="5"/>
  <c r="U176" i="5"/>
  <c r="U177" i="5"/>
  <c r="U194" i="5"/>
  <c r="U178" i="5"/>
  <c r="U48" i="5"/>
  <c r="S20" i="5"/>
  <c r="S49" i="5"/>
  <c r="S21" i="5"/>
  <c r="S22" i="5"/>
  <c r="S50" i="5"/>
  <c r="S51" i="5"/>
  <c r="S23" i="5"/>
  <c r="S24" i="5"/>
  <c r="S25" i="5"/>
  <c r="S26" i="5"/>
  <c r="S27" i="5"/>
  <c r="S52" i="5"/>
  <c r="S31" i="5"/>
  <c r="S30" i="5"/>
  <c r="S3" i="5"/>
  <c r="S4" i="5"/>
  <c r="S5" i="5"/>
  <c r="S6" i="5"/>
  <c r="S7" i="5"/>
  <c r="S86" i="5"/>
  <c r="S91" i="5"/>
  <c r="S104" i="5"/>
  <c r="S105" i="5"/>
  <c r="S110" i="5"/>
  <c r="S111" i="5"/>
  <c r="S112" i="5"/>
  <c r="S113" i="5"/>
  <c r="S114" i="5"/>
  <c r="S115" i="5"/>
  <c r="S120" i="5"/>
  <c r="S121" i="5"/>
  <c r="S122" i="5"/>
  <c r="S172" i="5"/>
  <c r="S8" i="5"/>
  <c r="S9" i="5"/>
  <c r="S10" i="5"/>
  <c r="S11" i="5"/>
  <c r="S12" i="5"/>
  <c r="S13" i="5"/>
  <c r="S14" i="5"/>
  <c r="S15" i="5"/>
  <c r="S16" i="5"/>
  <c r="S17" i="5"/>
  <c r="S18" i="5"/>
  <c r="S19" i="5"/>
  <c r="S28" i="5"/>
  <c r="S29" i="5"/>
  <c r="S32" i="5"/>
  <c r="S33" i="5"/>
  <c r="S34" i="5"/>
  <c r="S35" i="5"/>
  <c r="S36" i="5"/>
  <c r="S37" i="5"/>
  <c r="S38" i="5"/>
  <c r="S40" i="5"/>
  <c r="S41" i="5"/>
  <c r="S42" i="5"/>
  <c r="S43" i="5"/>
  <c r="S44" i="5"/>
  <c r="S45" i="5"/>
  <c r="S46" i="5"/>
  <c r="S47" i="5"/>
  <c r="S53" i="5"/>
  <c r="S54" i="5"/>
  <c r="S55" i="5"/>
  <c r="S58" i="5"/>
  <c r="S59" i="5"/>
  <c r="S60" i="5"/>
  <c r="S61" i="5"/>
  <c r="S62" i="5"/>
  <c r="S63" i="5"/>
  <c r="S64" i="5"/>
  <c r="S65" i="5"/>
  <c r="S66" i="5"/>
  <c r="S67" i="5"/>
  <c r="S139" i="5"/>
  <c r="S140" i="5"/>
  <c r="S141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7" i="5"/>
  <c r="S88" i="5"/>
  <c r="S89" i="5"/>
  <c r="S90" i="5"/>
  <c r="S92" i="5"/>
  <c r="S93" i="5"/>
  <c r="S94" i="5"/>
  <c r="S95" i="5"/>
  <c r="S96" i="5"/>
  <c r="S97" i="5"/>
  <c r="S98" i="5"/>
  <c r="S99" i="5"/>
  <c r="S100" i="5"/>
  <c r="S101" i="5"/>
  <c r="S102" i="5"/>
  <c r="S103" i="5"/>
  <c r="S106" i="5"/>
  <c r="S107" i="5"/>
  <c r="S108" i="5"/>
  <c r="S109" i="5"/>
  <c r="S116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44" i="5"/>
  <c r="S152" i="5"/>
  <c r="S153" i="5"/>
  <c r="S154" i="5"/>
  <c r="S155" i="5"/>
  <c r="S156" i="5"/>
  <c r="S157" i="5"/>
  <c r="S159" i="5"/>
  <c r="S160" i="5"/>
  <c r="S161" i="5"/>
  <c r="S163" i="5"/>
  <c r="S164" i="5"/>
  <c r="S166" i="5"/>
  <c r="S168" i="5"/>
  <c r="S170" i="5"/>
  <c r="S173" i="5"/>
  <c r="S175" i="5"/>
  <c r="S179" i="5"/>
  <c r="S183" i="5"/>
  <c r="S184" i="5"/>
  <c r="S185" i="5"/>
  <c r="S186" i="5"/>
  <c r="S189" i="5"/>
  <c r="S190" i="5"/>
  <c r="S191" i="5"/>
  <c r="S192" i="5"/>
  <c r="S193" i="5"/>
  <c r="S196" i="5"/>
  <c r="S197" i="5"/>
  <c r="S198" i="5"/>
  <c r="S199" i="5"/>
  <c r="S176" i="5"/>
  <c r="S177" i="5"/>
  <c r="S194" i="5"/>
  <c r="S178" i="5"/>
  <c r="S48" i="5"/>
  <c r="Q20" i="5"/>
  <c r="R20" i="5" s="1"/>
  <c r="Q49" i="5"/>
  <c r="R49" i="5" s="1"/>
  <c r="Q21" i="5"/>
  <c r="R21" i="5" s="1"/>
  <c r="Q22" i="5"/>
  <c r="R22" i="5" s="1"/>
  <c r="Q50" i="5"/>
  <c r="R50" i="5" s="1"/>
  <c r="Q51" i="5"/>
  <c r="R51" i="5" s="1"/>
  <c r="Q23" i="5"/>
  <c r="R23" i="5" s="1"/>
  <c r="Q24" i="5"/>
  <c r="R24" i="5" s="1"/>
  <c r="Q25" i="5"/>
  <c r="R25" i="5" s="1"/>
  <c r="Q26" i="5"/>
  <c r="R26" i="5" s="1"/>
  <c r="Q27" i="5"/>
  <c r="R27" i="5" s="1"/>
  <c r="Q52" i="5"/>
  <c r="R52" i="5" s="1"/>
  <c r="Q31" i="5"/>
  <c r="R31" i="5" s="1"/>
  <c r="Q30" i="5"/>
  <c r="R30" i="5" s="1"/>
  <c r="Q3" i="5"/>
  <c r="Q4" i="5"/>
  <c r="R4" i="5" s="1"/>
  <c r="Q5" i="5"/>
  <c r="R5" i="5" s="1"/>
  <c r="Q6" i="5"/>
  <c r="R6" i="5" s="1"/>
  <c r="Q7" i="5"/>
  <c r="R7" i="5" s="1"/>
  <c r="Q86" i="5"/>
  <c r="R86" i="5" s="1"/>
  <c r="Q91" i="5"/>
  <c r="R91" i="5" s="1"/>
  <c r="Q104" i="5"/>
  <c r="R104" i="5" s="1"/>
  <c r="Q105" i="5"/>
  <c r="R105" i="5" s="1"/>
  <c r="Q110" i="5"/>
  <c r="R110" i="5" s="1"/>
  <c r="Q111" i="5"/>
  <c r="R111" i="5" s="1"/>
  <c r="Q112" i="5"/>
  <c r="R112" i="5" s="1"/>
  <c r="Q113" i="5"/>
  <c r="R113" i="5" s="1"/>
  <c r="Q114" i="5"/>
  <c r="R114" i="5" s="1"/>
  <c r="Q115" i="5"/>
  <c r="R115" i="5" s="1"/>
  <c r="Q120" i="5"/>
  <c r="R120" i="5" s="1"/>
  <c r="Q121" i="5"/>
  <c r="R121" i="5" s="1"/>
  <c r="Q122" i="5"/>
  <c r="R122" i="5" s="1"/>
  <c r="Q172" i="5"/>
  <c r="R172" i="5" s="1"/>
  <c r="Q8" i="5"/>
  <c r="R8" i="5" s="1"/>
  <c r="Q9" i="5"/>
  <c r="R9" i="5" s="1"/>
  <c r="Q10" i="5"/>
  <c r="R10" i="5" s="1"/>
  <c r="Q11" i="5"/>
  <c r="R11" i="5" s="1"/>
  <c r="Q12" i="5"/>
  <c r="R12" i="5" s="1"/>
  <c r="Q13" i="5"/>
  <c r="R13" i="5" s="1"/>
  <c r="Q14" i="5"/>
  <c r="Q15" i="5"/>
  <c r="R15" i="5" s="1"/>
  <c r="Q16" i="5"/>
  <c r="R16" i="5" s="1"/>
  <c r="Q17" i="5"/>
  <c r="R17" i="5" s="1"/>
  <c r="Q18" i="5"/>
  <c r="R18" i="5" s="1"/>
  <c r="Q19" i="5"/>
  <c r="R19" i="5" s="1"/>
  <c r="Q28" i="5"/>
  <c r="R28" i="5" s="1"/>
  <c r="Q29" i="5"/>
  <c r="R29" i="5" s="1"/>
  <c r="Q32" i="5"/>
  <c r="R32" i="5" s="1"/>
  <c r="Q33" i="5"/>
  <c r="R33" i="5" s="1"/>
  <c r="Q34" i="5"/>
  <c r="R34" i="5" s="1"/>
  <c r="Q35" i="5"/>
  <c r="R35" i="5" s="1"/>
  <c r="Q36" i="5"/>
  <c r="R36" i="5" s="1"/>
  <c r="Q37" i="5"/>
  <c r="R37" i="5" s="1"/>
  <c r="Q38" i="5"/>
  <c r="R38" i="5" s="1"/>
  <c r="Q40" i="5"/>
  <c r="R40" i="5" s="1"/>
  <c r="Q41" i="5"/>
  <c r="R41" i="5" s="1"/>
  <c r="Q42" i="5"/>
  <c r="R42" i="5" s="1"/>
  <c r="Q44" i="5"/>
  <c r="R44" i="5" s="1"/>
  <c r="Q45" i="5"/>
  <c r="R45" i="5" s="1"/>
  <c r="Q46" i="5"/>
  <c r="R46" i="5" s="1"/>
  <c r="Q47" i="5"/>
  <c r="R47" i="5" s="1"/>
  <c r="Q53" i="5"/>
  <c r="R53" i="5" s="1"/>
  <c r="Q54" i="5"/>
  <c r="R54" i="5" s="1"/>
  <c r="Q55" i="5"/>
  <c r="R55" i="5" s="1"/>
  <c r="Q58" i="5"/>
  <c r="R58" i="5" s="1"/>
  <c r="Q59" i="5"/>
  <c r="R59" i="5" s="1"/>
  <c r="Q60" i="5"/>
  <c r="R60" i="5" s="1"/>
  <c r="Q61" i="5"/>
  <c r="R61" i="5" s="1"/>
  <c r="Q62" i="5"/>
  <c r="R62" i="5" s="1"/>
  <c r="Q63" i="5"/>
  <c r="R63" i="5" s="1"/>
  <c r="Q64" i="5"/>
  <c r="R64" i="5" s="1"/>
  <c r="Q65" i="5"/>
  <c r="R65" i="5" s="1"/>
  <c r="Q66" i="5"/>
  <c r="R66" i="5" s="1"/>
  <c r="Q67" i="5"/>
  <c r="R67" i="5" s="1"/>
  <c r="Q139" i="5"/>
  <c r="R139" i="5" s="1"/>
  <c r="Q140" i="5"/>
  <c r="R140" i="5" s="1"/>
  <c r="Q141" i="5"/>
  <c r="R141" i="5" s="1"/>
  <c r="Q69" i="5"/>
  <c r="R69" i="5" s="1"/>
  <c r="Q70" i="5"/>
  <c r="R70" i="5" s="1"/>
  <c r="Q71" i="5"/>
  <c r="R71" i="5" s="1"/>
  <c r="Q72" i="5"/>
  <c r="R72" i="5" s="1"/>
  <c r="Q73" i="5"/>
  <c r="R73" i="5" s="1"/>
  <c r="Q74" i="5"/>
  <c r="R74" i="5" s="1"/>
  <c r="Q75" i="5"/>
  <c r="R75" i="5" s="1"/>
  <c r="Q76" i="5"/>
  <c r="R76" i="5" s="1"/>
  <c r="Q77" i="5"/>
  <c r="R77" i="5" s="1"/>
  <c r="Q78" i="5"/>
  <c r="R78" i="5" s="1"/>
  <c r="Q81" i="5"/>
  <c r="R81" i="5" s="1"/>
  <c r="Q82" i="5"/>
  <c r="R82" i="5" s="1"/>
  <c r="Q83" i="5"/>
  <c r="R83" i="5" s="1"/>
  <c r="Q84" i="5"/>
  <c r="R84" i="5" s="1"/>
  <c r="Q85" i="5"/>
  <c r="R85" i="5" s="1"/>
  <c r="Q87" i="5"/>
  <c r="R87" i="5" s="1"/>
  <c r="Q88" i="5"/>
  <c r="R88" i="5" s="1"/>
  <c r="Q89" i="5"/>
  <c r="R89" i="5" s="1"/>
  <c r="Q90" i="5"/>
  <c r="R90" i="5" s="1"/>
  <c r="Q92" i="5"/>
  <c r="R92" i="5" s="1"/>
  <c r="Q93" i="5"/>
  <c r="R93" i="5" s="1"/>
  <c r="Q94" i="5"/>
  <c r="R94" i="5" s="1"/>
  <c r="Q95" i="5"/>
  <c r="R95" i="5" s="1"/>
  <c r="Q96" i="5"/>
  <c r="R96" i="5" s="1"/>
  <c r="Q97" i="5"/>
  <c r="R97" i="5" s="1"/>
  <c r="Q98" i="5"/>
  <c r="R98" i="5" s="1"/>
  <c r="Q99" i="5"/>
  <c r="R99" i="5" s="1"/>
  <c r="Q100" i="5"/>
  <c r="R100" i="5" s="1"/>
  <c r="Q101" i="5"/>
  <c r="R101" i="5" s="1"/>
  <c r="Q102" i="5"/>
  <c r="R102" i="5" s="1"/>
  <c r="Q103" i="5"/>
  <c r="R103" i="5" s="1"/>
  <c r="Q106" i="5"/>
  <c r="R106" i="5" s="1"/>
  <c r="Q107" i="5"/>
  <c r="R107" i="5" s="1"/>
  <c r="Q108" i="5"/>
  <c r="R108" i="5" s="1"/>
  <c r="Q109" i="5"/>
  <c r="R109" i="5" s="1"/>
  <c r="Q116" i="5"/>
  <c r="R116" i="5" s="1"/>
  <c r="Q123" i="5"/>
  <c r="R123" i="5" s="1"/>
  <c r="Q124" i="5"/>
  <c r="R124" i="5" s="1"/>
  <c r="Q125" i="5"/>
  <c r="R125" i="5" s="1"/>
  <c r="Q126" i="5"/>
  <c r="R126" i="5" s="1"/>
  <c r="Q127" i="5"/>
  <c r="R127" i="5" s="1"/>
  <c r="Q128" i="5"/>
  <c r="R128" i="5" s="1"/>
  <c r="Q129" i="5"/>
  <c r="R129" i="5" s="1"/>
  <c r="Q130" i="5"/>
  <c r="R130" i="5" s="1"/>
  <c r="Q131" i="5"/>
  <c r="R131" i="5" s="1"/>
  <c r="Q132" i="5"/>
  <c r="R132" i="5" s="1"/>
  <c r="Q133" i="5"/>
  <c r="R133" i="5" s="1"/>
  <c r="Q134" i="5"/>
  <c r="R134" i="5" s="1"/>
  <c r="Q135" i="5"/>
  <c r="R135" i="5" s="1"/>
  <c r="Q136" i="5"/>
  <c r="R136" i="5" s="1"/>
  <c r="Q137" i="5"/>
  <c r="R137" i="5" s="1"/>
  <c r="Q138" i="5"/>
  <c r="R138" i="5" s="1"/>
  <c r="Q152" i="5"/>
  <c r="R152" i="5" s="1"/>
  <c r="Q153" i="5"/>
  <c r="R153" i="5" s="1"/>
  <c r="Q154" i="5"/>
  <c r="R154" i="5" s="1"/>
  <c r="Q156" i="5"/>
  <c r="R156" i="5" s="1"/>
  <c r="Q159" i="5"/>
  <c r="R159" i="5" s="1"/>
  <c r="Q163" i="5"/>
  <c r="R163" i="5" s="1"/>
  <c r="Q166" i="5"/>
  <c r="R166" i="5" s="1"/>
  <c r="Q170" i="5"/>
  <c r="R170" i="5" s="1"/>
  <c r="Q173" i="5"/>
  <c r="R173" i="5" s="1"/>
  <c r="Q179" i="5"/>
  <c r="R179" i="5" s="1"/>
  <c r="Q183" i="5"/>
  <c r="R183" i="5" s="1"/>
  <c r="Q184" i="5"/>
  <c r="R184" i="5" s="1"/>
  <c r="Q185" i="5"/>
  <c r="R185" i="5" s="1"/>
  <c r="Q186" i="5"/>
  <c r="R186" i="5" s="1"/>
  <c r="Q189" i="5"/>
  <c r="R189" i="5" s="1"/>
  <c r="Q190" i="5"/>
  <c r="R190" i="5" s="1"/>
  <c r="Q191" i="5"/>
  <c r="R191" i="5" s="1"/>
  <c r="Q192" i="5"/>
  <c r="R192" i="5" s="1"/>
  <c r="Q193" i="5"/>
  <c r="R193" i="5" s="1"/>
  <c r="Q196" i="5"/>
  <c r="R196" i="5" s="1"/>
  <c r="Q197" i="5"/>
  <c r="R197" i="5" s="1"/>
  <c r="Q198" i="5"/>
  <c r="R198" i="5" s="1"/>
  <c r="Q199" i="5"/>
  <c r="R199" i="5" s="1"/>
  <c r="Q176" i="5"/>
  <c r="R176" i="5" s="1"/>
  <c r="Q177" i="5"/>
  <c r="R177" i="5" s="1"/>
  <c r="Q194" i="5"/>
  <c r="R194" i="5" s="1"/>
  <c r="Q178" i="5"/>
  <c r="R178" i="5" s="1"/>
  <c r="Q48" i="5"/>
  <c r="R48" i="5" s="1"/>
  <c r="R3" i="5" l="1"/>
  <c r="Q1" i="5"/>
  <c r="S1" i="5"/>
  <c r="U1" i="5"/>
  <c r="J1" i="5"/>
  <c r="L1" i="5"/>
  <c r="P1" i="5"/>
  <c r="H1" i="5"/>
  <c r="W1" i="5"/>
  <c r="F1" i="5"/>
  <c r="N1" i="5"/>
  <c r="D1" i="5"/>
  <c r="R14" i="5"/>
  <c r="X199" i="5"/>
  <c r="X138" i="5"/>
  <c r="X182" i="5"/>
  <c r="X162" i="5"/>
  <c r="X146" i="5"/>
  <c r="V134" i="5"/>
  <c r="V119" i="5"/>
  <c r="V99" i="5"/>
  <c r="V81" i="5"/>
  <c r="V139" i="5"/>
  <c r="V60" i="5"/>
  <c r="V45" i="5"/>
  <c r="V37" i="5"/>
  <c r="V19" i="5"/>
  <c r="V11" i="5"/>
  <c r="V120" i="5"/>
  <c r="V104" i="5"/>
  <c r="V26" i="5"/>
  <c r="V51" i="5"/>
  <c r="V49" i="5"/>
  <c r="X193" i="5"/>
  <c r="X185" i="5"/>
  <c r="X169" i="5"/>
  <c r="Z153" i="5"/>
  <c r="X153" i="5"/>
  <c r="X134" i="5"/>
  <c r="Z134" i="5"/>
  <c r="X119" i="5"/>
  <c r="X103" i="5"/>
  <c r="X64" i="5"/>
  <c r="X54" i="5"/>
  <c r="X41" i="5"/>
  <c r="X33" i="5"/>
  <c r="X15" i="5"/>
  <c r="X8" i="5"/>
  <c r="X112" i="5"/>
  <c r="X6" i="5"/>
  <c r="X26" i="5"/>
  <c r="X49" i="5"/>
  <c r="X109" i="5"/>
  <c r="X73" i="5"/>
  <c r="X37" i="5"/>
  <c r="X104" i="5"/>
  <c r="Z26" i="5"/>
  <c r="Z15" i="5"/>
  <c r="Z64" i="5"/>
  <c r="Z138" i="5"/>
  <c r="T188" i="5"/>
  <c r="V68" i="5"/>
  <c r="V67" i="5"/>
  <c r="V63" i="5"/>
  <c r="V59" i="5"/>
  <c r="V53" i="5"/>
  <c r="V44" i="5"/>
  <c r="V40" i="5"/>
  <c r="V36" i="5"/>
  <c r="V32" i="5"/>
  <c r="V18" i="5"/>
  <c r="V14" i="5"/>
  <c r="V10" i="5"/>
  <c r="V172" i="5"/>
  <c r="V115" i="5"/>
  <c r="V111" i="5"/>
  <c r="V91" i="5"/>
  <c r="V5" i="5"/>
  <c r="V31" i="5"/>
  <c r="V25" i="5"/>
  <c r="V50" i="5"/>
  <c r="V20" i="5"/>
  <c r="Z177" i="5"/>
  <c r="X177" i="5"/>
  <c r="Z197" i="5"/>
  <c r="X197" i="5"/>
  <c r="Z192" i="5"/>
  <c r="X192" i="5"/>
  <c r="Z188" i="5"/>
  <c r="X188" i="5"/>
  <c r="Z184" i="5"/>
  <c r="X184" i="5"/>
  <c r="Z180" i="5"/>
  <c r="X180" i="5"/>
  <c r="X173" i="5"/>
  <c r="X168" i="5"/>
  <c r="X164" i="5"/>
  <c r="X160" i="5"/>
  <c r="X156" i="5"/>
  <c r="Z152" i="5"/>
  <c r="X152" i="5"/>
  <c r="Z148" i="5"/>
  <c r="X148" i="5"/>
  <c r="Z144" i="5"/>
  <c r="X144" i="5"/>
  <c r="Z137" i="5"/>
  <c r="X137" i="5"/>
  <c r="Z129" i="5"/>
  <c r="X129" i="5"/>
  <c r="Z125" i="5"/>
  <c r="X125" i="5"/>
  <c r="X195" i="5"/>
  <c r="X175" i="5"/>
  <c r="X158" i="5"/>
  <c r="X99" i="5"/>
  <c r="X139" i="5"/>
  <c r="X19" i="5"/>
  <c r="X30" i="5"/>
  <c r="Z6" i="5"/>
  <c r="Z33" i="5"/>
  <c r="Z185" i="5"/>
  <c r="V138" i="5"/>
  <c r="V126" i="5"/>
  <c r="V95" i="5"/>
  <c r="V77" i="5"/>
  <c r="V69" i="5"/>
  <c r="V54" i="5"/>
  <c r="V41" i="5"/>
  <c r="V33" i="5"/>
  <c r="V15" i="5"/>
  <c r="V8" i="5"/>
  <c r="V112" i="5"/>
  <c r="V6" i="5"/>
  <c r="V30" i="5"/>
  <c r="Z198" i="5"/>
  <c r="X198" i="5"/>
  <c r="Z181" i="5"/>
  <c r="X181" i="5"/>
  <c r="X165" i="5"/>
  <c r="X157" i="5"/>
  <c r="X95" i="5"/>
  <c r="X85" i="5"/>
  <c r="V143" i="5"/>
  <c r="V136" i="5"/>
  <c r="V132" i="5"/>
  <c r="V128" i="5"/>
  <c r="V124" i="5"/>
  <c r="V117" i="5"/>
  <c r="V107" i="5"/>
  <c r="V101" i="5"/>
  <c r="V97" i="5"/>
  <c r="V93" i="5"/>
  <c r="V88" i="5"/>
  <c r="V83" i="5"/>
  <c r="V79" i="5"/>
  <c r="V75" i="5"/>
  <c r="V71" i="5"/>
  <c r="V141" i="5"/>
  <c r="V66" i="5"/>
  <c r="V62" i="5"/>
  <c r="V58" i="5"/>
  <c r="V47" i="5"/>
  <c r="V43" i="5"/>
  <c r="V39" i="5"/>
  <c r="V35" i="5"/>
  <c r="V29" i="5"/>
  <c r="V17" i="5"/>
  <c r="V13" i="5"/>
  <c r="V122" i="5"/>
  <c r="V114" i="5"/>
  <c r="V110" i="5"/>
  <c r="V86" i="5"/>
  <c r="V4" i="5"/>
  <c r="V52" i="5"/>
  <c r="V24" i="5"/>
  <c r="V22" i="5"/>
  <c r="Z48" i="5"/>
  <c r="X48" i="5"/>
  <c r="Z176" i="5"/>
  <c r="X176" i="5"/>
  <c r="Z196" i="5"/>
  <c r="X196" i="5"/>
  <c r="Z191" i="5"/>
  <c r="X191" i="5"/>
  <c r="Z187" i="5"/>
  <c r="X187" i="5"/>
  <c r="Z183" i="5"/>
  <c r="X183" i="5"/>
  <c r="X179" i="5"/>
  <c r="X171" i="5"/>
  <c r="X167" i="5"/>
  <c r="X163" i="5"/>
  <c r="X159" i="5"/>
  <c r="X155" i="5"/>
  <c r="Z151" i="5"/>
  <c r="X151" i="5"/>
  <c r="Z147" i="5"/>
  <c r="X147" i="5"/>
  <c r="Z143" i="5"/>
  <c r="X143" i="5"/>
  <c r="Z136" i="5"/>
  <c r="X136" i="5"/>
  <c r="Z132" i="5"/>
  <c r="X132" i="5"/>
  <c r="X190" i="5"/>
  <c r="X170" i="5"/>
  <c r="X154" i="5"/>
  <c r="X133" i="5"/>
  <c r="X90" i="5"/>
  <c r="X60" i="5"/>
  <c r="X11" i="5"/>
  <c r="X51" i="5"/>
  <c r="Z112" i="5"/>
  <c r="Z41" i="5"/>
  <c r="Z119" i="5"/>
  <c r="Z193" i="5"/>
  <c r="V145" i="5"/>
  <c r="V130" i="5"/>
  <c r="V109" i="5"/>
  <c r="V103" i="5"/>
  <c r="V90" i="5"/>
  <c r="V85" i="5"/>
  <c r="V73" i="5"/>
  <c r="V64" i="5"/>
  <c r="X194" i="5"/>
  <c r="Z189" i="5"/>
  <c r="X189" i="5"/>
  <c r="X174" i="5"/>
  <c r="X161" i="5"/>
  <c r="X149" i="5"/>
  <c r="Z145" i="5"/>
  <c r="X145" i="5"/>
  <c r="X130" i="5"/>
  <c r="X77" i="5"/>
  <c r="X69" i="5"/>
  <c r="V131" i="5"/>
  <c r="V127" i="5"/>
  <c r="V123" i="5"/>
  <c r="V116" i="5"/>
  <c r="V106" i="5"/>
  <c r="V100" i="5"/>
  <c r="V96" i="5"/>
  <c r="V92" i="5"/>
  <c r="V87" i="5"/>
  <c r="V82" i="5"/>
  <c r="V78" i="5"/>
  <c r="V74" i="5"/>
  <c r="V70" i="5"/>
  <c r="V140" i="5"/>
  <c r="V65" i="5"/>
  <c r="V61" i="5"/>
  <c r="V55" i="5"/>
  <c r="V46" i="5"/>
  <c r="V42" i="5"/>
  <c r="V38" i="5"/>
  <c r="V34" i="5"/>
  <c r="V28" i="5"/>
  <c r="V16" i="5"/>
  <c r="V12" i="5"/>
  <c r="V9" i="5"/>
  <c r="V121" i="5"/>
  <c r="V113" i="5"/>
  <c r="V105" i="5"/>
  <c r="V7" i="5"/>
  <c r="V3" i="5"/>
  <c r="V27" i="5"/>
  <c r="V23" i="5"/>
  <c r="V21" i="5"/>
  <c r="X142" i="5"/>
  <c r="Z142" i="5"/>
  <c r="Z135" i="5"/>
  <c r="X135" i="5"/>
  <c r="Z131" i="5"/>
  <c r="X131" i="5"/>
  <c r="X127" i="5"/>
  <c r="Z127" i="5"/>
  <c r="X123" i="5"/>
  <c r="Z123" i="5"/>
  <c r="X116" i="5"/>
  <c r="Z116" i="5"/>
  <c r="X106" i="5"/>
  <c r="X100" i="5"/>
  <c r="X178" i="5"/>
  <c r="X186" i="5"/>
  <c r="X166" i="5"/>
  <c r="X150" i="5"/>
  <c r="X126" i="5"/>
  <c r="X81" i="5"/>
  <c r="X45" i="5"/>
  <c r="X120" i="5"/>
  <c r="Z49" i="5"/>
  <c r="Z8" i="5"/>
  <c r="Z54" i="5"/>
  <c r="Z130" i="5"/>
  <c r="Z194" i="5"/>
  <c r="X108" i="5"/>
  <c r="X98" i="5"/>
  <c r="X89" i="5"/>
  <c r="X80" i="5"/>
  <c r="X72" i="5"/>
  <c r="X67" i="5"/>
  <c r="X59" i="5"/>
  <c r="X44" i="5"/>
  <c r="X36" i="5"/>
  <c r="X18" i="5"/>
  <c r="X10" i="5"/>
  <c r="X115" i="5"/>
  <c r="X91" i="5"/>
  <c r="X31" i="5"/>
  <c r="X50" i="5"/>
  <c r="Z128" i="5"/>
  <c r="X128" i="5"/>
  <c r="Z124" i="5"/>
  <c r="X124" i="5"/>
  <c r="Z117" i="5"/>
  <c r="X117" i="5"/>
  <c r="Z107" i="5"/>
  <c r="X107" i="5"/>
  <c r="X101" i="5"/>
  <c r="X97" i="5"/>
  <c r="X93" i="5"/>
  <c r="X88" i="5"/>
  <c r="X83" i="5"/>
  <c r="Z79" i="5"/>
  <c r="X79" i="5"/>
  <c r="Z75" i="5"/>
  <c r="X75" i="5"/>
  <c r="Z71" i="5"/>
  <c r="X71" i="5"/>
  <c r="Z141" i="5"/>
  <c r="X141" i="5"/>
  <c r="Z66" i="5"/>
  <c r="X66" i="5"/>
  <c r="Z62" i="5"/>
  <c r="X62" i="5"/>
  <c r="Z58" i="5"/>
  <c r="X58" i="5"/>
  <c r="Z47" i="5"/>
  <c r="X47" i="5"/>
  <c r="Z43" i="5"/>
  <c r="X43" i="5"/>
  <c r="Z39" i="5"/>
  <c r="X39" i="5"/>
  <c r="Z35" i="5"/>
  <c r="X35" i="5"/>
  <c r="Z29" i="5"/>
  <c r="X29" i="5"/>
  <c r="Z17" i="5"/>
  <c r="X17" i="5"/>
  <c r="Z13" i="5"/>
  <c r="X13" i="5"/>
  <c r="Z122" i="5"/>
  <c r="X122" i="5"/>
  <c r="Z114" i="5"/>
  <c r="X114" i="5"/>
  <c r="Z110" i="5"/>
  <c r="X110" i="5"/>
  <c r="Z86" i="5"/>
  <c r="X86" i="5"/>
  <c r="Z4" i="5"/>
  <c r="X4" i="5"/>
  <c r="Z52" i="5"/>
  <c r="X52" i="5"/>
  <c r="Z24" i="5"/>
  <c r="X24" i="5"/>
  <c r="Z22" i="5"/>
  <c r="X22" i="5"/>
  <c r="X96" i="5"/>
  <c r="X92" i="5"/>
  <c r="X87" i="5"/>
  <c r="X82" i="5"/>
  <c r="X78" i="5"/>
  <c r="X74" i="5"/>
  <c r="X70" i="5"/>
  <c r="X140" i="5"/>
  <c r="X65" i="5"/>
  <c r="X61" i="5"/>
  <c r="X55" i="5"/>
  <c r="X46" i="5"/>
  <c r="X42" i="5"/>
  <c r="X38" i="5"/>
  <c r="X34" i="5"/>
  <c r="X28" i="5"/>
  <c r="X16" i="5"/>
  <c r="X12" i="5"/>
  <c r="X9" i="5"/>
  <c r="X121" i="5"/>
  <c r="X113" i="5"/>
  <c r="X105" i="5"/>
  <c r="X7" i="5"/>
  <c r="X3" i="5"/>
  <c r="X27" i="5"/>
  <c r="X23" i="5"/>
  <c r="X21" i="5"/>
  <c r="X118" i="5"/>
  <c r="X102" i="5"/>
  <c r="X94" i="5"/>
  <c r="X84" i="5"/>
  <c r="X76" i="5"/>
  <c r="X68" i="5"/>
  <c r="X63" i="5"/>
  <c r="X53" i="5"/>
  <c r="X40" i="5"/>
  <c r="X32" i="5"/>
  <c r="X14" i="5"/>
  <c r="X172" i="5"/>
  <c r="X111" i="5"/>
  <c r="X5" i="5"/>
  <c r="X25" i="5"/>
  <c r="X20" i="5"/>
  <c r="Z23" i="5"/>
  <c r="Z3" i="5"/>
  <c r="Z105" i="5"/>
  <c r="Z121" i="5"/>
  <c r="Z12" i="5"/>
  <c r="Z28" i="5"/>
  <c r="Z38" i="5"/>
  <c r="Z46" i="5"/>
  <c r="Z61" i="5"/>
  <c r="Z140" i="5"/>
  <c r="Z74" i="5"/>
  <c r="T178" i="5"/>
  <c r="T199" i="5"/>
  <c r="T195" i="5"/>
  <c r="T190" i="5"/>
  <c r="T186" i="5"/>
  <c r="T182" i="5"/>
  <c r="T175" i="5"/>
  <c r="T170" i="5"/>
  <c r="T166" i="5"/>
  <c r="T162" i="5"/>
  <c r="T158" i="5"/>
  <c r="T154" i="5"/>
  <c r="T150" i="5"/>
  <c r="T146" i="5"/>
  <c r="T142" i="5"/>
  <c r="T135" i="5"/>
  <c r="T131" i="5"/>
  <c r="V178" i="5"/>
  <c r="V199" i="5"/>
  <c r="V195" i="5"/>
  <c r="V190" i="5"/>
  <c r="V186" i="5"/>
  <c r="V182" i="5"/>
  <c r="V175" i="5"/>
  <c r="V170" i="5"/>
  <c r="V166" i="5"/>
  <c r="V162" i="5"/>
  <c r="V158" i="5"/>
  <c r="V154" i="5"/>
  <c r="V150" i="5"/>
  <c r="V146" i="5"/>
  <c r="V142" i="5"/>
  <c r="V135" i="5"/>
  <c r="T194" i="5"/>
  <c r="T198" i="5"/>
  <c r="T193" i="5"/>
  <c r="T189" i="5"/>
  <c r="T185" i="5"/>
  <c r="T181" i="5"/>
  <c r="T174" i="5"/>
  <c r="T169" i="5"/>
  <c r="T165" i="5"/>
  <c r="T161" i="5"/>
  <c r="T157" i="5"/>
  <c r="T153" i="5"/>
  <c r="T149" i="5"/>
  <c r="V194" i="5"/>
  <c r="V198" i="5"/>
  <c r="V193" i="5"/>
  <c r="V189" i="5"/>
  <c r="V185" i="5"/>
  <c r="V181" i="5"/>
  <c r="V174" i="5"/>
  <c r="V169" i="5"/>
  <c r="V165" i="5"/>
  <c r="V161" i="5"/>
  <c r="V157" i="5"/>
  <c r="V153" i="5"/>
  <c r="V149" i="5"/>
  <c r="T184" i="5"/>
  <c r="T180" i="5"/>
  <c r="T173" i="5"/>
  <c r="T168" i="5"/>
  <c r="T164" i="5"/>
  <c r="T160" i="5"/>
  <c r="T156" i="5"/>
  <c r="T152" i="5"/>
  <c r="T148" i="5"/>
  <c r="T144" i="5"/>
  <c r="T137" i="5"/>
  <c r="T133" i="5"/>
  <c r="T129" i="5"/>
  <c r="T125" i="5"/>
  <c r="T118" i="5"/>
  <c r="T108" i="5"/>
  <c r="T102" i="5"/>
  <c r="T98" i="5"/>
  <c r="T94" i="5"/>
  <c r="T89" i="5"/>
  <c r="T84" i="5"/>
  <c r="T80" i="5"/>
  <c r="T76" i="5"/>
  <c r="T72" i="5"/>
  <c r="T68" i="5"/>
  <c r="V177" i="5"/>
  <c r="V197" i="5"/>
  <c r="V192" i="5"/>
  <c r="V188" i="5"/>
  <c r="V184" i="5"/>
  <c r="V180" i="5"/>
  <c r="V173" i="5"/>
  <c r="V168" i="5"/>
  <c r="V164" i="5"/>
  <c r="V160" i="5"/>
  <c r="V156" i="5"/>
  <c r="V152" i="5"/>
  <c r="V148" i="5"/>
  <c r="V144" i="5"/>
  <c r="V137" i="5"/>
  <c r="V133" i="5"/>
  <c r="V129" i="5"/>
  <c r="V125" i="5"/>
  <c r="V118" i="5"/>
  <c r="V108" i="5"/>
  <c r="V102" i="5"/>
  <c r="V98" i="5"/>
  <c r="V94" i="5"/>
  <c r="V89" i="5"/>
  <c r="V84" i="5"/>
  <c r="V80" i="5"/>
  <c r="V76" i="5"/>
  <c r="V72" i="5"/>
  <c r="T177" i="5"/>
  <c r="T197" i="5"/>
  <c r="T192" i="5"/>
  <c r="T176" i="5"/>
  <c r="T196" i="5"/>
  <c r="T191" i="5"/>
  <c r="T187" i="5"/>
  <c r="T183" i="5"/>
  <c r="T179" i="5"/>
  <c r="T171" i="5"/>
  <c r="T167" i="5"/>
  <c r="T163" i="5"/>
  <c r="T159" i="5"/>
  <c r="T155" i="5"/>
  <c r="T151" i="5"/>
  <c r="T147" i="5"/>
  <c r="T143" i="5"/>
  <c r="V48" i="5"/>
  <c r="V176" i="5"/>
  <c r="V196" i="5"/>
  <c r="V191" i="5"/>
  <c r="V187" i="5"/>
  <c r="V183" i="5"/>
  <c r="V179" i="5"/>
  <c r="V171" i="5"/>
  <c r="V167" i="5"/>
  <c r="V163" i="5"/>
  <c r="V159" i="5"/>
  <c r="V155" i="5"/>
  <c r="V151" i="5"/>
  <c r="V147" i="5"/>
  <c r="T127" i="5"/>
  <c r="T123" i="5"/>
  <c r="T116" i="5"/>
  <c r="T106" i="5"/>
  <c r="T100" i="5"/>
  <c r="T96" i="5"/>
  <c r="T92" i="5"/>
  <c r="T87" i="5"/>
  <c r="T82" i="5"/>
  <c r="T78" i="5"/>
  <c r="T74" i="5"/>
  <c r="T70" i="5"/>
  <c r="T140" i="5"/>
  <c r="T65" i="5"/>
  <c r="T61" i="5"/>
  <c r="T55" i="5"/>
  <c r="T46" i="5"/>
  <c r="T42" i="5"/>
  <c r="T38" i="5"/>
  <c r="T34" i="5"/>
  <c r="T28" i="5"/>
  <c r="T16" i="5"/>
  <c r="T12" i="5"/>
  <c r="T9" i="5"/>
  <c r="T121" i="5"/>
  <c r="T113" i="5"/>
  <c r="T105" i="5"/>
  <c r="T7" i="5"/>
  <c r="T3" i="5"/>
  <c r="T27" i="5"/>
  <c r="T23" i="5"/>
  <c r="T21" i="5"/>
  <c r="T145" i="5"/>
  <c r="T138" i="5"/>
  <c r="T134" i="5"/>
  <c r="T130" i="5"/>
  <c r="T126" i="5"/>
  <c r="T119" i="5"/>
  <c r="T109" i="5"/>
  <c r="T103" i="5"/>
  <c r="T99" i="5"/>
  <c r="T95" i="5"/>
  <c r="T90" i="5"/>
  <c r="T85" i="5"/>
  <c r="T81" i="5"/>
  <c r="T77" i="5"/>
  <c r="T73" i="5"/>
  <c r="T69" i="5"/>
  <c r="T139" i="5"/>
  <c r="T64" i="5"/>
  <c r="T60" i="5"/>
  <c r="T54" i="5"/>
  <c r="T45" i="5"/>
  <c r="T41" i="5"/>
  <c r="T37" i="5"/>
  <c r="T33" i="5"/>
  <c r="T19" i="5"/>
  <c r="T15" i="5"/>
  <c r="T11" i="5"/>
  <c r="T8" i="5"/>
  <c r="T120" i="5"/>
  <c r="T112" i="5"/>
  <c r="T104" i="5"/>
  <c r="T6" i="5"/>
  <c r="T30" i="5"/>
  <c r="T26" i="5"/>
  <c r="T51" i="5"/>
  <c r="T49" i="5"/>
  <c r="T67" i="5"/>
  <c r="T63" i="5"/>
  <c r="T59" i="5"/>
  <c r="T53" i="5"/>
  <c r="T44" i="5"/>
  <c r="T40" i="5"/>
  <c r="T36" i="5"/>
  <c r="T32" i="5"/>
  <c r="T18" i="5"/>
  <c r="T14" i="5"/>
  <c r="T10" i="5"/>
  <c r="T172" i="5"/>
  <c r="T115" i="5"/>
  <c r="T111" i="5"/>
  <c r="T91" i="5"/>
  <c r="T5" i="5"/>
  <c r="T31" i="5"/>
  <c r="T25" i="5"/>
  <c r="T50" i="5"/>
  <c r="T20" i="5"/>
  <c r="T136" i="5"/>
  <c r="T132" i="5"/>
  <c r="T128" i="5"/>
  <c r="T124" i="5"/>
  <c r="T117" i="5"/>
  <c r="T107" i="5"/>
  <c r="T101" i="5"/>
  <c r="T97" i="5"/>
  <c r="T93" i="5"/>
  <c r="T88" i="5"/>
  <c r="T83" i="5"/>
  <c r="T79" i="5"/>
  <c r="T75" i="5"/>
  <c r="T71" i="5"/>
  <c r="T141" i="5"/>
  <c r="T66" i="5"/>
  <c r="T62" i="5"/>
  <c r="T58" i="5"/>
  <c r="T47" i="5"/>
  <c r="T43" i="5"/>
  <c r="T39" i="5"/>
  <c r="T35" i="5"/>
  <c r="T29" i="5"/>
  <c r="T17" i="5"/>
  <c r="T13" i="5"/>
  <c r="T122" i="5"/>
  <c r="T114" i="5"/>
  <c r="T110" i="5"/>
  <c r="T86" i="5"/>
  <c r="T4" i="5"/>
  <c r="T52" i="5"/>
  <c r="T24" i="5"/>
  <c r="T22" i="5"/>
  <c r="T48" i="5"/>
  <c r="X1" i="5" l="1"/>
  <c r="T1" i="5"/>
  <c r="V1" i="5"/>
  <c r="Z1" i="5"/>
  <c r="R1" i="5"/>
</calcChain>
</file>

<file path=xl/sharedStrings.xml><?xml version="1.0" encoding="utf-8"?>
<sst xmlns="http://schemas.openxmlformats.org/spreadsheetml/2006/main" count="2737" uniqueCount="226">
  <si>
    <t>Номенклатура</t>
  </si>
  <si>
    <t>Итого</t>
  </si>
  <si>
    <t>В аренде, шт</t>
  </si>
  <si>
    <t>На складе, шт</t>
  </si>
  <si>
    <t>Всего, шт</t>
  </si>
  <si>
    <t>Утилизация, %</t>
  </si>
  <si>
    <t>Подъемник коленчатый дизельный Dingli BA16CRT2</t>
  </si>
  <si>
    <t>Подъемник коленчатый дизельный Dingli BA16СRT</t>
  </si>
  <si>
    <t>Подъемник коленчатый дизельный Dingli BA18CRT</t>
  </si>
  <si>
    <t>Подъемник коленчатый дизельный Dingli BA18CRT2</t>
  </si>
  <si>
    <t>Подъемник коленчатый дизельный Dingli BA22CRT</t>
  </si>
  <si>
    <t>Подъемник коленчатый дизельный Dingli BA22CRT2</t>
  </si>
  <si>
    <t>Подъемник коленчатый дизельный Dingli BA22CRT2 4WS</t>
  </si>
  <si>
    <t>Подъемник коленчатый дизельный Dingli BA28BRT</t>
  </si>
  <si>
    <t>Подъемник коленчатый дизельный Dingli BA28RT</t>
  </si>
  <si>
    <t>Подъемник коленчатый дизельный Dingli BA36RT</t>
  </si>
  <si>
    <t>Подъемник коленчатый дизельный Dingli BA41RT</t>
  </si>
  <si>
    <t>Подъемник коленчатый дизельный Dingli BA44RT</t>
  </si>
  <si>
    <t>Подъемник коленчатый дизельный LGMG AR14J</t>
  </si>
  <si>
    <t>Подъемник коленчатый дизельный LGMG AR16J</t>
  </si>
  <si>
    <t>Подъемник коленчатый дизельный Sinoboom AB15J</t>
  </si>
  <si>
    <t>Подъемник коленчатый дизельный Sinoboom AB18J</t>
  </si>
  <si>
    <t>Подъемник коленчатый дизельный Sinoboom AB22J Plus</t>
  </si>
  <si>
    <t>Подъёмник коленчатый дизельный Sinoboom AB25J</t>
  </si>
  <si>
    <t>Подъемник коленчатый дизельный Sinoboom AB26J Plus</t>
  </si>
  <si>
    <t>Подъемник коленчатый дизельный Sinoboom AB46RJ</t>
  </si>
  <si>
    <t>Подъемник коленчатый дизельный Zoomlion ZA14J</t>
  </si>
  <si>
    <t>Подъемник коленчатый дизельный Zoomlion ZA20J</t>
  </si>
  <si>
    <t>Подъемник коленчатый дизельный Zoomlion ZA24J</t>
  </si>
  <si>
    <t>Подъемник коленчатый дизельный Zoomlion ZA32J</t>
  </si>
  <si>
    <t>Подъемник коленчатый электрический Dingli BA18NE</t>
  </si>
  <si>
    <t>Подъемник коленчатый электрический Dingli BA22CERT2</t>
  </si>
  <si>
    <t>Подъемник коленчатый электрический Dingli BA22ERT</t>
  </si>
  <si>
    <t>Подъемник коленчатый электрический LGMG A14JE</t>
  </si>
  <si>
    <t>Подъемник коленчатый электрический Sinoboom AB14EJ</t>
  </si>
  <si>
    <t>Подъемник коленчатый электрический Sinoboom AB16EJ</t>
  </si>
  <si>
    <t>Подъемник коленчатый электрический Zoomlion ZA10RJE</t>
  </si>
  <si>
    <t>Подъемник коленчатый электрический Zoomlion ZA14JE</t>
  </si>
  <si>
    <t>Подъемник коленчатый электрический Zoomlion ZA14NJE</t>
  </si>
  <si>
    <t>Подъемник коленчатый электрический Zoomlion ZA20JE</t>
  </si>
  <si>
    <t>Подъемник коленчатый электрический Zoomlion ZA20JERT</t>
  </si>
  <si>
    <t>Подъемник коленчатый электрический Zoomlion ZA20JERT-Li</t>
  </si>
  <si>
    <t>Подъемник мачтовый электрический Dingli AMWP11.5-8100</t>
  </si>
  <si>
    <t>Подъемник мачтовый электрический Dingli AMWP11.5-8100AC</t>
  </si>
  <si>
    <t>Подъемник мачтовый электрический Dingli AMWP11.5-8200AC</t>
  </si>
  <si>
    <t>Подъемник мачтовый электрический Sinoboom ML08EJ</t>
  </si>
  <si>
    <t>Подъемник ножничный дизельный Dingli JCPT1218RT</t>
  </si>
  <si>
    <t>Подъемник ножничный дизельный Dingli JCPT1418RT</t>
  </si>
  <si>
    <t>Подъемник ножничный дизельный Dingli JCPT1823RTB</t>
  </si>
  <si>
    <t>Подъемник ножничный дизельный Dingli JCPT1823RTL</t>
  </si>
  <si>
    <t>Подъемник ножничный дизельный LGMG AS1623RT</t>
  </si>
  <si>
    <t>Подъемник ножничный дизельный LGMG SR1218D</t>
  </si>
  <si>
    <t>Подъемник ножничный дизельный LGMG SR1323D</t>
  </si>
  <si>
    <t>Подъемник ножничный дизельный LGMG SR1623D</t>
  </si>
  <si>
    <t>Подъемник ножничный дизельный Sinoboom 1323RD</t>
  </si>
  <si>
    <t>Подъемник ножничный дизельный Sinoboom 1623RD</t>
  </si>
  <si>
    <t>Подъемник ножничный дизельный Zoomlion ZS1623RT</t>
  </si>
  <si>
    <t>Подъемник ножничный электрический Aurora AS0607(H)-Li</t>
  </si>
  <si>
    <t>Подъемник ножничный электрический Aurora AS0607W(H)</t>
  </si>
  <si>
    <t>Подъемник ножничный электрический Aurora AS0607W(H)-Li</t>
  </si>
  <si>
    <t>Подъемник ножничный электрический Aurora AS0608(CF)</t>
  </si>
  <si>
    <t>Подъемник ножничный электрический Aurora AS0808(H)</t>
  </si>
  <si>
    <t>Подъемник ножничный электрический Aurora AS0808(H)-Li</t>
  </si>
  <si>
    <t>Подъемник ножничный электрический Aurora AS0812(H)</t>
  </si>
  <si>
    <t>Подъемник ножничный электрический Aurora AS0812(H)-Li</t>
  </si>
  <si>
    <t>Подъемник ножничный электрический Aurora AS1012(H)</t>
  </si>
  <si>
    <t>Подъемник ножничный электрический Aurora AS1012(H)-Li</t>
  </si>
  <si>
    <t>Подъемник ножничный электрический Aurora AS1212 (RS)</t>
  </si>
  <si>
    <t>Подъемник ножничный электрический Aurora AS1212(H)</t>
  </si>
  <si>
    <t>Подъемник ножничный электрический Aurora AS1212(H)-Li</t>
  </si>
  <si>
    <t>Подъемник ножничный электрический Aurora AS1412 (RS)</t>
  </si>
  <si>
    <t>Подъемник ножничный электрический Aurora AS1413(H)</t>
  </si>
  <si>
    <t>Подъемник ножничный электрический Aurora AS1413(H)-Li</t>
  </si>
  <si>
    <t>Подъемник ножничный электрический Aurora AS1414(H)</t>
  </si>
  <si>
    <t>Подъемник ножничный электрический Aurora AS1414(H)-Li</t>
  </si>
  <si>
    <t>Подъемник ножничный электрический Aurora ASC0808 (RS) гусеничный</t>
  </si>
  <si>
    <t>Подъемник ножничный электрический Aurora ASC1214S(CF) гусеничный</t>
  </si>
  <si>
    <t>Подъемник ножничный электрический Dingli JCPT1008HA</t>
  </si>
  <si>
    <t>Подъемник ножничный электрический Dingli JCPT1212HA</t>
  </si>
  <si>
    <t>Подъемник ножничный электрический Dingli JCPT1412HA</t>
  </si>
  <si>
    <t>Подъемник ножничный электрический Dingli JCPT1612HA</t>
  </si>
  <si>
    <t>Подъемник ножничный электрический Heli JS0607LI</t>
  </si>
  <si>
    <t>Подъемник ножничный электрический LGMG AS0607</t>
  </si>
  <si>
    <t>Подъемник ножничный электрический LGMG AS0607W</t>
  </si>
  <si>
    <t>Подъемник ножничный электрический LGMG AS0607WE</t>
  </si>
  <si>
    <t>Подъемник ножничный электрический LGMG AS0608</t>
  </si>
  <si>
    <t>Подъемник ножничный электрический LGMG AS0808</t>
  </si>
  <si>
    <t>Подъемник ножничный электрический LGMG AS0808E</t>
  </si>
  <si>
    <t>Подъемник ножничный электрический LGMG AS0812</t>
  </si>
  <si>
    <t>Подъемник ножничный электрический LGMG AS1012</t>
  </si>
  <si>
    <t>Подъемник ножничный электрический LGMG AS1212</t>
  </si>
  <si>
    <t>Подъемник ножничный электрический LGMG AS1212E</t>
  </si>
  <si>
    <t>Подъемник ножничный электрический LGMG AS1412</t>
  </si>
  <si>
    <t>Подъемник ножничный электрический LGMG AS1413</t>
  </si>
  <si>
    <t>Подъемник ножничный электрический LGMG AS1413E</t>
  </si>
  <si>
    <t>Подъемник ножничный электрический LGMG SS0407E</t>
  </si>
  <si>
    <t>Подъемник ножничный электрический LGMG SS0607E</t>
  </si>
  <si>
    <t>Подъемник ножничный электрический MAGNI ES1212E</t>
  </si>
  <si>
    <t>Подъемник ножничный электрический Sinoboom GTJZ0808</t>
  </si>
  <si>
    <t>Подъемник ножничный электрический Sinoboom GTJZ1212</t>
  </si>
  <si>
    <t>Подъемник ножничный электрический Sinoboom GTJZ1412</t>
  </si>
  <si>
    <t>Подъемник ножничный электрический Zoomlion ZS0607HD</t>
  </si>
  <si>
    <t>Подъемник ножничный электрический Zoomlion ZS0808HD</t>
  </si>
  <si>
    <t>Подъемник ножничный электрический Zoomlion ZS1012HD</t>
  </si>
  <si>
    <t>Подъемник ножничный электрический Zoomlion ZS1212HD</t>
  </si>
  <si>
    <t>Подъемник ножничный электрический Zoomlion ZS1216C гусеничный</t>
  </si>
  <si>
    <t>Подъемник ножничный электрический Zoomlion ZS1414HD</t>
  </si>
  <si>
    <t>Подъемник телескопический дизельный Sinoboom TB20J Plus</t>
  </si>
  <si>
    <t>Подъемник телескопический дизельный Sinoboom TB38J Plus</t>
  </si>
  <si>
    <t>Подъемник телескопический дизельный Sinoboom TB42RJ</t>
  </si>
  <si>
    <t>Подъемник телескопический дизельный Sinoboom TB42RJ Plus</t>
  </si>
  <si>
    <t>Подъемник телескопический дизельный Sinoboom TB58RJ Plus</t>
  </si>
  <si>
    <t>Подъёмник телескопический дизельный Zoomlion ZT20J</t>
  </si>
  <si>
    <t>Подъёмник телескопический дизельный Zoomlion ZT22J</t>
  </si>
  <si>
    <t>Подъёмник телескопический дизельный Zoomlion ZT26J</t>
  </si>
  <si>
    <t>Подъёмник телескопический дизельный Zoomlion ZT26J-V</t>
  </si>
  <si>
    <t>Подъёмник телескопический дизельный Zoomlion ZT32J</t>
  </si>
  <si>
    <t>Подъёмник телескопический дизельный Zoomlion ZT42J</t>
  </si>
  <si>
    <t>Подъёмник телескопический дизельный Zoomlion ZT42J-V</t>
  </si>
  <si>
    <t>Подъёмник телескопический дизельный Zoomlion ZT51J</t>
  </si>
  <si>
    <t>Подъёмник телескопический дизельный Zoomlion ZT58J</t>
  </si>
  <si>
    <t>Подъемник коленчатый дизельный Zoomlion ZA42J</t>
  </si>
  <si>
    <t>Подъемник ножничный дизельный Sunward SWSL1823RT</t>
  </si>
  <si>
    <t>Подъемник ножничный дизельный Sunward SWSL2023RT</t>
  </si>
  <si>
    <t>Подъемник ножничный электрический Sinoboom 0808N</t>
  </si>
  <si>
    <t>Подъемник ножничный электрический Zoomlion ZS0407DC</t>
  </si>
  <si>
    <t>Подъемник ножничный электрический Zoomlion ZS0607HDS</t>
  </si>
  <si>
    <t>Подъемник ножничный электрический Zoomlion ZS0808HDS</t>
  </si>
  <si>
    <t>Подъемник ножничный электрический Zoomlion ZS0808HDS-Li</t>
  </si>
  <si>
    <t>Подъемник ножничный электрический Zoomlion ZS1012HDS</t>
  </si>
  <si>
    <t>Подъемник ножничный электрический Zoomlion ZS1212HDS</t>
  </si>
  <si>
    <t>Подъемник ножничный электрический Zoomlion ZS1414HDS</t>
  </si>
  <si>
    <t>Подъемник коленчатый дизельный Zoomlion ZA16J</t>
  </si>
  <si>
    <t>Подъемник ножничный дизельный Aurora AS2023RT(S)</t>
  </si>
  <si>
    <t>Подъемник ножничный электрический Heli JS0812LI</t>
  </si>
  <si>
    <t>Подъемник ножничный электрический Heli JS1012LI</t>
  </si>
  <si>
    <t>Подъемник ножничный электрический Heli JS1413LI</t>
  </si>
  <si>
    <t>Подъемник ножничный электрический Sinoboom 0608N</t>
  </si>
  <si>
    <t>Подъемник ножничный электрический Sinoboom 0608N-Li</t>
  </si>
  <si>
    <t>Подъемник ножничный электрический Sinoboom 0808N-Li</t>
  </si>
  <si>
    <t>Подъемник ножничный электрический Sinoboom 1012N</t>
  </si>
  <si>
    <t>Подъемник ножничный электрический Sinoboom 1012N-Li</t>
  </si>
  <si>
    <t>Подъемник ножничный электрический Sinoboom 1212N</t>
  </si>
  <si>
    <t>Подъемник ножничный электрический Sinoboom 1212N-Li</t>
  </si>
  <si>
    <t>Подъемник ножничный электрический Sinoboom 1414Plus</t>
  </si>
  <si>
    <t>Подъемник ножничный электрический Sinoboom 1414Plus-Li</t>
  </si>
  <si>
    <t>Подъемник ножничный электрический Zoomlion ZS0610C гусеничный</t>
  </si>
  <si>
    <t>Подъемник ножничный электрический Zoomlion ZS0812HD</t>
  </si>
  <si>
    <t>Подъемник ножничный электрический Zoomlion ZS1012HDS-Li</t>
  </si>
  <si>
    <t>Подъемник ножничный электрический Zoomlion ZS1212HDS-Li</t>
  </si>
  <si>
    <t>Подъемник ножничный электрический Zoomlion ZS1218ERT</t>
  </si>
  <si>
    <t>Подъемник телескопический дизельный Sinoboom TB26J Plus</t>
  </si>
  <si>
    <t>Подъемник телескопический дизельный Sinoboom TB32JN Plus</t>
  </si>
  <si>
    <t>Подъемник телескопический дизельный Sunward SWT22J</t>
  </si>
  <si>
    <t>Подъемник телескопический дизельный Sunward SWT28J</t>
  </si>
  <si>
    <t>Подъёмник телескопический дизельный Zoomlion ZT38J</t>
  </si>
  <si>
    <t>Подъемник ножничный электрический Zoomlion ZS1212HD-Li</t>
  </si>
  <si>
    <t>Подъемник ножничный электрический Zoomlion ZS1414HD-Li</t>
  </si>
  <si>
    <t>Подъемник телескопический дизельный Zoomlion ZT82J</t>
  </si>
  <si>
    <t>Подъемник телескопический дизельный Sinoboom TB22JT Plus гусеничный</t>
  </si>
  <si>
    <t>Рем зона</t>
  </si>
  <si>
    <t>Брак</t>
  </si>
  <si>
    <t>Утилизация без брака, %</t>
  </si>
  <si>
    <t>Ввод 09.25</t>
  </si>
  <si>
    <t>Ввод 10.25</t>
  </si>
  <si>
    <t>Ввод 11.25</t>
  </si>
  <si>
    <t>Ввод 12.25</t>
  </si>
  <si>
    <t>Ввод 08.25</t>
  </si>
  <si>
    <t>Ножничный подъемник Aurora AS1416 (RS)</t>
  </si>
  <si>
    <t>Ввод 01.25</t>
  </si>
  <si>
    <t>Ввод 02.25</t>
  </si>
  <si>
    <t>Ввод 03.25</t>
  </si>
  <si>
    <t>Ввод 04.25</t>
  </si>
  <si>
    <t>Ввод 05.25</t>
  </si>
  <si>
    <t>Ввод 06.25</t>
  </si>
  <si>
    <t>Ввод 07.25</t>
  </si>
  <si>
    <t>Подъемник коленчатый электрический Sinoboom AB22EJ Plus</t>
  </si>
  <si>
    <t>Подъемник коленчатый дизельный Genie Z-45/25</t>
  </si>
  <si>
    <t>Подъемник коленчатый дизельный Genie Z-51/30J</t>
  </si>
  <si>
    <t>Подъемник коленчатый дизельный Genie Z-62/40</t>
  </si>
  <si>
    <t>Подъемник коленчатый дизельный HAULOTTE HA16RTJ</t>
  </si>
  <si>
    <t>Подъемник коленчатый дизельный HAULOTTE HA20RTJ</t>
  </si>
  <si>
    <t>Подъемник коленчатый дизельный HAULOTTE HA26RTJ PRO</t>
  </si>
  <si>
    <t>Подъемник коленчатый дизельный MANITOU 180 ATJ</t>
  </si>
  <si>
    <t>Подъемник коленчатый дизельный MANITOU 200 ATJ-X</t>
  </si>
  <si>
    <t>Подъемник коленчатый электрический Aurora ART3.8JE(F)</t>
  </si>
  <si>
    <t>Подъемник коленчатый электрический Genie Z-33/18</t>
  </si>
  <si>
    <t>Подъемник коленчатый электрический Genie Z-45/25J DC</t>
  </si>
  <si>
    <t>Подъемник коленчатый электрический HAULOTTE HA12 IP</t>
  </si>
  <si>
    <t>Подъемник коленчатый электрический HAULOTTE HA15 IP</t>
  </si>
  <si>
    <t>Подъемник коленчатый электрический JLG E450AJ</t>
  </si>
  <si>
    <t>Подъемник ножничный электрический Aurora AS0808 (RS)</t>
  </si>
  <si>
    <t>Подъемник ножничный электрический Aurora AS1012 (RS)</t>
  </si>
  <si>
    <t>Подъемник ножничный электрический Aurora JCPT0307 (Rees)</t>
  </si>
  <si>
    <t>Подъемник ножничный электрический Aurora JCPT0407 (Rees)</t>
  </si>
  <si>
    <t>Подъемник ножничный электрический Genie GS 2032</t>
  </si>
  <si>
    <t>Подъемник ножничный электрический Genie GS 2632</t>
  </si>
  <si>
    <t>Подъемник ножничный электрический Genie GS 3246</t>
  </si>
  <si>
    <t>Подъемник ножничный электрический Genie GS 4047</t>
  </si>
  <si>
    <t>Подъемник ножничный электрический Haulotte COMPACT 10N</t>
  </si>
  <si>
    <t>Подъемник ножничный электрический HAULOTTE COMPACT 14</t>
  </si>
  <si>
    <t>Подъемник ножничный электрический JLG 2630ES</t>
  </si>
  <si>
    <t>Подъемник ножничный электрический JLG R2632</t>
  </si>
  <si>
    <t>Подъемник ножничный электрический JLG R4045</t>
  </si>
  <si>
    <t>Подъемник ножничный электрический MAGNI ES1412E</t>
  </si>
  <si>
    <t>Подъемник ножничный электрический MAGNI ES1612E</t>
  </si>
  <si>
    <t>Подъёмник ножничный электрический Manitou Maniaccess 100 SEC</t>
  </si>
  <si>
    <t>Подъемник ножничный электрический Zoomlion ZS1414DC</t>
  </si>
  <si>
    <t>Подъемник телескопический дизельный JLG 860SJ</t>
  </si>
  <si>
    <t>Подъемник телескопический дизельный LGMG T20J</t>
  </si>
  <si>
    <t>Подъемник телескопический дизельный MANITOU 280 TJ-X</t>
  </si>
  <si>
    <t>Подъемник телескопический дизельный Zoomlion ZT34J</t>
  </si>
  <si>
    <t>Подъемник коленчатый электрический Sinoboom AB18EJ</t>
  </si>
  <si>
    <t>Подъемник коленчатый дизельный JLG 520AJ</t>
  </si>
  <si>
    <t>Подъемник коленчатый дизельный JLG 600AJ</t>
  </si>
  <si>
    <t>Подъемник мачтовый электрический Aurora AMWP3.6-6100 (Rees)</t>
  </si>
  <si>
    <t>Подъемник мачтовый электрический Aurora AMWP4.8-6100 (Rees)</t>
  </si>
  <si>
    <t>Подъемник мачтовый электрический Aurora AMWP7.5-1100 (Rees)</t>
  </si>
  <si>
    <t>Подъемник мачтовый электрический Aurora AMWP7.5-2100 (Rees)</t>
  </si>
  <si>
    <t>Подъемник мачтовый электрический Aurora AMWP9-2100 (Rees)</t>
  </si>
  <si>
    <t>Подъемник ножничный дизельный LGMG SR1018D</t>
  </si>
  <si>
    <t>Подъемник ножничный дизельный LGMG SR1023D</t>
  </si>
  <si>
    <t>Подъемник ножничный электрический Dingli JCPT1912DCL</t>
  </si>
  <si>
    <t>Подъёмник телескопический дизельный Zoomlion ZT23J</t>
  </si>
  <si>
    <t>Ввод 2025</t>
  </si>
  <si>
    <t>Ввод 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</si>
</sst>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</borders>
  <cellStyleXfs count="1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2" fillId="2" borderId="1" xfId="2" applyNumberFormat="1" applyFont="1" applyFill="1" applyBorder="1" applyAlignment="1">
      <alignment horizontal="left" vertical="top" wrapText="1"/>
    </xf>
    <xf numFmtId="0" fontId="1" fillId="0" borderId="1" xfId="2" applyNumberFormat="1" applyFont="1" applyBorder="1" applyAlignment="1">
      <alignment horizontal="left" vertical="top" wrapText="1"/>
    </xf>
    <xf numFmtId="1" fontId="1" fillId="0" borderId="1" xfId="2" applyNumberFormat="1" applyFont="1" applyBorder="1" applyAlignment="1">
      <alignment horizontal="right" vertical="top"/>
    </xf>
    <xf numFmtId="0" fontId="1" fillId="0" borderId="1" xfId="2" applyNumberFormat="1" applyFont="1" applyBorder="1" applyAlignment="1">
      <alignment horizontal="right" vertical="top"/>
    </xf>
    <xf numFmtId="2" fontId="1" fillId="0" borderId="1" xfId="2" applyNumberFormat="1" applyFont="1" applyBorder="1" applyAlignment="1">
      <alignment horizontal="right" vertical="top"/>
    </xf>
    <xf numFmtId="0" fontId="2" fillId="2" borderId="1" xfId="2" applyNumberFormat="1" applyFont="1" applyFill="1" applyBorder="1" applyAlignment="1">
      <alignment horizontal="left" vertical="top"/>
    </xf>
    <xf numFmtId="3" fontId="2" fillId="2" borderId="1" xfId="2" applyNumberFormat="1" applyFont="1" applyFill="1" applyBorder="1" applyAlignment="1">
      <alignment horizontal="right" vertical="top"/>
    </xf>
    <xf numFmtId="1" fontId="2" fillId="2" borderId="1" xfId="2" applyNumberFormat="1" applyFont="1" applyFill="1" applyBorder="1" applyAlignment="1">
      <alignment horizontal="right" vertical="top"/>
    </xf>
    <xf numFmtId="2" fontId="2" fillId="2" borderId="1" xfId="2" applyNumberFormat="1" applyFont="1" applyFill="1" applyBorder="1" applyAlignment="1">
      <alignment horizontal="right" vertical="top"/>
    </xf>
    <xf numFmtId="0" fontId="2" fillId="2" borderId="1" xfId="3" applyNumberFormat="1" applyFont="1" applyFill="1" applyBorder="1" applyAlignment="1">
      <alignment horizontal="left" vertical="top" wrapText="1"/>
    </xf>
    <xf numFmtId="0" fontId="1" fillId="0" borderId="1" xfId="3" applyNumberFormat="1" applyFont="1" applyBorder="1" applyAlignment="1">
      <alignment horizontal="left" vertical="top" wrapText="1"/>
    </xf>
    <xf numFmtId="1" fontId="1" fillId="0" borderId="1" xfId="3" applyNumberFormat="1" applyFont="1" applyBorder="1" applyAlignment="1">
      <alignment horizontal="right" vertical="top"/>
    </xf>
    <xf numFmtId="0" fontId="1" fillId="0" borderId="1" xfId="3" applyNumberFormat="1" applyFont="1" applyBorder="1" applyAlignment="1">
      <alignment horizontal="right" vertical="top"/>
    </xf>
    <xf numFmtId="2" fontId="1" fillId="0" borderId="1" xfId="3" applyNumberFormat="1" applyFont="1" applyBorder="1" applyAlignment="1">
      <alignment horizontal="right" vertical="top"/>
    </xf>
    <xf numFmtId="0" fontId="2" fillId="2" borderId="1" xfId="3" applyNumberFormat="1" applyFont="1" applyFill="1" applyBorder="1" applyAlignment="1">
      <alignment horizontal="left" vertical="top"/>
    </xf>
    <xf numFmtId="3" fontId="2" fillId="2" borderId="1" xfId="3" applyNumberFormat="1" applyFont="1" applyFill="1" applyBorder="1" applyAlignment="1">
      <alignment horizontal="right" vertical="top"/>
    </xf>
    <xf numFmtId="1" fontId="2" fillId="2" borderId="1" xfId="3" applyNumberFormat="1" applyFont="1" applyFill="1" applyBorder="1" applyAlignment="1">
      <alignment horizontal="right" vertical="top"/>
    </xf>
    <xf numFmtId="2" fontId="2" fillId="2" borderId="1" xfId="3" applyNumberFormat="1" applyFont="1" applyFill="1" applyBorder="1" applyAlignment="1">
      <alignment horizontal="right" vertical="top"/>
    </xf>
    <xf numFmtId="0" fontId="2" fillId="2" borderId="1" xfId="4" applyNumberFormat="1" applyFont="1" applyFill="1" applyBorder="1" applyAlignment="1">
      <alignment horizontal="left" vertical="top" wrapText="1"/>
    </xf>
    <xf numFmtId="0" fontId="1" fillId="0" borderId="1" xfId="4" applyNumberFormat="1" applyFont="1" applyBorder="1" applyAlignment="1">
      <alignment horizontal="left" vertical="top" wrapText="1"/>
    </xf>
    <xf numFmtId="1" fontId="1" fillId="0" borderId="1" xfId="4" applyNumberFormat="1" applyFont="1" applyBorder="1" applyAlignment="1">
      <alignment horizontal="right" vertical="top"/>
    </xf>
    <xf numFmtId="0" fontId="1" fillId="0" borderId="1" xfId="4" applyNumberFormat="1" applyFont="1" applyBorder="1" applyAlignment="1">
      <alignment horizontal="right" vertical="top"/>
    </xf>
    <xf numFmtId="2" fontId="1" fillId="0" borderId="1" xfId="4" applyNumberFormat="1" applyFont="1" applyBorder="1" applyAlignment="1">
      <alignment horizontal="right" vertical="top"/>
    </xf>
    <xf numFmtId="0" fontId="2" fillId="2" borderId="1" xfId="4" applyNumberFormat="1" applyFont="1" applyFill="1" applyBorder="1" applyAlignment="1">
      <alignment horizontal="left" vertical="top"/>
    </xf>
    <xf numFmtId="3" fontId="2" fillId="2" borderId="1" xfId="4" applyNumberFormat="1" applyFont="1" applyFill="1" applyBorder="1" applyAlignment="1">
      <alignment horizontal="right" vertical="top"/>
    </xf>
    <xf numFmtId="1" fontId="2" fillId="2" borderId="1" xfId="4" applyNumberFormat="1" applyFont="1" applyFill="1" applyBorder="1" applyAlignment="1">
      <alignment horizontal="right" vertical="top"/>
    </xf>
    <xf numFmtId="2" fontId="2" fillId="2" borderId="1" xfId="4" applyNumberFormat="1" applyFont="1" applyFill="1" applyBorder="1" applyAlignment="1">
      <alignment horizontal="right" vertical="top"/>
    </xf>
    <xf numFmtId="0" fontId="2" fillId="2" borderId="1" xfId="5" applyNumberFormat="1" applyFont="1" applyFill="1" applyBorder="1" applyAlignment="1">
      <alignment horizontal="left" vertical="top" wrapText="1"/>
    </xf>
    <xf numFmtId="0" fontId="1" fillId="0" borderId="1" xfId="5" applyNumberFormat="1" applyFont="1" applyBorder="1" applyAlignment="1">
      <alignment horizontal="left" vertical="top" wrapText="1"/>
    </xf>
    <xf numFmtId="1" fontId="1" fillId="0" borderId="1" xfId="5" applyNumberFormat="1" applyFont="1" applyBorder="1" applyAlignment="1">
      <alignment horizontal="right" vertical="top"/>
    </xf>
    <xf numFmtId="0" fontId="1" fillId="0" borderId="1" xfId="5" applyNumberFormat="1" applyFont="1" applyBorder="1" applyAlignment="1">
      <alignment horizontal="right" vertical="top"/>
    </xf>
    <xf numFmtId="2" fontId="1" fillId="0" borderId="1" xfId="5" applyNumberFormat="1" applyFont="1" applyBorder="1" applyAlignment="1">
      <alignment horizontal="right" vertical="top"/>
    </xf>
    <xf numFmtId="0" fontId="2" fillId="2" borderId="1" xfId="5" applyNumberFormat="1" applyFont="1" applyFill="1" applyBorder="1" applyAlignment="1">
      <alignment horizontal="left" vertical="top"/>
    </xf>
    <xf numFmtId="3" fontId="2" fillId="2" borderId="1" xfId="5" applyNumberFormat="1" applyFont="1" applyFill="1" applyBorder="1" applyAlignment="1">
      <alignment horizontal="right" vertical="top"/>
    </xf>
    <xf numFmtId="1" fontId="2" fillId="2" borderId="1" xfId="5" applyNumberFormat="1" applyFont="1" applyFill="1" applyBorder="1" applyAlignment="1">
      <alignment horizontal="right" vertical="top"/>
    </xf>
    <xf numFmtId="2" fontId="2" fillId="2" borderId="1" xfId="5" applyNumberFormat="1" applyFont="1" applyFill="1" applyBorder="1" applyAlignment="1">
      <alignment horizontal="right" vertical="top"/>
    </xf>
    <xf numFmtId="0" fontId="2" fillId="2" borderId="1" xfId="7" applyNumberFormat="1" applyFont="1" applyFill="1" applyBorder="1" applyAlignment="1">
      <alignment horizontal="left" vertical="top" wrapText="1"/>
    </xf>
    <xf numFmtId="0" fontId="1" fillId="0" borderId="1" xfId="7" applyNumberFormat="1" applyFont="1" applyBorder="1" applyAlignment="1">
      <alignment horizontal="left" vertical="top" wrapText="1"/>
    </xf>
    <xf numFmtId="1" fontId="1" fillId="0" borderId="1" xfId="7" applyNumberFormat="1" applyFont="1" applyBorder="1" applyAlignment="1">
      <alignment horizontal="right" vertical="top"/>
    </xf>
    <xf numFmtId="0" fontId="1" fillId="0" borderId="1" xfId="7" applyNumberFormat="1" applyFont="1" applyBorder="1" applyAlignment="1">
      <alignment horizontal="right" vertical="top"/>
    </xf>
    <xf numFmtId="2" fontId="1" fillId="0" borderId="1" xfId="7" applyNumberFormat="1" applyFont="1" applyBorder="1" applyAlignment="1">
      <alignment horizontal="right" vertical="top"/>
    </xf>
    <xf numFmtId="0" fontId="2" fillId="2" borderId="1" xfId="7" applyNumberFormat="1" applyFont="1" applyFill="1" applyBorder="1" applyAlignment="1">
      <alignment horizontal="left" vertical="top"/>
    </xf>
    <xf numFmtId="3" fontId="2" fillId="2" borderId="1" xfId="7" applyNumberFormat="1" applyFont="1" applyFill="1" applyBorder="1" applyAlignment="1">
      <alignment horizontal="right" vertical="top"/>
    </xf>
    <xf numFmtId="1" fontId="2" fillId="2" borderId="1" xfId="7" applyNumberFormat="1" applyFont="1" applyFill="1" applyBorder="1" applyAlignment="1">
      <alignment horizontal="right" vertical="top"/>
    </xf>
    <xf numFmtId="2" fontId="2" fillId="2" borderId="1" xfId="7" applyNumberFormat="1" applyFont="1" applyFill="1" applyBorder="1" applyAlignment="1">
      <alignment horizontal="right" vertical="top"/>
    </xf>
    <xf numFmtId="0" fontId="2" fillId="2" borderId="1" xfId="8" applyNumberFormat="1" applyFont="1" applyFill="1" applyBorder="1" applyAlignment="1">
      <alignment horizontal="left" vertical="top" wrapText="1"/>
    </xf>
    <xf numFmtId="0" fontId="1" fillId="0" borderId="1" xfId="8" applyNumberFormat="1" applyFont="1" applyBorder="1" applyAlignment="1">
      <alignment horizontal="left" vertical="top" wrapText="1"/>
    </xf>
    <xf numFmtId="1" fontId="1" fillId="0" borderId="1" xfId="8" applyNumberFormat="1" applyFont="1" applyBorder="1" applyAlignment="1">
      <alignment horizontal="right" vertical="top"/>
    </xf>
    <xf numFmtId="0" fontId="1" fillId="0" borderId="1" xfId="8" applyNumberFormat="1" applyFont="1" applyBorder="1" applyAlignment="1">
      <alignment horizontal="right" vertical="top"/>
    </xf>
    <xf numFmtId="2" fontId="1" fillId="0" borderId="1" xfId="8" applyNumberFormat="1" applyFont="1" applyBorder="1" applyAlignment="1">
      <alignment horizontal="right" vertical="top"/>
    </xf>
    <xf numFmtId="0" fontId="2" fillId="2" borderId="1" xfId="8" applyNumberFormat="1" applyFont="1" applyFill="1" applyBorder="1" applyAlignment="1">
      <alignment horizontal="left" vertical="top"/>
    </xf>
    <xf numFmtId="3" fontId="2" fillId="2" borderId="1" xfId="8" applyNumberFormat="1" applyFont="1" applyFill="1" applyBorder="1" applyAlignment="1">
      <alignment horizontal="right" vertical="top"/>
    </xf>
    <xf numFmtId="1" fontId="2" fillId="2" borderId="1" xfId="8" applyNumberFormat="1" applyFont="1" applyFill="1" applyBorder="1" applyAlignment="1">
      <alignment horizontal="right" vertical="top"/>
    </xf>
    <xf numFmtId="2" fontId="2" fillId="2" borderId="1" xfId="8" applyNumberFormat="1" applyFont="1" applyFill="1" applyBorder="1" applyAlignment="1">
      <alignment horizontal="right" vertical="top"/>
    </xf>
    <xf numFmtId="0" fontId="1" fillId="0" borderId="0" xfId="8"/>
    <xf numFmtId="0" fontId="2" fillId="2" borderId="1" xfId="9" applyNumberFormat="1" applyFont="1" applyFill="1" applyBorder="1" applyAlignment="1">
      <alignment horizontal="left" vertical="top" wrapText="1"/>
    </xf>
    <xf numFmtId="0" fontId="1" fillId="0" borderId="1" xfId="9" applyNumberFormat="1" applyFont="1" applyBorder="1" applyAlignment="1">
      <alignment horizontal="left" vertical="top" wrapText="1"/>
    </xf>
    <xf numFmtId="1" fontId="1" fillId="0" borderId="1" xfId="9" applyNumberFormat="1" applyFont="1" applyBorder="1" applyAlignment="1">
      <alignment horizontal="right" vertical="top"/>
    </xf>
    <xf numFmtId="0" fontId="1" fillId="0" borderId="1" xfId="9" applyNumberFormat="1" applyFont="1" applyBorder="1" applyAlignment="1">
      <alignment horizontal="right" vertical="top"/>
    </xf>
    <xf numFmtId="2" fontId="1" fillId="0" borderId="1" xfId="9" applyNumberFormat="1" applyFont="1" applyBorder="1" applyAlignment="1">
      <alignment horizontal="right" vertical="top"/>
    </xf>
    <xf numFmtId="0" fontId="2" fillId="2" borderId="1" xfId="9" applyNumberFormat="1" applyFont="1" applyFill="1" applyBorder="1" applyAlignment="1">
      <alignment horizontal="left" vertical="top"/>
    </xf>
    <xf numFmtId="3" fontId="2" fillId="2" borderId="1" xfId="9" applyNumberFormat="1" applyFont="1" applyFill="1" applyBorder="1" applyAlignment="1">
      <alignment horizontal="right" vertical="top"/>
    </xf>
    <xf numFmtId="1" fontId="2" fillId="2" borderId="1" xfId="9" applyNumberFormat="1" applyFont="1" applyFill="1" applyBorder="1" applyAlignment="1">
      <alignment horizontal="right" vertical="top"/>
    </xf>
    <xf numFmtId="0" fontId="2" fillId="2" borderId="1" xfId="9" applyNumberFormat="1" applyFont="1" applyFill="1" applyBorder="1" applyAlignment="1">
      <alignment horizontal="right" vertical="top"/>
    </xf>
    <xf numFmtId="2" fontId="2" fillId="2" borderId="1" xfId="9" applyNumberFormat="1" applyFont="1" applyFill="1" applyBorder="1" applyAlignment="1">
      <alignment horizontal="right" vertical="top"/>
    </xf>
    <xf numFmtId="0" fontId="1" fillId="0" borderId="0" xfId="9"/>
    <xf numFmtId="0" fontId="2" fillId="2" borderId="1" xfId="10" applyNumberFormat="1" applyFont="1" applyFill="1" applyBorder="1" applyAlignment="1">
      <alignment horizontal="left" vertical="top" wrapText="1"/>
    </xf>
    <xf numFmtId="0" fontId="1" fillId="0" borderId="1" xfId="10" applyNumberFormat="1" applyFont="1" applyBorder="1" applyAlignment="1">
      <alignment horizontal="left" vertical="top" wrapText="1"/>
    </xf>
    <xf numFmtId="1" fontId="1" fillId="0" borderId="1" xfId="10" applyNumberFormat="1" applyFont="1" applyBorder="1" applyAlignment="1">
      <alignment horizontal="right" vertical="top"/>
    </xf>
    <xf numFmtId="0" fontId="1" fillId="0" borderId="1" xfId="10" applyNumberFormat="1" applyFont="1" applyBorder="1" applyAlignment="1">
      <alignment horizontal="right" vertical="top"/>
    </xf>
    <xf numFmtId="2" fontId="1" fillId="0" borderId="1" xfId="10" applyNumberFormat="1" applyFont="1" applyBorder="1" applyAlignment="1">
      <alignment horizontal="right" vertical="top"/>
    </xf>
    <xf numFmtId="0" fontId="2" fillId="2" borderId="1" xfId="10" applyNumberFormat="1" applyFont="1" applyFill="1" applyBorder="1" applyAlignment="1">
      <alignment horizontal="left" vertical="top"/>
    </xf>
    <xf numFmtId="3" fontId="2" fillId="2" borderId="1" xfId="10" applyNumberFormat="1" applyFont="1" applyFill="1" applyBorder="1" applyAlignment="1">
      <alignment horizontal="right" vertical="top"/>
    </xf>
    <xf numFmtId="1" fontId="2" fillId="2" borderId="1" xfId="10" applyNumberFormat="1" applyFont="1" applyFill="1" applyBorder="1" applyAlignment="1">
      <alignment horizontal="right" vertical="top"/>
    </xf>
    <xf numFmtId="2" fontId="2" fillId="2" borderId="1" xfId="10" applyNumberFormat="1" applyFont="1" applyFill="1" applyBorder="1" applyAlignment="1">
      <alignment horizontal="right" vertical="top"/>
    </xf>
    <xf numFmtId="0" fontId="1" fillId="0" borderId="0" xfId="10"/>
    <xf numFmtId="0" fontId="2" fillId="2" borderId="1" xfId="11" applyNumberFormat="1" applyFont="1" applyFill="1" applyBorder="1" applyAlignment="1">
      <alignment horizontal="left" vertical="top" wrapText="1"/>
    </xf>
    <xf numFmtId="0" fontId="1" fillId="0" borderId="1" xfId="11" applyNumberFormat="1" applyFont="1" applyBorder="1" applyAlignment="1">
      <alignment horizontal="left" vertical="top" wrapText="1"/>
    </xf>
    <xf numFmtId="1" fontId="1" fillId="0" borderId="1" xfId="11" applyNumberFormat="1" applyFont="1" applyBorder="1" applyAlignment="1">
      <alignment horizontal="right" vertical="top"/>
    </xf>
    <xf numFmtId="0" fontId="1" fillId="0" borderId="1" xfId="11" applyNumberFormat="1" applyFont="1" applyBorder="1" applyAlignment="1">
      <alignment horizontal="right" vertical="top"/>
    </xf>
    <xf numFmtId="2" fontId="1" fillId="0" borderId="1" xfId="11" applyNumberFormat="1" applyFont="1" applyBorder="1" applyAlignment="1">
      <alignment horizontal="right" vertical="top"/>
    </xf>
    <xf numFmtId="0" fontId="2" fillId="2" borderId="1" xfId="11" applyNumberFormat="1" applyFont="1" applyFill="1" applyBorder="1" applyAlignment="1">
      <alignment horizontal="left" vertical="top"/>
    </xf>
    <xf numFmtId="3" fontId="2" fillId="2" borderId="1" xfId="11" applyNumberFormat="1" applyFont="1" applyFill="1" applyBorder="1" applyAlignment="1">
      <alignment horizontal="right" vertical="top"/>
    </xf>
    <xf numFmtId="0" fontId="2" fillId="2" borderId="1" xfId="11" applyNumberFormat="1" applyFont="1" applyFill="1" applyBorder="1" applyAlignment="1">
      <alignment horizontal="right" vertical="top"/>
    </xf>
    <xf numFmtId="1" fontId="2" fillId="2" borderId="1" xfId="11" applyNumberFormat="1" applyFont="1" applyFill="1" applyBorder="1" applyAlignment="1">
      <alignment horizontal="right" vertical="top"/>
    </xf>
    <xf numFmtId="2" fontId="2" fillId="2" borderId="1" xfId="11" applyNumberFormat="1" applyFont="1" applyFill="1" applyBorder="1" applyAlignment="1">
      <alignment horizontal="right" vertical="top"/>
    </xf>
    <xf numFmtId="0" fontId="1" fillId="0" borderId="0" xfId="11"/>
    <xf numFmtId="0" fontId="2" fillId="2" borderId="1" xfId="12" applyNumberFormat="1" applyFont="1" applyFill="1" applyBorder="1" applyAlignment="1">
      <alignment horizontal="left" vertical="top" wrapText="1"/>
    </xf>
    <xf numFmtId="0" fontId="1" fillId="0" borderId="1" xfId="12" applyNumberFormat="1" applyFont="1" applyBorder="1" applyAlignment="1">
      <alignment horizontal="left" vertical="top" wrapText="1"/>
    </xf>
    <xf numFmtId="1" fontId="1" fillId="0" borderId="1" xfId="12" applyNumberFormat="1" applyFont="1" applyBorder="1" applyAlignment="1">
      <alignment horizontal="right" vertical="top"/>
    </xf>
    <xf numFmtId="0" fontId="1" fillId="0" borderId="1" xfId="12" applyNumberFormat="1" applyFont="1" applyBorder="1" applyAlignment="1">
      <alignment horizontal="right" vertical="top"/>
    </xf>
    <xf numFmtId="2" fontId="1" fillId="0" borderId="1" xfId="12" applyNumberFormat="1" applyFont="1" applyBorder="1" applyAlignment="1">
      <alignment horizontal="right" vertical="top"/>
    </xf>
    <xf numFmtId="0" fontId="2" fillId="2" borderId="1" xfId="12" applyNumberFormat="1" applyFont="1" applyFill="1" applyBorder="1" applyAlignment="1">
      <alignment horizontal="left" vertical="top"/>
    </xf>
    <xf numFmtId="3" fontId="2" fillId="2" borderId="1" xfId="12" applyNumberFormat="1" applyFont="1" applyFill="1" applyBorder="1" applyAlignment="1">
      <alignment horizontal="right" vertical="top"/>
    </xf>
    <xf numFmtId="1" fontId="2" fillId="2" borderId="1" xfId="12" applyNumberFormat="1" applyFont="1" applyFill="1" applyBorder="1" applyAlignment="1">
      <alignment horizontal="right" vertical="top"/>
    </xf>
    <xf numFmtId="2" fontId="2" fillId="2" borderId="1" xfId="12" applyNumberFormat="1" applyFont="1" applyFill="1" applyBorder="1" applyAlignment="1">
      <alignment horizontal="right" vertical="top"/>
    </xf>
    <xf numFmtId="0" fontId="1" fillId="0" borderId="0" xfId="12"/>
    <xf numFmtId="0" fontId="2" fillId="2" borderId="1" xfId="13" applyNumberFormat="1" applyFont="1" applyFill="1" applyBorder="1" applyAlignment="1">
      <alignment horizontal="left" vertical="top" wrapText="1"/>
    </xf>
    <xf numFmtId="0" fontId="1" fillId="0" borderId="1" xfId="13" applyNumberFormat="1" applyFont="1" applyBorder="1" applyAlignment="1">
      <alignment horizontal="left" vertical="top" wrapText="1"/>
    </xf>
    <xf numFmtId="1" fontId="1" fillId="0" borderId="1" xfId="13" applyNumberFormat="1" applyFont="1" applyBorder="1" applyAlignment="1">
      <alignment horizontal="right" vertical="top"/>
    </xf>
    <xf numFmtId="0" fontId="1" fillId="0" borderId="1" xfId="13" applyNumberFormat="1" applyFont="1" applyBorder="1" applyAlignment="1">
      <alignment horizontal="right" vertical="top"/>
    </xf>
    <xf numFmtId="2" fontId="1" fillId="0" borderId="1" xfId="13" applyNumberFormat="1" applyFont="1" applyBorder="1" applyAlignment="1">
      <alignment horizontal="right" vertical="top"/>
    </xf>
    <xf numFmtId="0" fontId="2" fillId="2" borderId="1" xfId="13" applyNumberFormat="1" applyFont="1" applyFill="1" applyBorder="1" applyAlignment="1">
      <alignment horizontal="left" vertical="top"/>
    </xf>
    <xf numFmtId="3" fontId="2" fillId="2" borderId="1" xfId="13" applyNumberFormat="1" applyFont="1" applyFill="1" applyBorder="1" applyAlignment="1">
      <alignment horizontal="right" vertical="top"/>
    </xf>
    <xf numFmtId="1" fontId="2" fillId="2" borderId="1" xfId="13" applyNumberFormat="1" applyFont="1" applyFill="1" applyBorder="1" applyAlignment="1">
      <alignment horizontal="right" vertical="top"/>
    </xf>
    <xf numFmtId="2" fontId="2" fillId="2" borderId="1" xfId="13" applyNumberFormat="1" applyFont="1" applyFill="1" applyBorder="1" applyAlignment="1">
      <alignment horizontal="right" vertical="top"/>
    </xf>
    <xf numFmtId="0" fontId="1" fillId="0" borderId="0" xfId="13"/>
    <xf numFmtId="0" fontId="2" fillId="2" borderId="1" xfId="14" applyNumberFormat="1" applyFont="1" applyFill="1" applyBorder="1" applyAlignment="1">
      <alignment horizontal="left" vertical="top" wrapText="1"/>
    </xf>
    <xf numFmtId="0" fontId="1" fillId="0" borderId="1" xfId="14" applyNumberFormat="1" applyFont="1" applyBorder="1" applyAlignment="1">
      <alignment horizontal="left" vertical="top" wrapText="1"/>
    </xf>
    <xf numFmtId="1" fontId="1" fillId="0" borderId="1" xfId="14" applyNumberFormat="1" applyFont="1" applyBorder="1" applyAlignment="1">
      <alignment horizontal="right" vertical="top"/>
    </xf>
    <xf numFmtId="0" fontId="1" fillId="0" borderId="1" xfId="14" applyNumberFormat="1" applyFont="1" applyBorder="1" applyAlignment="1">
      <alignment horizontal="right" vertical="top"/>
    </xf>
    <xf numFmtId="2" fontId="1" fillId="0" borderId="1" xfId="14" applyNumberFormat="1" applyFont="1" applyBorder="1" applyAlignment="1">
      <alignment horizontal="right" vertical="top"/>
    </xf>
    <xf numFmtId="0" fontId="2" fillId="2" borderId="1" xfId="14" applyNumberFormat="1" applyFont="1" applyFill="1" applyBorder="1" applyAlignment="1">
      <alignment horizontal="left" vertical="top"/>
    </xf>
    <xf numFmtId="3" fontId="2" fillId="2" borderId="1" xfId="14" applyNumberFormat="1" applyFont="1" applyFill="1" applyBorder="1" applyAlignment="1">
      <alignment horizontal="right" vertical="top"/>
    </xf>
    <xf numFmtId="1" fontId="2" fillId="2" borderId="1" xfId="14" applyNumberFormat="1" applyFont="1" applyFill="1" applyBorder="1" applyAlignment="1">
      <alignment horizontal="right" vertical="top"/>
    </xf>
    <xf numFmtId="2" fontId="2" fillId="2" borderId="1" xfId="14" applyNumberFormat="1" applyFont="1" applyFill="1" applyBorder="1" applyAlignment="1">
      <alignment horizontal="right" vertical="top"/>
    </xf>
    <xf numFmtId="0" fontId="1" fillId="0" borderId="0" xfId="14"/>
    <xf numFmtId="0" fontId="3" fillId="2" borderId="1" xfId="1" applyNumberFormat="1" applyFont="1" applyFill="1" applyBorder="1" applyAlignment="1">
      <alignment horizontal="left" vertical="top"/>
    </xf>
    <xf numFmtId="1" fontId="3" fillId="0" borderId="1" xfId="1" applyNumberFormat="1" applyFont="1" applyBorder="1" applyAlignment="1">
      <alignment horizontal="right" vertical="top"/>
    </xf>
    <xf numFmtId="0" fontId="4" fillId="0" borderId="0" xfId="0" applyFont="1"/>
    <xf numFmtId="0" fontId="3" fillId="2" borderId="2" xfId="1" applyNumberFormat="1" applyFont="1" applyFill="1" applyBorder="1" applyAlignment="1">
      <alignment vertical="top" wrapText="1"/>
    </xf>
    <xf numFmtId="14" fontId="3" fillId="2" borderId="2" xfId="1" applyNumberFormat="1" applyFont="1" applyFill="1" applyBorder="1" applyAlignment="1">
      <alignment vertical="top" wrapText="1"/>
    </xf>
    <xf numFmtId="14" fontId="3" fillId="2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Border="1" applyAlignment="1">
      <alignment horizontal="left" vertical="top" wrapText="1"/>
    </xf>
    <xf numFmtId="1" fontId="3" fillId="0" borderId="1" xfId="6" applyNumberFormat="1" applyFont="1" applyBorder="1" applyAlignment="1">
      <alignment horizontal="right" vertical="top"/>
    </xf>
    <xf numFmtId="0" fontId="1" fillId="0" borderId="1" xfId="6" applyNumberFormat="1" applyFont="1" applyBorder="1" applyAlignment="1">
      <alignment horizontal="left" vertical="top" wrapText="1"/>
    </xf>
    <xf numFmtId="0" fontId="2" fillId="2" borderId="1" xfId="6" applyNumberFormat="1" applyFont="1" applyFill="1" applyBorder="1" applyAlignment="1">
      <alignment horizontal="left" vertical="top"/>
    </xf>
    <xf numFmtId="0" fontId="2" fillId="2" borderId="1" xfId="6" applyNumberFormat="1" applyFont="1" applyFill="1" applyBorder="1" applyAlignment="1">
      <alignment horizontal="left" vertical="top" wrapText="1"/>
    </xf>
    <xf numFmtId="1" fontId="1" fillId="0" borderId="1" xfId="6" applyNumberFormat="1" applyFont="1" applyBorder="1" applyAlignment="1">
      <alignment horizontal="right" vertical="top"/>
    </xf>
    <xf numFmtId="3" fontId="2" fillId="2" borderId="1" xfId="6" applyNumberFormat="1" applyFont="1" applyFill="1" applyBorder="1" applyAlignment="1">
      <alignment horizontal="right" vertical="top"/>
    </xf>
    <xf numFmtId="0" fontId="2" fillId="2" borderId="1" xfId="8" applyNumberFormat="1" applyFont="1" applyFill="1" applyBorder="1" applyAlignment="1">
      <alignment horizontal="left" vertical="top" wrapText="1"/>
    </xf>
    <xf numFmtId="0" fontId="2" fillId="2" borderId="1" xfId="8" applyNumberFormat="1" applyFont="1" applyFill="1" applyBorder="1" applyAlignment="1">
      <alignment horizontal="left" vertical="top"/>
    </xf>
    <xf numFmtId="0" fontId="2" fillId="2" borderId="1" xfId="9" applyNumberFormat="1" applyFont="1" applyFill="1" applyBorder="1" applyAlignment="1">
      <alignment horizontal="left" vertical="top" wrapText="1"/>
    </xf>
    <xf numFmtId="0" fontId="2" fillId="2" borderId="1" xfId="9" applyNumberFormat="1" applyFont="1" applyFill="1" applyBorder="1" applyAlignment="1">
      <alignment horizontal="left" vertical="top"/>
    </xf>
    <xf numFmtId="0" fontId="2" fillId="2" borderId="1" xfId="10" applyNumberFormat="1" applyFont="1" applyFill="1" applyBorder="1" applyAlignment="1">
      <alignment horizontal="left" vertical="top" wrapText="1"/>
    </xf>
    <xf numFmtId="0" fontId="2" fillId="2" borderId="1" xfId="10" applyNumberFormat="1" applyFont="1" applyFill="1" applyBorder="1" applyAlignment="1">
      <alignment horizontal="left" vertical="top"/>
    </xf>
    <xf numFmtId="0" fontId="2" fillId="2" borderId="1" xfId="11" applyNumberFormat="1" applyFont="1" applyFill="1" applyBorder="1" applyAlignment="1">
      <alignment horizontal="left" vertical="top" wrapText="1"/>
    </xf>
    <xf numFmtId="0" fontId="2" fillId="2" borderId="1" xfId="11" applyNumberFormat="1" applyFont="1" applyFill="1" applyBorder="1" applyAlignment="1">
      <alignment horizontal="left" vertical="top"/>
    </xf>
    <xf numFmtId="0" fontId="2" fillId="2" borderId="1" xfId="12" applyNumberFormat="1" applyFont="1" applyFill="1" applyBorder="1" applyAlignment="1">
      <alignment horizontal="left" vertical="top" wrapText="1"/>
    </xf>
    <xf numFmtId="0" fontId="2" fillId="2" borderId="1" xfId="12" applyNumberFormat="1" applyFont="1" applyFill="1" applyBorder="1" applyAlignment="1">
      <alignment horizontal="left" vertical="top"/>
    </xf>
    <xf numFmtId="0" fontId="2" fillId="2" borderId="1" xfId="13" applyNumberFormat="1" applyFont="1" applyFill="1" applyBorder="1" applyAlignment="1">
      <alignment horizontal="left" vertical="top" wrapText="1"/>
    </xf>
    <xf numFmtId="0" fontId="2" fillId="2" borderId="1" xfId="13" applyNumberFormat="1" applyFont="1" applyFill="1" applyBorder="1" applyAlignment="1">
      <alignment horizontal="left" vertical="top"/>
    </xf>
    <xf numFmtId="0" fontId="2" fillId="2" borderId="1" xfId="14" applyNumberFormat="1" applyFont="1" applyFill="1" applyBorder="1" applyAlignment="1">
      <alignment horizontal="left" vertical="top" wrapText="1"/>
    </xf>
    <xf numFmtId="0" fontId="2" fillId="2" borderId="1" xfId="14" applyNumberFormat="1" applyFont="1" applyFill="1" applyBorder="1" applyAlignment="1">
      <alignment horizontal="left" vertical="top"/>
    </xf>
    <xf numFmtId="0" fontId="2" fillId="2" borderId="1" xfId="7" applyNumberFormat="1" applyFont="1" applyFill="1" applyBorder="1" applyAlignment="1">
      <alignment horizontal="left" vertical="top" wrapText="1"/>
    </xf>
    <xf numFmtId="0" fontId="2" fillId="2" borderId="1" xfId="7" applyNumberFormat="1" applyFont="1" applyFill="1" applyBorder="1" applyAlignment="1">
      <alignment horizontal="left" vertical="top"/>
    </xf>
    <xf numFmtId="0" fontId="2" fillId="2" borderId="1" xfId="2" applyNumberFormat="1" applyFont="1" applyFill="1" applyBorder="1" applyAlignment="1">
      <alignment horizontal="left" vertical="top" wrapText="1"/>
    </xf>
    <xf numFmtId="0" fontId="2" fillId="2" borderId="1" xfId="2" applyNumberFormat="1" applyFont="1" applyFill="1" applyBorder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 wrapText="1"/>
    </xf>
    <xf numFmtId="0" fontId="2" fillId="2" borderId="1" xfId="3" applyNumberFormat="1" applyFont="1" applyFill="1" applyBorder="1" applyAlignment="1">
      <alignment horizontal="left" vertical="top"/>
    </xf>
    <xf numFmtId="0" fontId="2" fillId="2" borderId="1" xfId="4" applyNumberFormat="1" applyFont="1" applyFill="1" applyBorder="1" applyAlignment="1">
      <alignment horizontal="left" vertical="top" wrapText="1"/>
    </xf>
    <xf numFmtId="0" fontId="2" fillId="2" borderId="1" xfId="4" applyNumberFormat="1" applyFont="1" applyFill="1" applyBorder="1" applyAlignment="1">
      <alignment horizontal="left" vertical="top"/>
    </xf>
    <xf numFmtId="0" fontId="2" fillId="2" borderId="1" xfId="5" applyNumberFormat="1" applyFont="1" applyFill="1" applyBorder="1" applyAlignment="1">
      <alignment horizontal="left" vertical="top" wrapText="1"/>
    </xf>
    <xf numFmtId="0" fontId="2" fillId="2" borderId="1" xfId="5" applyNumberFormat="1" applyFont="1" applyFill="1" applyBorder="1" applyAlignment="1">
      <alignment horizontal="left" vertical="top"/>
    </xf>
    <xf numFmtId="0" fontId="2" fillId="2" borderId="1" xfId="6" applyNumberFormat="1" applyFont="1" applyFill="1" applyBorder="1" applyAlignment="1">
      <alignment horizontal="left" vertical="top" wrapText="1"/>
    </xf>
    <xf numFmtId="0" fontId="2" fillId="2" borderId="1" xfId="15" applyNumberFormat="1" applyFont="1" applyFill="1" applyBorder="1" applyAlignment="1">
      <alignment horizontal="left" vertical="top" wrapText="1"/>
    </xf>
    <xf numFmtId="0" fontId="2" fillId="2" borderId="1" xfId="15" applyNumberFormat="1" applyFont="1" applyFill="1" applyBorder="1" applyAlignment="1">
      <alignment horizontal="left" vertical="top"/>
    </xf>
    <xf numFmtId="0" fontId="2" fillId="2" borderId="1" xfId="15" applyNumberFormat="1" applyFont="1" applyFill="1" applyBorder="1" applyAlignment="1">
      <alignment horizontal="left" vertical="top" wrapText="1"/>
    </xf>
    <xf numFmtId="0" fontId="1" fillId="0" borderId="1" xfId="15" applyNumberFormat="1" applyFont="1" applyBorder="1" applyAlignment="1">
      <alignment horizontal="left" vertical="top" wrapText="1"/>
    </xf>
    <xf numFmtId="1" fontId="1" fillId="0" borderId="1" xfId="15" applyNumberFormat="1" applyFont="1" applyBorder="1" applyAlignment="1">
      <alignment horizontal="right" vertical="top"/>
    </xf>
    <xf numFmtId="0" fontId="1" fillId="0" borderId="1" xfId="15" applyNumberFormat="1" applyFont="1" applyBorder="1" applyAlignment="1">
      <alignment horizontal="right" vertical="top"/>
    </xf>
    <xf numFmtId="2" fontId="1" fillId="0" borderId="1" xfId="15" applyNumberFormat="1" applyFont="1" applyBorder="1" applyAlignment="1">
      <alignment horizontal="right" vertical="top"/>
    </xf>
    <xf numFmtId="0" fontId="2" fillId="2" borderId="1" xfId="15" applyNumberFormat="1" applyFont="1" applyFill="1" applyBorder="1" applyAlignment="1">
      <alignment horizontal="left" vertical="top"/>
    </xf>
    <xf numFmtId="3" fontId="2" fillId="2" borderId="1" xfId="15" applyNumberFormat="1" applyFont="1" applyFill="1" applyBorder="1" applyAlignment="1">
      <alignment horizontal="right" vertical="top"/>
    </xf>
    <xf numFmtId="1" fontId="2" fillId="2" borderId="1" xfId="15" applyNumberFormat="1" applyFont="1" applyFill="1" applyBorder="1" applyAlignment="1">
      <alignment horizontal="right" vertical="top"/>
    </xf>
    <xf numFmtId="2" fontId="2" fillId="2" borderId="1" xfId="15" applyNumberFormat="1" applyFont="1" applyFill="1" applyBorder="1" applyAlignment="1">
      <alignment horizontal="right" vertical="top"/>
    </xf>
    <xf numFmtId="0" fontId="1" fillId="0" borderId="0" xfId="15"/>
  </cellXfs>
  <cellStyles count="16">
    <cellStyle name="Обычный" xfId="0" builtinId="0"/>
    <cellStyle name="Обычный_28.02.25" xfId="10" xr:uid="{00000000-0005-0000-0000-000001000000}"/>
    <cellStyle name="Обычный_30.04.25" xfId="12" xr:uid="{00000000-0005-0000-0000-000002000000}"/>
    <cellStyle name="Обычный_30.06.25" xfId="14" xr:uid="{00000000-0005-0000-0000-000003000000}"/>
    <cellStyle name="Обычный_30.09.25" xfId="3" xr:uid="{00000000-0005-0000-0000-000004000000}"/>
    <cellStyle name="Обычный_30.11.25" xfId="5" xr:uid="{00000000-0005-0000-0000-000005000000}"/>
    <cellStyle name="Обычный_31.01.25" xfId="9" xr:uid="{00000000-0005-0000-0000-000006000000}"/>
    <cellStyle name="Обычный_31.01.26" xfId="15" xr:uid="{D0EB5C2D-8A1D-4EB9-AB2F-E5FE44CAB694}"/>
    <cellStyle name="Обычный_31.03.25" xfId="11" xr:uid="{00000000-0005-0000-0000-000007000000}"/>
    <cellStyle name="Обычный_31.05.25" xfId="13" xr:uid="{00000000-0005-0000-0000-000008000000}"/>
    <cellStyle name="Обычный_31.08.2025" xfId="2" xr:uid="{00000000-0005-0000-0000-000009000000}"/>
    <cellStyle name="Обычный_31.10.25" xfId="4" xr:uid="{00000000-0005-0000-0000-00000A000000}"/>
    <cellStyle name="Обычный_31.12.2024" xfId="8" xr:uid="{00000000-0005-0000-0000-00000B000000}"/>
    <cellStyle name="Обычный_31.12.25" xfId="6" xr:uid="{00000000-0005-0000-0000-00000C000000}"/>
    <cellStyle name="Обычный_Лист5" xfId="1" xr:uid="{00000000-0005-0000-0000-00000D000000}"/>
    <cellStyle name="Обычный_Лист6" xfId="7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0A2F-C21C-4448-88D7-3DEA03567B73}">
  <dimension ref="A1:D199"/>
  <sheetViews>
    <sheetView workbookViewId="0">
      <pane xSplit="1" ySplit="2" topLeftCell="B9" activePane="bottomRight" state="frozen"/>
      <selection sqref="A1:H244"/>
      <selection pane="topRight" sqref="A1:H244"/>
      <selection pane="bottomLeft" sqref="A1:H244"/>
      <selection pane="bottomRight" activeCell="A32" sqref="A32"/>
    </sheetView>
  </sheetViews>
  <sheetFormatPr defaultColWidth="8.85546875" defaultRowHeight="15.75" x14ac:dyDescent="0.25"/>
  <cols>
    <col min="1" max="1" width="81.42578125" style="120" bestFit="1" customWidth="1"/>
    <col min="2" max="2" width="13.85546875" style="120" customWidth="1"/>
    <col min="3" max="3" width="13.42578125" style="120" customWidth="1"/>
    <col min="4" max="4" width="13.140625" style="120" customWidth="1"/>
    <col min="5" max="16384" width="8.85546875" style="120"/>
  </cols>
  <sheetData>
    <row r="1" spans="1:4" x14ac:dyDescent="0.25">
      <c r="A1" s="118" t="s">
        <v>1</v>
      </c>
      <c r="B1" s="119">
        <f t="shared" ref="B1:D1" si="0">SUBTOTAL(109,B3:B199)</f>
        <v>5980</v>
      </c>
      <c r="C1" s="119">
        <f t="shared" si="0"/>
        <v>6037</v>
      </c>
      <c r="D1" s="119">
        <f t="shared" si="0"/>
        <v>57</v>
      </c>
    </row>
    <row r="2" spans="1:4" x14ac:dyDescent="0.25">
      <c r="A2" s="121" t="s">
        <v>0</v>
      </c>
      <c r="B2" s="122">
        <v>46022</v>
      </c>
      <c r="C2" s="122">
        <v>46053</v>
      </c>
      <c r="D2" s="123" t="s">
        <v>225</v>
      </c>
    </row>
    <row r="3" spans="1:4" x14ac:dyDescent="0.25">
      <c r="A3" s="124" t="s">
        <v>6</v>
      </c>
      <c r="B3" s="124">
        <f>VLOOKUP(A3,'31.12.25'!A:F,2,FALSE)</f>
        <v>17</v>
      </c>
      <c r="C3" s="124">
        <f>VLOOKUP(A3,'31.01.26'!A:F,6,FALSE)</f>
        <v>17</v>
      </c>
      <c r="D3" s="119">
        <f>C3-B3</f>
        <v>0</v>
      </c>
    </row>
    <row r="4" spans="1:4" x14ac:dyDescent="0.25">
      <c r="A4" s="124" t="s">
        <v>7</v>
      </c>
      <c r="B4" s="124">
        <f>VLOOKUP(A4,'31.12.25'!A:F,2,FALSE)</f>
        <v>13</v>
      </c>
      <c r="C4" s="124">
        <f>VLOOKUP(A4,'31.01.26'!A:F,6,FALSE)</f>
        <v>13</v>
      </c>
      <c r="D4" s="119">
        <f>C4-B4</f>
        <v>0</v>
      </c>
    </row>
    <row r="5" spans="1:4" x14ac:dyDescent="0.25">
      <c r="A5" s="124" t="s">
        <v>8</v>
      </c>
      <c r="B5" s="124">
        <f>VLOOKUP(A5,'31.12.25'!A:F,2,FALSE)</f>
        <v>14</v>
      </c>
      <c r="C5" s="124">
        <f>VLOOKUP(A5,'31.01.26'!A:F,6,FALSE)</f>
        <v>14</v>
      </c>
      <c r="D5" s="119">
        <f>C5-B5</f>
        <v>0</v>
      </c>
    </row>
    <row r="6" spans="1:4" x14ac:dyDescent="0.25">
      <c r="A6" s="124" t="s">
        <v>9</v>
      </c>
      <c r="B6" s="124">
        <f>VLOOKUP(A6,'31.12.25'!A:F,2,FALSE)</f>
        <v>200</v>
      </c>
      <c r="C6" s="124">
        <f>VLOOKUP(A6,'31.01.26'!A:F,6,FALSE)</f>
        <v>206</v>
      </c>
      <c r="D6" s="119">
        <f>C6-B6</f>
        <v>6</v>
      </c>
    </row>
    <row r="7" spans="1:4" x14ac:dyDescent="0.25">
      <c r="A7" s="124" t="s">
        <v>10</v>
      </c>
      <c r="B7" s="124">
        <f>VLOOKUP(A7,'31.12.25'!A:F,2,FALSE)</f>
        <v>15</v>
      </c>
      <c r="C7" s="124">
        <f>VLOOKUP(A7,'31.01.26'!A:F,6,FALSE)</f>
        <v>15</v>
      </c>
      <c r="D7" s="119">
        <f>C7-B7</f>
        <v>0</v>
      </c>
    </row>
    <row r="8" spans="1:4" x14ac:dyDescent="0.25">
      <c r="A8" s="124" t="s">
        <v>11</v>
      </c>
      <c r="B8" s="124">
        <f>VLOOKUP(A8,'31.12.25'!A:F,2,FALSE)</f>
        <v>29</v>
      </c>
      <c r="C8" s="124">
        <f>VLOOKUP(A8,'31.01.26'!A:F,6,FALSE)</f>
        <v>29</v>
      </c>
      <c r="D8" s="119">
        <f>C8-B8</f>
        <v>0</v>
      </c>
    </row>
    <row r="9" spans="1:4" x14ac:dyDescent="0.25">
      <c r="A9" s="124" t="s">
        <v>12</v>
      </c>
      <c r="B9" s="124">
        <f>VLOOKUP(A9,'31.12.25'!A:F,2,FALSE)</f>
        <v>48</v>
      </c>
      <c r="C9" s="124">
        <f>VLOOKUP(A9,'31.01.26'!A:F,6,FALSE)</f>
        <v>48</v>
      </c>
      <c r="D9" s="119">
        <f>C9-B9</f>
        <v>0</v>
      </c>
    </row>
    <row r="10" spans="1:4" x14ac:dyDescent="0.25">
      <c r="A10" s="124" t="s">
        <v>13</v>
      </c>
      <c r="B10" s="124">
        <f>VLOOKUP(A10,'31.12.25'!A:F,2,FALSE)</f>
        <v>10</v>
      </c>
      <c r="C10" s="124">
        <f>VLOOKUP(A10,'31.01.26'!A:F,6,FALSE)</f>
        <v>15</v>
      </c>
      <c r="D10" s="119">
        <f>C10-B10</f>
        <v>5</v>
      </c>
    </row>
    <row r="11" spans="1:4" x14ac:dyDescent="0.25">
      <c r="A11" s="124" t="s">
        <v>14</v>
      </c>
      <c r="B11" s="124">
        <f>VLOOKUP(A11,'31.12.25'!A:F,2,FALSE)</f>
        <v>87</v>
      </c>
      <c r="C11" s="124">
        <f>VLOOKUP(A11,'31.01.26'!A:F,6,FALSE)</f>
        <v>87</v>
      </c>
      <c r="D11" s="119">
        <f>C11-B11</f>
        <v>0</v>
      </c>
    </row>
    <row r="12" spans="1:4" x14ac:dyDescent="0.25">
      <c r="A12" s="124" t="s">
        <v>15</v>
      </c>
      <c r="B12" s="124">
        <f>VLOOKUP(A12,'31.12.25'!A:F,2,FALSE)</f>
        <v>32</v>
      </c>
      <c r="C12" s="124">
        <f>VLOOKUP(A12,'31.01.26'!A:F,6,FALSE)</f>
        <v>32</v>
      </c>
      <c r="D12" s="119">
        <f>C12-B12</f>
        <v>0</v>
      </c>
    </row>
    <row r="13" spans="1:4" x14ac:dyDescent="0.25">
      <c r="A13" s="124" t="s">
        <v>16</v>
      </c>
      <c r="B13" s="124">
        <f>VLOOKUP(A13,'31.12.25'!A:F,2,FALSE)</f>
        <v>22</v>
      </c>
      <c r="C13" s="124">
        <f>VLOOKUP(A13,'31.01.26'!A:F,6,FALSE)</f>
        <v>22</v>
      </c>
      <c r="D13" s="119">
        <f>C13-B13</f>
        <v>0</v>
      </c>
    </row>
    <row r="14" spans="1:4" x14ac:dyDescent="0.25">
      <c r="A14" s="124" t="s">
        <v>17</v>
      </c>
      <c r="B14" s="124">
        <f>VLOOKUP(A14,'31.12.25'!A:F,2,FALSE)</f>
        <v>94</v>
      </c>
      <c r="C14" s="124">
        <f>VLOOKUP(A14,'31.01.26'!A:F,6,FALSE)</f>
        <v>94</v>
      </c>
      <c r="D14" s="119">
        <f>C14-B14</f>
        <v>0</v>
      </c>
    </row>
    <row r="15" spans="1:4" x14ac:dyDescent="0.25">
      <c r="A15" s="124" t="s">
        <v>177</v>
      </c>
      <c r="B15" s="124">
        <f>VLOOKUP(A15,'31.12.25'!A:F,2,FALSE)</f>
        <v>1</v>
      </c>
      <c r="C15" s="124">
        <f>VLOOKUP(A15,'31.01.26'!A:F,6,FALSE)</f>
        <v>1</v>
      </c>
      <c r="D15" s="119">
        <f>C15-B15</f>
        <v>0</v>
      </c>
    </row>
    <row r="16" spans="1:4" x14ac:dyDescent="0.25">
      <c r="A16" s="124" t="s">
        <v>178</v>
      </c>
      <c r="B16" s="124">
        <f>VLOOKUP(A16,'31.12.25'!A:F,2,FALSE)</f>
        <v>6</v>
      </c>
      <c r="C16" s="124">
        <f>VLOOKUP(A16,'31.01.26'!A:F,6,FALSE)</f>
        <v>6</v>
      </c>
      <c r="D16" s="119">
        <f>C16-B16</f>
        <v>0</v>
      </c>
    </row>
    <row r="17" spans="1:4" x14ac:dyDescent="0.25">
      <c r="A17" s="124" t="s">
        <v>179</v>
      </c>
      <c r="B17" s="124">
        <f>VLOOKUP(A17,'31.12.25'!A:F,2,FALSE)</f>
        <v>2</v>
      </c>
      <c r="C17" s="124">
        <f>VLOOKUP(A17,'31.01.26'!A:F,6,FALSE)</f>
        <v>2</v>
      </c>
      <c r="D17" s="119">
        <f>C17-B17</f>
        <v>0</v>
      </c>
    </row>
    <row r="18" spans="1:4" x14ac:dyDescent="0.25">
      <c r="A18" s="124" t="s">
        <v>180</v>
      </c>
      <c r="B18" s="124">
        <f>VLOOKUP(A18,'31.12.25'!A:F,2,FALSE)</f>
        <v>2</v>
      </c>
      <c r="C18" s="124">
        <f>VLOOKUP(A18,'31.01.26'!A:F,6,FALSE)</f>
        <v>2</v>
      </c>
      <c r="D18" s="119">
        <f>C18-B18</f>
        <v>0</v>
      </c>
    </row>
    <row r="19" spans="1:4" x14ac:dyDescent="0.25">
      <c r="A19" s="124" t="s">
        <v>181</v>
      </c>
      <c r="B19" s="124">
        <f>VLOOKUP(A19,'31.12.25'!A:F,2,FALSE)</f>
        <v>7</v>
      </c>
      <c r="C19" s="124">
        <f>VLOOKUP(A19,'31.01.26'!A:F,6,FALSE)</f>
        <v>7</v>
      </c>
      <c r="D19" s="119">
        <f>C19-B19</f>
        <v>0</v>
      </c>
    </row>
    <row r="20" spans="1:4" x14ac:dyDescent="0.25">
      <c r="A20" s="124" t="s">
        <v>182</v>
      </c>
      <c r="B20" s="124">
        <f>VLOOKUP(A20,'31.12.25'!A:F,2,FALSE)</f>
        <v>6</v>
      </c>
      <c r="C20" s="124">
        <f>VLOOKUP(A20,'31.01.26'!A:F,6,FALSE)</f>
        <v>6</v>
      </c>
      <c r="D20" s="119">
        <f>C20-B20</f>
        <v>0</v>
      </c>
    </row>
    <row r="21" spans="1:4" x14ac:dyDescent="0.25">
      <c r="A21" s="124" t="s">
        <v>213</v>
      </c>
      <c r="B21" s="124">
        <f>VLOOKUP(A21,'31.12.25'!A:F,2,FALSE)</f>
        <v>9</v>
      </c>
      <c r="C21" s="124">
        <f>VLOOKUP(A21,'31.01.26'!A:F,6,FALSE)</f>
        <v>9</v>
      </c>
      <c r="D21" s="119">
        <f>C21-B21</f>
        <v>0</v>
      </c>
    </row>
    <row r="22" spans="1:4" x14ac:dyDescent="0.25">
      <c r="A22" s="124" t="s">
        <v>214</v>
      </c>
      <c r="B22" s="124">
        <f>VLOOKUP(A22,'31.12.25'!A:F,2,FALSE)</f>
        <v>3</v>
      </c>
      <c r="C22" s="124">
        <f>VLOOKUP(A22,'31.01.26'!A:F,6,FALSE)</f>
        <v>3</v>
      </c>
      <c r="D22" s="119">
        <f>C22-B22</f>
        <v>0</v>
      </c>
    </row>
    <row r="23" spans="1:4" x14ac:dyDescent="0.25">
      <c r="A23" s="124" t="s">
        <v>18</v>
      </c>
      <c r="B23" s="124">
        <f>VLOOKUP(A23,'31.12.25'!A:F,2,FALSE)</f>
        <v>13</v>
      </c>
      <c r="C23" s="124">
        <f>VLOOKUP(A23,'31.01.26'!A:F,6,FALSE)</f>
        <v>13</v>
      </c>
      <c r="D23" s="119">
        <f>C23-B23</f>
        <v>0</v>
      </c>
    </row>
    <row r="24" spans="1:4" x14ac:dyDescent="0.25">
      <c r="A24" s="124" t="s">
        <v>19</v>
      </c>
      <c r="B24" s="124">
        <f>VLOOKUP(A24,'31.12.25'!A:F,2,FALSE)</f>
        <v>22</v>
      </c>
      <c r="C24" s="124">
        <f>VLOOKUP(A24,'31.01.26'!A:F,6,FALSE)</f>
        <v>22</v>
      </c>
      <c r="D24" s="119">
        <f>C24-B24</f>
        <v>0</v>
      </c>
    </row>
    <row r="25" spans="1:4" x14ac:dyDescent="0.25">
      <c r="A25" s="124" t="s">
        <v>183</v>
      </c>
      <c r="B25" s="124">
        <f>VLOOKUP(A25,'31.12.25'!A:F,2,FALSE)</f>
        <v>1</v>
      </c>
      <c r="C25" s="124">
        <f>VLOOKUP(A25,'31.01.26'!A:F,6,FALSE)</f>
        <v>1</v>
      </c>
      <c r="D25" s="119">
        <f>C25-B25</f>
        <v>0</v>
      </c>
    </row>
    <row r="26" spans="1:4" x14ac:dyDescent="0.25">
      <c r="A26" s="124" t="s">
        <v>184</v>
      </c>
      <c r="B26" s="124">
        <f>VLOOKUP(A26,'31.12.25'!A:F,2,FALSE)</f>
        <v>3</v>
      </c>
      <c r="C26" s="124">
        <f>VLOOKUP(A26,'31.01.26'!A:F,6,FALSE)</f>
        <v>3</v>
      </c>
      <c r="D26" s="119">
        <f>C26-B26</f>
        <v>0</v>
      </c>
    </row>
    <row r="27" spans="1:4" x14ac:dyDescent="0.25">
      <c r="A27" s="124" t="s">
        <v>20</v>
      </c>
      <c r="B27" s="124">
        <f>VLOOKUP(A27,'31.12.25'!A:F,2,FALSE)</f>
        <v>98</v>
      </c>
      <c r="C27" s="124">
        <f>VLOOKUP(A27,'31.01.26'!A:F,6,FALSE)</f>
        <v>98</v>
      </c>
      <c r="D27" s="119">
        <f>C27-B27</f>
        <v>0</v>
      </c>
    </row>
    <row r="28" spans="1:4" x14ac:dyDescent="0.25">
      <c r="A28" s="124" t="s">
        <v>21</v>
      </c>
      <c r="B28" s="124">
        <f>VLOOKUP(A28,'31.12.25'!A:F,2,FALSE)</f>
        <v>150</v>
      </c>
      <c r="C28" s="124">
        <f>VLOOKUP(A28,'31.01.26'!A:F,6,FALSE)</f>
        <v>150</v>
      </c>
      <c r="D28" s="119">
        <f>C28-B28</f>
        <v>0</v>
      </c>
    </row>
    <row r="29" spans="1:4" x14ac:dyDescent="0.25">
      <c r="A29" s="124" t="s">
        <v>22</v>
      </c>
      <c r="B29" s="124">
        <f>VLOOKUP(A29,'31.12.25'!A:F,2,FALSE)</f>
        <v>49</v>
      </c>
      <c r="C29" s="124">
        <f>VLOOKUP(A29,'31.01.26'!A:F,6,FALSE)</f>
        <v>49</v>
      </c>
      <c r="D29" s="119">
        <f>C29-B29</f>
        <v>0</v>
      </c>
    </row>
    <row r="30" spans="1:4" x14ac:dyDescent="0.25">
      <c r="A30" s="124" t="s">
        <v>23</v>
      </c>
      <c r="B30" s="124">
        <f>VLOOKUP(A30,'31.12.25'!A:F,2,FALSE)</f>
        <v>5</v>
      </c>
      <c r="C30" s="124">
        <f>VLOOKUP(A30,'31.01.26'!A:F,6,FALSE)</f>
        <v>5</v>
      </c>
      <c r="D30" s="119">
        <f>C30-B30</f>
        <v>0</v>
      </c>
    </row>
    <row r="31" spans="1:4" x14ac:dyDescent="0.25">
      <c r="A31" s="124" t="s">
        <v>24</v>
      </c>
      <c r="B31" s="124">
        <f>VLOOKUP(A31,'31.12.25'!A:F,2,FALSE)</f>
        <v>114</v>
      </c>
      <c r="C31" s="124">
        <f>VLOOKUP(A31,'31.01.26'!A:F,6,FALSE)</f>
        <v>114</v>
      </c>
      <c r="D31" s="119">
        <f>C31-B31</f>
        <v>0</v>
      </c>
    </row>
    <row r="32" spans="1:4" x14ac:dyDescent="0.25">
      <c r="A32" s="124" t="s">
        <v>25</v>
      </c>
      <c r="B32" s="124">
        <f>VLOOKUP(A32,'31.12.25'!A:F,2,FALSE)</f>
        <v>35</v>
      </c>
      <c r="C32" s="124">
        <f>VLOOKUP(A32,'31.01.26'!A:F,6,FALSE)</f>
        <v>35</v>
      </c>
      <c r="D32" s="119">
        <f>C32-B32</f>
        <v>0</v>
      </c>
    </row>
    <row r="33" spans="1:4" x14ac:dyDescent="0.25">
      <c r="A33" s="124" t="s">
        <v>26</v>
      </c>
      <c r="B33" s="124">
        <f>VLOOKUP(A33,'31.12.25'!A:F,2,FALSE)</f>
        <v>226</v>
      </c>
      <c r="C33" s="124">
        <f>VLOOKUP(A33,'31.01.26'!A:F,6,FALSE)</f>
        <v>228</v>
      </c>
      <c r="D33" s="119">
        <f>C33-B33</f>
        <v>2</v>
      </c>
    </row>
    <row r="34" spans="1:4" x14ac:dyDescent="0.25">
      <c r="A34" s="124" t="s">
        <v>132</v>
      </c>
      <c r="B34" s="124">
        <f>VLOOKUP(A34,'31.12.25'!A:F,2,FALSE)</f>
        <v>20</v>
      </c>
      <c r="C34" s="124">
        <f>VLOOKUP(A34,'31.01.26'!A:F,6,FALSE)</f>
        <v>20</v>
      </c>
      <c r="D34" s="119">
        <f>C34-B34</f>
        <v>0</v>
      </c>
    </row>
    <row r="35" spans="1:4" x14ac:dyDescent="0.25">
      <c r="A35" s="124" t="s">
        <v>27</v>
      </c>
      <c r="B35" s="124">
        <f>VLOOKUP(A35,'31.12.25'!A:F,2,FALSE)</f>
        <v>251</v>
      </c>
      <c r="C35" s="124">
        <f>VLOOKUP(A35,'31.01.26'!A:F,6,FALSE)</f>
        <v>251</v>
      </c>
      <c r="D35" s="119">
        <f>C35-B35</f>
        <v>0</v>
      </c>
    </row>
    <row r="36" spans="1:4" x14ac:dyDescent="0.25">
      <c r="A36" s="124" t="s">
        <v>28</v>
      </c>
      <c r="B36" s="124">
        <f>VLOOKUP(A36,'31.12.25'!A:F,2,FALSE)</f>
        <v>178</v>
      </c>
      <c r="C36" s="124">
        <f>VLOOKUP(A36,'31.01.26'!A:F,6,FALSE)</f>
        <v>178</v>
      </c>
      <c r="D36" s="119">
        <f>C36-B36</f>
        <v>0</v>
      </c>
    </row>
    <row r="37" spans="1:4" x14ac:dyDescent="0.25">
      <c r="A37" s="124" t="s">
        <v>29</v>
      </c>
      <c r="B37" s="124">
        <f>VLOOKUP(A37,'31.12.25'!A:F,2,FALSE)</f>
        <v>186</v>
      </c>
      <c r="C37" s="124">
        <f>VLOOKUP(A37,'31.01.26'!A:F,6,FALSE)</f>
        <v>187</v>
      </c>
      <c r="D37" s="119">
        <f>C37-B37</f>
        <v>1</v>
      </c>
    </row>
    <row r="38" spans="1:4" x14ac:dyDescent="0.25">
      <c r="A38" s="124" t="s">
        <v>121</v>
      </c>
      <c r="B38" s="124">
        <f>VLOOKUP(A38,'31.12.25'!A:F,2,FALSE)</f>
        <v>8</v>
      </c>
      <c r="C38" s="124">
        <f>VLOOKUP(A38,'31.01.26'!A:F,6,FALSE)</f>
        <v>8</v>
      </c>
      <c r="D38" s="119">
        <f>C38-B38</f>
        <v>0</v>
      </c>
    </row>
    <row r="39" spans="1:4" x14ac:dyDescent="0.25">
      <c r="A39" s="124" t="s">
        <v>185</v>
      </c>
      <c r="B39" s="124">
        <f>VLOOKUP(A39,'31.12.25'!A:F,2,FALSE)</f>
        <v>75</v>
      </c>
      <c r="C39" s="124">
        <f>VLOOKUP(A39,'31.01.26'!A:F,6,FALSE)</f>
        <v>75</v>
      </c>
      <c r="D39" s="119">
        <f>C39-B39</f>
        <v>0</v>
      </c>
    </row>
    <row r="40" spans="1:4" x14ac:dyDescent="0.25">
      <c r="A40" s="124" t="s">
        <v>30</v>
      </c>
      <c r="B40" s="124">
        <f>VLOOKUP(A40,'31.12.25'!A:F,2,FALSE)</f>
        <v>23</v>
      </c>
      <c r="C40" s="124">
        <f>VLOOKUP(A40,'31.01.26'!A:F,6,FALSE)</f>
        <v>23</v>
      </c>
      <c r="D40" s="119">
        <f>C40-B40</f>
        <v>0</v>
      </c>
    </row>
    <row r="41" spans="1:4" x14ac:dyDescent="0.25">
      <c r="A41" s="124" t="s">
        <v>31</v>
      </c>
      <c r="B41" s="124">
        <f>VLOOKUP(A41,'31.12.25'!A:F,2,FALSE)</f>
        <v>13</v>
      </c>
      <c r="C41" s="124">
        <f>VLOOKUP(A41,'31.01.26'!A:F,6,FALSE)</f>
        <v>13</v>
      </c>
      <c r="D41" s="119">
        <f>C41-B41</f>
        <v>0</v>
      </c>
    </row>
    <row r="42" spans="1:4" x14ac:dyDescent="0.25">
      <c r="A42" s="124" t="s">
        <v>32</v>
      </c>
      <c r="B42" s="124">
        <f>VLOOKUP(A42,'31.12.25'!A:F,2,FALSE)</f>
        <v>7</v>
      </c>
      <c r="C42" s="124">
        <f>VLOOKUP(A42,'31.01.26'!A:F,6,FALSE)</f>
        <v>7</v>
      </c>
      <c r="D42" s="119">
        <f>C42-B42</f>
        <v>0</v>
      </c>
    </row>
    <row r="43" spans="1:4" x14ac:dyDescent="0.25">
      <c r="A43" s="124" t="s">
        <v>186</v>
      </c>
      <c r="B43" s="124">
        <f>VLOOKUP(A43,'31.12.25'!A:F,2,FALSE)</f>
        <v>16</v>
      </c>
      <c r="C43" s="124">
        <f>VLOOKUP(A43,'31.01.26'!A:F,6,FALSE)</f>
        <v>16</v>
      </c>
      <c r="D43" s="119">
        <f>C43-B43</f>
        <v>0</v>
      </c>
    </row>
    <row r="44" spans="1:4" x14ac:dyDescent="0.25">
      <c r="A44" s="124" t="s">
        <v>187</v>
      </c>
      <c r="B44" s="124">
        <f>VLOOKUP(A44,'31.12.25'!A:F,2,FALSE)</f>
        <v>13</v>
      </c>
      <c r="C44" s="124">
        <f>VLOOKUP(A44,'31.01.26'!A:F,6,FALSE)</f>
        <v>13</v>
      </c>
      <c r="D44" s="119">
        <f>C44-B44</f>
        <v>0</v>
      </c>
    </row>
    <row r="45" spans="1:4" x14ac:dyDescent="0.25">
      <c r="A45" s="124" t="s">
        <v>188</v>
      </c>
      <c r="B45" s="124">
        <f>VLOOKUP(A45,'31.12.25'!A:F,2,FALSE)</f>
        <v>1</v>
      </c>
      <c r="C45" s="124">
        <f>VLOOKUP(A45,'31.01.26'!A:F,6,FALSE)</f>
        <v>1</v>
      </c>
      <c r="D45" s="119">
        <f>C45-B45</f>
        <v>0</v>
      </c>
    </row>
    <row r="46" spans="1:4" x14ac:dyDescent="0.25">
      <c r="A46" s="124" t="s">
        <v>189</v>
      </c>
      <c r="B46" s="124">
        <f>VLOOKUP(A46,'31.12.25'!A:F,2,FALSE)</f>
        <v>7</v>
      </c>
      <c r="C46" s="124">
        <f>VLOOKUP(A46,'31.01.26'!A:F,6,FALSE)</f>
        <v>7</v>
      </c>
      <c r="D46" s="119">
        <f>C46-B46</f>
        <v>0</v>
      </c>
    </row>
    <row r="47" spans="1:4" x14ac:dyDescent="0.25">
      <c r="A47" s="124" t="s">
        <v>190</v>
      </c>
      <c r="B47" s="124">
        <f>VLOOKUP(A47,'31.12.25'!A:F,2,FALSE)</f>
        <v>2</v>
      </c>
      <c r="C47" s="124">
        <f>VLOOKUP(A47,'31.01.26'!A:F,6,FALSE)</f>
        <v>2</v>
      </c>
      <c r="D47" s="119">
        <f>C47-B47</f>
        <v>0</v>
      </c>
    </row>
    <row r="48" spans="1:4" x14ac:dyDescent="0.25">
      <c r="A48" s="124" t="s">
        <v>33</v>
      </c>
      <c r="B48" s="124">
        <f>VLOOKUP(A48,'31.12.25'!A:F,2,FALSE)</f>
        <v>15</v>
      </c>
      <c r="C48" s="124">
        <f>VLOOKUP(A48,'31.01.26'!A:F,6,FALSE)</f>
        <v>15</v>
      </c>
      <c r="D48" s="119">
        <f>C48-B48</f>
        <v>0</v>
      </c>
    </row>
    <row r="49" spans="1:4" x14ac:dyDescent="0.25">
      <c r="A49" s="124" t="s">
        <v>34</v>
      </c>
      <c r="B49" s="124">
        <f>VLOOKUP(A49,'31.12.25'!A:F,2,FALSE)</f>
        <v>61</v>
      </c>
      <c r="C49" s="124">
        <f>VLOOKUP(A49,'31.01.26'!A:F,6,FALSE)</f>
        <v>61</v>
      </c>
      <c r="D49" s="119">
        <f>C49-B49</f>
        <v>0</v>
      </c>
    </row>
    <row r="50" spans="1:4" x14ac:dyDescent="0.25">
      <c r="A50" s="124" t="s">
        <v>35</v>
      </c>
      <c r="B50" s="124">
        <f>VLOOKUP(A50,'31.12.25'!A:F,2,FALSE)</f>
        <v>88</v>
      </c>
      <c r="C50" s="124">
        <f>VLOOKUP(A50,'31.01.26'!A:F,6,FALSE)</f>
        <v>88</v>
      </c>
      <c r="D50" s="119">
        <f>C50-B50</f>
        <v>0</v>
      </c>
    </row>
    <row r="51" spans="1:4" x14ac:dyDescent="0.25">
      <c r="A51" s="124" t="s">
        <v>212</v>
      </c>
      <c r="B51" s="124">
        <f>VLOOKUP(A51,'31.12.25'!A:F,2,FALSE)</f>
        <v>2</v>
      </c>
      <c r="C51" s="124">
        <f>VLOOKUP(A51,'31.01.26'!A:F,6,FALSE)</f>
        <v>2</v>
      </c>
      <c r="D51" s="119">
        <f t="shared" ref="D51:D53" si="1">C51-B51</f>
        <v>0</v>
      </c>
    </row>
    <row r="52" spans="1:4" x14ac:dyDescent="0.25">
      <c r="A52" s="124" t="s">
        <v>176</v>
      </c>
      <c r="B52" s="124">
        <f>VLOOKUP(A52,'31.12.25'!A:F,2,FALSE)</f>
        <v>4</v>
      </c>
      <c r="C52" s="124">
        <f>VLOOKUP(A52,'31.01.26'!A:F,6,FALSE)</f>
        <v>4</v>
      </c>
      <c r="D52" s="119">
        <f t="shared" si="1"/>
        <v>0</v>
      </c>
    </row>
    <row r="53" spans="1:4" x14ac:dyDescent="0.25">
      <c r="A53" s="124" t="s">
        <v>36</v>
      </c>
      <c r="B53" s="124">
        <f>VLOOKUP(A53,'31.12.25'!A:F,2,FALSE)</f>
        <v>2</v>
      </c>
      <c r="C53" s="124">
        <f>VLOOKUP(A53,'31.01.26'!A:F,6,FALSE)</f>
        <v>2</v>
      </c>
      <c r="D53" s="119">
        <f t="shared" si="1"/>
        <v>0</v>
      </c>
    </row>
    <row r="54" spans="1:4" x14ac:dyDescent="0.25">
      <c r="A54" s="124" t="s">
        <v>37</v>
      </c>
      <c r="B54" s="124">
        <f>VLOOKUP(A54,'31.12.25'!A:F,2,FALSE)</f>
        <v>37</v>
      </c>
      <c r="C54" s="124">
        <f>VLOOKUP(A54,'31.01.26'!A:F,6,FALSE)</f>
        <v>37</v>
      </c>
      <c r="D54" s="119">
        <f>C54-B54</f>
        <v>0</v>
      </c>
    </row>
    <row r="55" spans="1:4" x14ac:dyDescent="0.25">
      <c r="A55" s="124" t="s">
        <v>38</v>
      </c>
      <c r="B55" s="124">
        <f>VLOOKUP(A55,'31.12.25'!A:F,2,FALSE)</f>
        <v>27</v>
      </c>
      <c r="C55" s="124">
        <f>VLOOKUP(A55,'31.01.26'!A:F,6,FALSE)</f>
        <v>27</v>
      </c>
      <c r="D55" s="119">
        <f>C55-B55</f>
        <v>0</v>
      </c>
    </row>
    <row r="56" spans="1:4" x14ac:dyDescent="0.25">
      <c r="A56" s="124" t="s">
        <v>39</v>
      </c>
      <c r="B56" s="124">
        <f>VLOOKUP(A56,'31.12.25'!A:F,2,FALSE)</f>
        <v>7</v>
      </c>
      <c r="C56" s="124">
        <f>VLOOKUP(A56,'31.01.26'!A:F,6,FALSE)</f>
        <v>7</v>
      </c>
      <c r="D56" s="119">
        <f>C56-B56</f>
        <v>0</v>
      </c>
    </row>
    <row r="57" spans="1:4" x14ac:dyDescent="0.25">
      <c r="A57" s="124" t="s">
        <v>40</v>
      </c>
      <c r="B57" s="124">
        <f>VLOOKUP(A57,'31.12.25'!A:F,2,FALSE)</f>
        <v>36</v>
      </c>
      <c r="C57" s="124">
        <f>VLOOKUP(A57,'31.01.26'!A:F,6,FALSE)</f>
        <v>36</v>
      </c>
      <c r="D57" s="119">
        <f>C57-B57</f>
        <v>0</v>
      </c>
    </row>
    <row r="58" spans="1:4" x14ac:dyDescent="0.25">
      <c r="A58" s="124" t="s">
        <v>41</v>
      </c>
      <c r="B58" s="124">
        <f>VLOOKUP(A58,'31.12.25'!A:F,2,FALSE)</f>
        <v>1</v>
      </c>
      <c r="C58" s="124">
        <f>VLOOKUP(A58,'31.01.26'!A:F,6,FALSE)</f>
        <v>1</v>
      </c>
      <c r="D58" s="119">
        <f>C58-B58</f>
        <v>0</v>
      </c>
    </row>
    <row r="59" spans="1:4" x14ac:dyDescent="0.25">
      <c r="A59" s="124" t="s">
        <v>215</v>
      </c>
      <c r="B59" s="124">
        <f>VLOOKUP(A59,'31.12.25'!A:F,2,FALSE)</f>
        <v>5</v>
      </c>
      <c r="C59" s="124">
        <f>VLOOKUP(A59,'31.01.26'!A:F,6,FALSE)</f>
        <v>5</v>
      </c>
      <c r="D59" s="119">
        <f>C59-B59</f>
        <v>0</v>
      </c>
    </row>
    <row r="60" spans="1:4" x14ac:dyDescent="0.25">
      <c r="A60" s="124" t="s">
        <v>216</v>
      </c>
      <c r="B60" s="124">
        <f>VLOOKUP(A60,'31.12.25'!A:F,2,FALSE)</f>
        <v>5</v>
      </c>
      <c r="C60" s="124">
        <f>VLOOKUP(A60,'31.01.26'!A:F,6,FALSE)</f>
        <v>5</v>
      </c>
      <c r="D60" s="119">
        <f>C60-B60</f>
        <v>0</v>
      </c>
    </row>
    <row r="61" spans="1:4" x14ac:dyDescent="0.25">
      <c r="A61" s="124" t="s">
        <v>217</v>
      </c>
      <c r="B61" s="124">
        <f>VLOOKUP(A61,'31.12.25'!A:F,2,FALSE)</f>
        <v>1</v>
      </c>
      <c r="C61" s="124">
        <f>VLOOKUP(A61,'31.01.26'!A:F,6,FALSE)</f>
        <v>1</v>
      </c>
      <c r="D61" s="119">
        <f>C61-B61</f>
        <v>0</v>
      </c>
    </row>
    <row r="62" spans="1:4" x14ac:dyDescent="0.25">
      <c r="A62" s="124" t="s">
        <v>218</v>
      </c>
      <c r="B62" s="124">
        <f>VLOOKUP(A62,'31.12.25'!A:F,2,FALSE)</f>
        <v>2</v>
      </c>
      <c r="C62" s="124">
        <f>VLOOKUP(A62,'31.01.26'!A:F,6,FALSE)</f>
        <v>2</v>
      </c>
      <c r="D62" s="119">
        <f>C62-B62</f>
        <v>0</v>
      </c>
    </row>
    <row r="63" spans="1:4" x14ac:dyDescent="0.25">
      <c r="A63" s="124" t="s">
        <v>219</v>
      </c>
      <c r="B63" s="124">
        <f>VLOOKUP(A63,'31.12.25'!A:F,2,FALSE)</f>
        <v>1</v>
      </c>
      <c r="C63" s="124">
        <f>VLOOKUP(A63,'31.01.26'!A:F,6,FALSE)</f>
        <v>1</v>
      </c>
      <c r="D63" s="119">
        <f>C63-B63</f>
        <v>0</v>
      </c>
    </row>
    <row r="64" spans="1:4" x14ac:dyDescent="0.25">
      <c r="A64" s="124" t="s">
        <v>42</v>
      </c>
      <c r="B64" s="124">
        <f>VLOOKUP(A64,'31.12.25'!A:F,2,FALSE)</f>
        <v>8</v>
      </c>
      <c r="C64" s="124">
        <f>VLOOKUP(A64,'31.01.26'!A:F,6,FALSE)</f>
        <v>8</v>
      </c>
      <c r="D64" s="119">
        <f>C64-B64</f>
        <v>0</v>
      </c>
    </row>
    <row r="65" spans="1:4" x14ac:dyDescent="0.25">
      <c r="A65" s="124" t="s">
        <v>43</v>
      </c>
      <c r="B65" s="124">
        <f>VLOOKUP(A65,'31.12.25'!A:F,2,FALSE)</f>
        <v>16</v>
      </c>
      <c r="C65" s="124">
        <f>VLOOKUP(A65,'31.01.26'!A:F,6,FALSE)</f>
        <v>16</v>
      </c>
      <c r="D65" s="119">
        <f>C65-B65</f>
        <v>0</v>
      </c>
    </row>
    <row r="66" spans="1:4" x14ac:dyDescent="0.25">
      <c r="A66" s="124" t="s">
        <v>44</v>
      </c>
      <c r="B66" s="124">
        <f>VLOOKUP(A66,'31.12.25'!A:F,2,FALSE)</f>
        <v>24</v>
      </c>
      <c r="C66" s="124">
        <f>VLOOKUP(A66,'31.01.26'!A:F,6,FALSE)</f>
        <v>24</v>
      </c>
      <c r="D66" s="119">
        <f>C66-B66</f>
        <v>0</v>
      </c>
    </row>
    <row r="67" spans="1:4" x14ac:dyDescent="0.25">
      <c r="A67" s="124" t="s">
        <v>45</v>
      </c>
      <c r="B67" s="124">
        <f>VLOOKUP(A67,'31.12.25'!A:F,2,FALSE)</f>
        <v>9</v>
      </c>
      <c r="C67" s="124">
        <f>VLOOKUP(A67,'31.01.26'!A:F,6,FALSE)</f>
        <v>9</v>
      </c>
      <c r="D67" s="119">
        <f>C67-B67</f>
        <v>0</v>
      </c>
    </row>
    <row r="68" spans="1:4" x14ac:dyDescent="0.25">
      <c r="A68" s="124" t="s">
        <v>133</v>
      </c>
      <c r="B68" s="124">
        <f>VLOOKUP(A68,'31.12.25'!A:F,2,FALSE)</f>
        <v>28</v>
      </c>
      <c r="C68" s="124">
        <f>VLOOKUP(A68,'31.01.26'!A:F,6,FALSE)</f>
        <v>31</v>
      </c>
      <c r="D68" s="119">
        <f>C68-B68</f>
        <v>3</v>
      </c>
    </row>
    <row r="69" spans="1:4" x14ac:dyDescent="0.25">
      <c r="A69" s="124" t="s">
        <v>46</v>
      </c>
      <c r="B69" s="124">
        <f>VLOOKUP(A69,'31.12.25'!A:F,2,FALSE)</f>
        <v>2</v>
      </c>
      <c r="C69" s="124">
        <f>VLOOKUP(A69,'31.01.26'!A:F,6,FALSE)</f>
        <v>2</v>
      </c>
      <c r="D69" s="119">
        <f>C69-B69</f>
        <v>0</v>
      </c>
    </row>
    <row r="70" spans="1:4" x14ac:dyDescent="0.25">
      <c r="A70" s="124" t="s">
        <v>47</v>
      </c>
      <c r="B70" s="124">
        <f>VLOOKUP(A70,'31.12.25'!A:F,2,FALSE)</f>
        <v>154</v>
      </c>
      <c r="C70" s="124">
        <f>VLOOKUP(A70,'31.01.26'!A:F,6,FALSE)</f>
        <v>154</v>
      </c>
      <c r="D70" s="119">
        <f>C70-B70</f>
        <v>0</v>
      </c>
    </row>
    <row r="71" spans="1:4" x14ac:dyDescent="0.25">
      <c r="A71" s="124" t="s">
        <v>48</v>
      </c>
      <c r="B71" s="124">
        <f>VLOOKUP(A71,'31.12.25'!A:F,2,FALSE)</f>
        <v>11</v>
      </c>
      <c r="C71" s="124">
        <f>VLOOKUP(A71,'31.01.26'!A:F,6,FALSE)</f>
        <v>11</v>
      </c>
      <c r="D71" s="119">
        <f>C71-B71</f>
        <v>0</v>
      </c>
    </row>
    <row r="72" spans="1:4" x14ac:dyDescent="0.25">
      <c r="A72" s="124" t="s">
        <v>49</v>
      </c>
      <c r="B72" s="124">
        <f>VLOOKUP(A72,'31.12.25'!A:F,2,FALSE)</f>
        <v>34</v>
      </c>
      <c r="C72" s="124">
        <f>VLOOKUP(A72,'31.01.26'!A:F,6,FALSE)</f>
        <v>34</v>
      </c>
      <c r="D72" s="119">
        <f>C72-B72</f>
        <v>0</v>
      </c>
    </row>
    <row r="73" spans="1:4" x14ac:dyDescent="0.25">
      <c r="A73" s="124" t="s">
        <v>50</v>
      </c>
      <c r="B73" s="124">
        <f>VLOOKUP(A73,'31.12.25'!A:F,2,FALSE)</f>
        <v>1</v>
      </c>
      <c r="C73" s="124">
        <f>VLOOKUP(A73,'31.01.26'!A:F,6,FALSE)</f>
        <v>1</v>
      </c>
      <c r="D73" s="119">
        <f>C73-B73</f>
        <v>0</v>
      </c>
    </row>
    <row r="74" spans="1:4" x14ac:dyDescent="0.25">
      <c r="A74" s="124" t="s">
        <v>51</v>
      </c>
      <c r="B74" s="124">
        <f>VLOOKUP(A74,'31.12.25'!A:F,2,FALSE)</f>
        <v>16</v>
      </c>
      <c r="C74" s="124">
        <f>VLOOKUP(A74,'31.01.26'!A:F,6,FALSE)</f>
        <v>16</v>
      </c>
      <c r="D74" s="119">
        <f>C74-B74</f>
        <v>0</v>
      </c>
    </row>
    <row r="75" spans="1:4" x14ac:dyDescent="0.25">
      <c r="A75" s="124" t="s">
        <v>52</v>
      </c>
      <c r="B75" s="124">
        <f>VLOOKUP(A75,'31.12.25'!A:F,2,FALSE)</f>
        <v>9</v>
      </c>
      <c r="C75" s="124">
        <f>VLOOKUP(A75,'31.01.26'!A:F,6,FALSE)</f>
        <v>9</v>
      </c>
      <c r="D75" s="119">
        <f>C75-B75</f>
        <v>0</v>
      </c>
    </row>
    <row r="76" spans="1:4" x14ac:dyDescent="0.25">
      <c r="A76" s="124" t="s">
        <v>53</v>
      </c>
      <c r="B76" s="124">
        <f>VLOOKUP(A76,'31.12.25'!A:F,2,FALSE)</f>
        <v>49</v>
      </c>
      <c r="C76" s="124">
        <f>VLOOKUP(A76,'31.01.26'!A:F,6,FALSE)</f>
        <v>73</v>
      </c>
      <c r="D76" s="119">
        <f>C76-B76</f>
        <v>24</v>
      </c>
    </row>
    <row r="77" spans="1:4" x14ac:dyDescent="0.25">
      <c r="A77" s="124" t="s">
        <v>54</v>
      </c>
      <c r="B77" s="124">
        <f>VLOOKUP(A77,'31.12.25'!A:F,2,FALSE)</f>
        <v>12</v>
      </c>
      <c r="C77" s="124">
        <f>VLOOKUP(A77,'31.01.26'!A:F,6,FALSE)</f>
        <v>12</v>
      </c>
      <c r="D77" s="119">
        <f>C77-B77</f>
        <v>0</v>
      </c>
    </row>
    <row r="78" spans="1:4" x14ac:dyDescent="0.25">
      <c r="A78" s="124" t="s">
        <v>55</v>
      </c>
      <c r="B78" s="124">
        <f>VLOOKUP(A78,'31.12.25'!A:F,2,FALSE)</f>
        <v>126</v>
      </c>
      <c r="C78" s="124">
        <f>VLOOKUP(A78,'31.01.26'!A:F,6,FALSE)</f>
        <v>126</v>
      </c>
      <c r="D78" s="119">
        <f>C78-B78</f>
        <v>0</v>
      </c>
    </row>
    <row r="79" spans="1:4" x14ac:dyDescent="0.25">
      <c r="A79" s="124" t="s">
        <v>122</v>
      </c>
      <c r="B79" s="124">
        <f>VLOOKUP(A79,'31.12.25'!A:F,2,FALSE)</f>
        <v>36</v>
      </c>
      <c r="C79" s="124">
        <f>VLOOKUP(A79,'31.01.26'!A:F,6,FALSE)</f>
        <v>36</v>
      </c>
      <c r="D79" s="119">
        <f>C79-B79</f>
        <v>0</v>
      </c>
    </row>
    <row r="80" spans="1:4" x14ac:dyDescent="0.25">
      <c r="A80" s="124" t="s">
        <v>123</v>
      </c>
      <c r="B80" s="124">
        <f>VLOOKUP(A80,'31.12.25'!A:F,2,FALSE)</f>
        <v>23</v>
      </c>
      <c r="C80" s="124">
        <f>VLOOKUP(A80,'31.01.26'!A:F,6,FALSE)</f>
        <v>23</v>
      </c>
      <c r="D80" s="119">
        <f>C80-B80</f>
        <v>0</v>
      </c>
    </row>
    <row r="81" spans="1:4" x14ac:dyDescent="0.25">
      <c r="A81" s="124" t="s">
        <v>56</v>
      </c>
      <c r="B81" s="124">
        <f>VLOOKUP(A81,'31.12.25'!A:F,2,FALSE)</f>
        <v>158</v>
      </c>
      <c r="C81" s="124">
        <f>VLOOKUP(A81,'31.01.26'!A:F,6,FALSE)</f>
        <v>158</v>
      </c>
      <c r="D81" s="119">
        <f>C81-B81</f>
        <v>0</v>
      </c>
    </row>
    <row r="82" spans="1:4" x14ac:dyDescent="0.25">
      <c r="A82" s="124" t="s">
        <v>57</v>
      </c>
      <c r="B82" s="124">
        <f>VLOOKUP(A82,'31.12.25'!A:F,2,FALSE)</f>
        <v>144</v>
      </c>
      <c r="C82" s="124">
        <f>VLOOKUP(A82,'31.01.26'!A:F,6,FALSE)</f>
        <v>144</v>
      </c>
      <c r="D82" s="119">
        <f>C82-B82</f>
        <v>0</v>
      </c>
    </row>
    <row r="83" spans="1:4" x14ac:dyDescent="0.25">
      <c r="A83" s="124" t="s">
        <v>58</v>
      </c>
      <c r="B83" s="124">
        <f>VLOOKUP(A83,'31.12.25'!A:F,2,FALSE)</f>
        <v>8</v>
      </c>
      <c r="C83" s="124">
        <f>VLOOKUP(A83,'31.01.26'!A:F,6,FALSE)</f>
        <v>8</v>
      </c>
      <c r="D83" s="119">
        <f>C83-B83</f>
        <v>0</v>
      </c>
    </row>
    <row r="84" spans="1:4" x14ac:dyDescent="0.25">
      <c r="A84" s="124" t="s">
        <v>59</v>
      </c>
      <c r="B84" s="124">
        <f>VLOOKUP(A84,'31.12.25'!A:F,2,FALSE)</f>
        <v>60</v>
      </c>
      <c r="C84" s="124">
        <f>VLOOKUP(A84,'31.01.26'!A:F,6,FALSE)</f>
        <v>61</v>
      </c>
      <c r="D84" s="119">
        <f>C84-B84</f>
        <v>1</v>
      </c>
    </row>
    <row r="85" spans="1:4" x14ac:dyDescent="0.25">
      <c r="A85" s="124" t="s">
        <v>60</v>
      </c>
      <c r="B85" s="124">
        <f>VLOOKUP(A85,'31.12.25'!A:F,2,FALSE)</f>
        <v>18</v>
      </c>
      <c r="C85" s="124">
        <f>VLOOKUP(A85,'31.01.26'!A:F,6,FALSE)</f>
        <v>18</v>
      </c>
      <c r="D85" s="119">
        <f>C85-B85</f>
        <v>0</v>
      </c>
    </row>
    <row r="86" spans="1:4" x14ac:dyDescent="0.25">
      <c r="A86" s="124" t="s">
        <v>191</v>
      </c>
      <c r="B86" s="124">
        <f>VLOOKUP(A86,'31.12.25'!A:F,2,FALSE)</f>
        <v>102</v>
      </c>
      <c r="C86" s="124">
        <f>VLOOKUP(A86,'31.01.26'!A:F,6,FALSE)</f>
        <v>102</v>
      </c>
      <c r="D86" s="119">
        <f>C86-B86</f>
        <v>0</v>
      </c>
    </row>
    <row r="87" spans="1:4" x14ac:dyDescent="0.25">
      <c r="A87" s="124" t="s">
        <v>61</v>
      </c>
      <c r="B87" s="124">
        <f>VLOOKUP(A87,'31.12.25'!A:F,2,FALSE)</f>
        <v>61</v>
      </c>
      <c r="C87" s="124">
        <f>VLOOKUP(A87,'31.01.26'!A:F,6,FALSE)</f>
        <v>61</v>
      </c>
      <c r="D87" s="119">
        <f>C87-B87</f>
        <v>0</v>
      </c>
    </row>
    <row r="88" spans="1:4" x14ac:dyDescent="0.25">
      <c r="A88" s="124" t="s">
        <v>62</v>
      </c>
      <c r="B88" s="124">
        <f>VLOOKUP(A88,'31.12.25'!A:F,2,FALSE)</f>
        <v>77</v>
      </c>
      <c r="C88" s="124">
        <f>VLOOKUP(A88,'31.01.26'!A:F,6,FALSE)</f>
        <v>77</v>
      </c>
      <c r="D88" s="119">
        <f>C88-B88</f>
        <v>0</v>
      </c>
    </row>
    <row r="89" spans="1:4" x14ac:dyDescent="0.25">
      <c r="A89" s="124" t="s">
        <v>63</v>
      </c>
      <c r="B89" s="124">
        <f>VLOOKUP(A89,'31.12.25'!A:F,2,FALSE)</f>
        <v>53</v>
      </c>
      <c r="C89" s="124">
        <f>VLOOKUP(A89,'31.01.26'!A:F,6,FALSE)</f>
        <v>53</v>
      </c>
      <c r="D89" s="119">
        <f>C89-B89</f>
        <v>0</v>
      </c>
    </row>
    <row r="90" spans="1:4" x14ac:dyDescent="0.25">
      <c r="A90" s="124" t="s">
        <v>64</v>
      </c>
      <c r="B90" s="124">
        <f>VLOOKUP(A90,'31.12.25'!A:F,2,FALSE)</f>
        <v>65</v>
      </c>
      <c r="C90" s="124">
        <f>VLOOKUP(A90,'31.01.26'!A:F,6,FALSE)</f>
        <v>65</v>
      </c>
      <c r="D90" s="119">
        <f>C90-B90</f>
        <v>0</v>
      </c>
    </row>
    <row r="91" spans="1:4" x14ac:dyDescent="0.25">
      <c r="A91" s="124" t="s">
        <v>192</v>
      </c>
      <c r="B91" s="124">
        <f>VLOOKUP(A91,'31.12.25'!A:F,2,FALSE)</f>
        <v>23</v>
      </c>
      <c r="C91" s="124">
        <f>VLOOKUP(A91,'31.01.26'!A:F,6,FALSE)</f>
        <v>23</v>
      </c>
      <c r="D91" s="119">
        <f>C91-B91</f>
        <v>0</v>
      </c>
    </row>
    <row r="92" spans="1:4" x14ac:dyDescent="0.25">
      <c r="A92" s="124" t="s">
        <v>65</v>
      </c>
      <c r="B92" s="124">
        <f>VLOOKUP(A92,'31.12.25'!A:F,2,FALSE)</f>
        <v>72</v>
      </c>
      <c r="C92" s="124">
        <f>VLOOKUP(A92,'31.01.26'!A:F,6,FALSE)</f>
        <v>72</v>
      </c>
      <c r="D92" s="119">
        <f>C92-B92</f>
        <v>0</v>
      </c>
    </row>
    <row r="93" spans="1:4" x14ac:dyDescent="0.25">
      <c r="A93" s="124" t="s">
        <v>66</v>
      </c>
      <c r="B93" s="124">
        <f>VLOOKUP(A93,'31.12.25'!A:F,2,FALSE)</f>
        <v>169</v>
      </c>
      <c r="C93" s="124">
        <f>VLOOKUP(A93,'31.01.26'!A:F,6,FALSE)</f>
        <v>170</v>
      </c>
      <c r="D93" s="119">
        <f>C93-B93</f>
        <v>1</v>
      </c>
    </row>
    <row r="94" spans="1:4" x14ac:dyDescent="0.25">
      <c r="A94" s="124" t="s">
        <v>67</v>
      </c>
      <c r="B94" s="124">
        <f>VLOOKUP(A94,'31.12.25'!A:F,2,FALSE)</f>
        <v>27</v>
      </c>
      <c r="C94" s="124">
        <f>VLOOKUP(A94,'31.01.26'!A:F,6,FALSE)</f>
        <v>27</v>
      </c>
      <c r="D94" s="119">
        <f>C94-B94</f>
        <v>0</v>
      </c>
    </row>
    <row r="95" spans="1:4" x14ac:dyDescent="0.25">
      <c r="A95" s="124" t="s">
        <v>68</v>
      </c>
      <c r="B95" s="124">
        <f>VLOOKUP(A95,'31.12.25'!A:F,2,FALSE)</f>
        <v>68</v>
      </c>
      <c r="C95" s="124">
        <f>VLOOKUP(A95,'31.01.26'!A:F,6,FALSE)</f>
        <v>68</v>
      </c>
      <c r="D95" s="119">
        <f>C95-B95</f>
        <v>0</v>
      </c>
    </row>
    <row r="96" spans="1:4" x14ac:dyDescent="0.25">
      <c r="A96" s="124" t="s">
        <v>69</v>
      </c>
      <c r="B96" s="124">
        <f>VLOOKUP(A96,'31.12.25'!A:F,2,FALSE)</f>
        <v>132</v>
      </c>
      <c r="C96" s="124">
        <f>VLOOKUP(A96,'31.01.26'!A:F,6,FALSE)</f>
        <v>138</v>
      </c>
      <c r="D96" s="119">
        <f>C96-B96</f>
        <v>6</v>
      </c>
    </row>
    <row r="97" spans="1:4" x14ac:dyDescent="0.25">
      <c r="A97" s="124" t="s">
        <v>70</v>
      </c>
      <c r="B97" s="124">
        <f>VLOOKUP(A97,'31.12.25'!A:F,2,FALSE)</f>
        <v>119</v>
      </c>
      <c r="C97" s="124">
        <f>VLOOKUP(A97,'31.01.26'!A:F,6,FALSE)</f>
        <v>119</v>
      </c>
      <c r="D97" s="119">
        <f>C97-B97</f>
        <v>0</v>
      </c>
    </row>
    <row r="98" spans="1:4" x14ac:dyDescent="0.25">
      <c r="A98" s="124" t="s">
        <v>71</v>
      </c>
      <c r="B98" s="124">
        <f>VLOOKUP(A98,'31.12.25'!A:F,2,FALSE)</f>
        <v>68</v>
      </c>
      <c r="C98" s="124">
        <f>VLOOKUP(A98,'31.01.26'!A:F,6,FALSE)</f>
        <v>68</v>
      </c>
      <c r="D98" s="119">
        <f>C98-B98</f>
        <v>0</v>
      </c>
    </row>
    <row r="99" spans="1:4" x14ac:dyDescent="0.25">
      <c r="A99" s="124" t="s">
        <v>72</v>
      </c>
      <c r="B99" s="124">
        <f>VLOOKUP(A99,'31.12.25'!A:F,2,FALSE)</f>
        <v>106</v>
      </c>
      <c r="C99" s="124">
        <f>VLOOKUP(A99,'31.01.26'!A:F,6,FALSE)</f>
        <v>106</v>
      </c>
      <c r="D99" s="119">
        <f>C99-B99</f>
        <v>0</v>
      </c>
    </row>
    <row r="100" spans="1:4" x14ac:dyDescent="0.25">
      <c r="A100" s="124" t="s">
        <v>73</v>
      </c>
      <c r="B100" s="124">
        <f>VLOOKUP(A100,'31.12.25'!A:F,2,FALSE)</f>
        <v>49</v>
      </c>
      <c r="C100" s="124">
        <f>VLOOKUP(A100,'31.01.26'!A:F,6,FALSE)</f>
        <v>49</v>
      </c>
      <c r="D100" s="119">
        <f>C100-B100</f>
        <v>0</v>
      </c>
    </row>
    <row r="101" spans="1:4" x14ac:dyDescent="0.25">
      <c r="A101" s="124" t="s">
        <v>74</v>
      </c>
      <c r="B101" s="124">
        <f>VLOOKUP(A101,'31.12.25'!A:F,2,FALSE)</f>
        <v>43</v>
      </c>
      <c r="C101" s="124">
        <f>VLOOKUP(A101,'31.01.26'!A:F,6,FALSE)</f>
        <v>43</v>
      </c>
      <c r="D101" s="119">
        <f>C101-B101</f>
        <v>0</v>
      </c>
    </row>
    <row r="102" spans="1:4" x14ac:dyDescent="0.25">
      <c r="A102" s="124" t="s">
        <v>75</v>
      </c>
      <c r="B102" s="124">
        <f>VLOOKUP(A102,'31.12.25'!A:F,2,FALSE)</f>
        <v>46</v>
      </c>
      <c r="C102" s="124">
        <f>VLOOKUP(A102,'31.01.26'!A:F,6,FALSE)</f>
        <v>46</v>
      </c>
      <c r="D102" s="119">
        <f>C102-B102</f>
        <v>0</v>
      </c>
    </row>
    <row r="103" spans="1:4" x14ac:dyDescent="0.25">
      <c r="A103" s="124" t="s">
        <v>76</v>
      </c>
      <c r="B103" s="124">
        <f>VLOOKUP(A103,'31.12.25'!A:F,2,FALSE)</f>
        <v>2</v>
      </c>
      <c r="C103" s="124">
        <f>VLOOKUP(A103,'31.01.26'!A:F,6,FALSE)</f>
        <v>2</v>
      </c>
      <c r="D103" s="119">
        <f>C103-B103</f>
        <v>0</v>
      </c>
    </row>
    <row r="104" spans="1:4" x14ac:dyDescent="0.25">
      <c r="A104" s="124" t="s">
        <v>193</v>
      </c>
      <c r="B104" s="124">
        <f>VLOOKUP(A104,'31.12.25'!A:F,2,FALSE)</f>
        <v>5</v>
      </c>
      <c r="C104" s="124">
        <f>VLOOKUP(A104,'31.01.26'!A:F,6,FALSE)</f>
        <v>5</v>
      </c>
      <c r="D104" s="119">
        <f>C104-B104</f>
        <v>0</v>
      </c>
    </row>
    <row r="105" spans="1:4" x14ac:dyDescent="0.25">
      <c r="A105" s="124" t="s">
        <v>194</v>
      </c>
      <c r="B105" s="124">
        <f>VLOOKUP(A105,'31.12.25'!A:F,2,FALSE)</f>
        <v>4</v>
      </c>
      <c r="C105" s="124">
        <f>VLOOKUP(A105,'31.01.26'!A:F,6,FALSE)</f>
        <v>4</v>
      </c>
      <c r="D105" s="119">
        <f>C105-B105</f>
        <v>0</v>
      </c>
    </row>
    <row r="106" spans="1:4" x14ac:dyDescent="0.25">
      <c r="A106" s="124" t="s">
        <v>77</v>
      </c>
      <c r="B106" s="124">
        <f>VLOOKUP(A106,'31.12.25'!A:F,2,FALSE)</f>
        <v>48</v>
      </c>
      <c r="C106" s="124">
        <f>VLOOKUP(A106,'31.01.26'!A:F,6,FALSE)</f>
        <v>48</v>
      </c>
      <c r="D106" s="119">
        <f>C106-B106</f>
        <v>0</v>
      </c>
    </row>
    <row r="107" spans="1:4" x14ac:dyDescent="0.25">
      <c r="A107" s="124" t="s">
        <v>78</v>
      </c>
      <c r="B107" s="124">
        <f>VLOOKUP(A107,'31.12.25'!A:F,2,FALSE)</f>
        <v>35</v>
      </c>
      <c r="C107" s="124">
        <f>VLOOKUP(A107,'31.01.26'!A:F,6,FALSE)</f>
        <v>35</v>
      </c>
      <c r="D107" s="119">
        <f>C107-B107</f>
        <v>0</v>
      </c>
    </row>
    <row r="108" spans="1:4" x14ac:dyDescent="0.25">
      <c r="A108" s="124" t="s">
        <v>79</v>
      </c>
      <c r="B108" s="124">
        <f>VLOOKUP(A108,'31.12.25'!A:F,2,FALSE)</f>
        <v>18</v>
      </c>
      <c r="C108" s="124">
        <f>VLOOKUP(A108,'31.01.26'!A:F,6,FALSE)</f>
        <v>18</v>
      </c>
      <c r="D108" s="119">
        <f>C108-B108</f>
        <v>0</v>
      </c>
    </row>
    <row r="109" spans="1:4" x14ac:dyDescent="0.25">
      <c r="A109" s="124" t="s">
        <v>80</v>
      </c>
      <c r="B109" s="124">
        <f>VLOOKUP(A109,'31.12.25'!A:F,2,FALSE)</f>
        <v>37</v>
      </c>
      <c r="C109" s="124">
        <f>VLOOKUP(A109,'31.01.26'!A:F,6,FALSE)</f>
        <v>37</v>
      </c>
      <c r="D109" s="119">
        <f>C109-B109</f>
        <v>0</v>
      </c>
    </row>
    <row r="110" spans="1:4" x14ac:dyDescent="0.25">
      <c r="A110" s="124" t="s">
        <v>195</v>
      </c>
      <c r="B110" s="124">
        <f>VLOOKUP(A110,'31.12.25'!A:F,2,FALSE)</f>
        <v>2</v>
      </c>
      <c r="C110" s="124">
        <f>VLOOKUP(A110,'31.01.26'!A:F,6,FALSE)</f>
        <v>2</v>
      </c>
      <c r="D110" s="119">
        <f>C110-B110</f>
        <v>0</v>
      </c>
    </row>
    <row r="111" spans="1:4" x14ac:dyDescent="0.25">
      <c r="A111" s="124" t="s">
        <v>196</v>
      </c>
      <c r="B111" s="124">
        <f>VLOOKUP(A111,'31.12.25'!A:F,2,FALSE)</f>
        <v>1</v>
      </c>
      <c r="C111" s="124">
        <f>VLOOKUP(A111,'31.01.26'!A:F,6,FALSE)</f>
        <v>1</v>
      </c>
      <c r="D111" s="119">
        <f>C111-B111</f>
        <v>0</v>
      </c>
    </row>
    <row r="112" spans="1:4" x14ac:dyDescent="0.25">
      <c r="A112" s="124" t="s">
        <v>197</v>
      </c>
      <c r="B112" s="124">
        <f>VLOOKUP(A112,'31.12.25'!A:F,2,FALSE)</f>
        <v>3</v>
      </c>
      <c r="C112" s="124">
        <f>VLOOKUP(A112,'31.01.26'!A:F,6,FALSE)</f>
        <v>3</v>
      </c>
      <c r="D112" s="119">
        <f>C112-B112</f>
        <v>0</v>
      </c>
    </row>
    <row r="113" spans="1:4" x14ac:dyDescent="0.25">
      <c r="A113" s="124" t="s">
        <v>198</v>
      </c>
      <c r="B113" s="124">
        <f>VLOOKUP(A113,'31.12.25'!A:F,2,FALSE)</f>
        <v>2</v>
      </c>
      <c r="C113" s="124">
        <f>VLOOKUP(A113,'31.01.26'!A:F,6,FALSE)</f>
        <v>2</v>
      </c>
      <c r="D113" s="119">
        <f>C113-B113</f>
        <v>0</v>
      </c>
    </row>
    <row r="114" spans="1:4" x14ac:dyDescent="0.25">
      <c r="A114" s="124" t="s">
        <v>199</v>
      </c>
      <c r="B114" s="124">
        <f>VLOOKUP(A114,'31.12.25'!A:F,2,FALSE)</f>
        <v>2</v>
      </c>
      <c r="C114" s="124">
        <f>VLOOKUP(A114,'31.01.26'!A:F,6,FALSE)</f>
        <v>2</v>
      </c>
      <c r="D114" s="119">
        <f>C114-B114</f>
        <v>0</v>
      </c>
    </row>
    <row r="115" spans="1:4" x14ac:dyDescent="0.25">
      <c r="A115" s="124" t="s">
        <v>200</v>
      </c>
      <c r="B115" s="124">
        <f>VLOOKUP(A115,'31.12.25'!A:F,2,FALSE)</f>
        <v>2</v>
      </c>
      <c r="C115" s="124">
        <f>VLOOKUP(A115,'31.01.26'!A:F,6,FALSE)</f>
        <v>2</v>
      </c>
      <c r="D115" s="119">
        <f>C115-B115</f>
        <v>0</v>
      </c>
    </row>
    <row r="116" spans="1:4" x14ac:dyDescent="0.25">
      <c r="A116" s="124" t="s">
        <v>134</v>
      </c>
      <c r="B116" s="124">
        <f>VLOOKUP(A116,'31.12.25'!A:F,2,FALSE)</f>
        <v>25</v>
      </c>
      <c r="C116" s="124">
        <f>VLOOKUP(A116,'31.01.26'!A:F,6,FALSE)</f>
        <v>25</v>
      </c>
      <c r="D116" s="119">
        <f>C116-B116</f>
        <v>0</v>
      </c>
    </row>
    <row r="117" spans="1:4" x14ac:dyDescent="0.25">
      <c r="A117" s="124" t="s">
        <v>81</v>
      </c>
      <c r="B117" s="124">
        <f>VLOOKUP(A117,'31.12.25'!A:F,2,FALSE)</f>
        <v>10</v>
      </c>
      <c r="C117" s="124">
        <f>VLOOKUP(A117,'31.01.26'!A:F,6,FALSE)</f>
        <v>10</v>
      </c>
      <c r="D117" s="119">
        <f>C117-B117</f>
        <v>0</v>
      </c>
    </row>
    <row r="118" spans="1:4" x14ac:dyDescent="0.25">
      <c r="A118" s="124" t="s">
        <v>135</v>
      </c>
      <c r="B118" s="124">
        <f>VLOOKUP(A118,'31.12.25'!A:F,2,FALSE)</f>
        <v>2</v>
      </c>
      <c r="C118" s="124">
        <f>VLOOKUP(A118,'31.01.26'!A:F,6,FALSE)</f>
        <v>2</v>
      </c>
      <c r="D118" s="119">
        <f>C118-B118</f>
        <v>0</v>
      </c>
    </row>
    <row r="119" spans="1:4" x14ac:dyDescent="0.25">
      <c r="A119" s="124" t="s">
        <v>136</v>
      </c>
      <c r="B119" s="124">
        <f>VLOOKUP(A119,'31.12.25'!A:F,2,FALSE)</f>
        <v>8</v>
      </c>
      <c r="C119" s="124">
        <f>VLOOKUP(A119,'31.01.26'!A:F,6,FALSE)</f>
        <v>8</v>
      </c>
      <c r="D119" s="119">
        <f>C119-B119</f>
        <v>0</v>
      </c>
    </row>
    <row r="120" spans="1:4" x14ac:dyDescent="0.25">
      <c r="A120" s="124" t="s">
        <v>201</v>
      </c>
      <c r="B120" s="124">
        <f>VLOOKUP(A120,'31.12.25'!A:F,2,FALSE)</f>
        <v>9</v>
      </c>
      <c r="C120" s="124">
        <f>VLOOKUP(A120,'31.01.26'!A:F,6,FALSE)</f>
        <v>9</v>
      </c>
      <c r="D120" s="119">
        <f>C120-B120</f>
        <v>0</v>
      </c>
    </row>
    <row r="121" spans="1:4" x14ac:dyDescent="0.25">
      <c r="A121" s="124" t="s">
        <v>202</v>
      </c>
      <c r="B121" s="124">
        <f>VLOOKUP(A121,'31.12.25'!A:F,2,FALSE)</f>
        <v>1</v>
      </c>
      <c r="C121" s="124">
        <f>VLOOKUP(A121,'31.01.26'!A:F,6,FALSE)</f>
        <v>1</v>
      </c>
      <c r="D121" s="119">
        <f>C121-B121</f>
        <v>0</v>
      </c>
    </row>
    <row r="122" spans="1:4" x14ac:dyDescent="0.25">
      <c r="A122" s="124" t="s">
        <v>203</v>
      </c>
      <c r="B122" s="124">
        <f>VLOOKUP(A122,'31.12.25'!A:F,2,FALSE)</f>
        <v>1</v>
      </c>
      <c r="C122" s="124">
        <f>VLOOKUP(A122,'31.01.26'!A:F,6,FALSE)</f>
        <v>1</v>
      </c>
      <c r="D122" s="119">
        <f>C122-B122</f>
        <v>0</v>
      </c>
    </row>
    <row r="123" spans="1:4" x14ac:dyDescent="0.25">
      <c r="A123" s="124" t="s">
        <v>82</v>
      </c>
      <c r="B123" s="124">
        <f>VLOOKUP(A123,'31.12.25'!A:F,2,FALSE)</f>
        <v>47</v>
      </c>
      <c r="C123" s="124">
        <f>VLOOKUP(A123,'31.01.26'!A:F,6,FALSE)</f>
        <v>47</v>
      </c>
      <c r="D123" s="119">
        <f>C123-B123</f>
        <v>0</v>
      </c>
    </row>
    <row r="124" spans="1:4" x14ac:dyDescent="0.25">
      <c r="A124" s="124" t="s">
        <v>83</v>
      </c>
      <c r="B124" s="124">
        <f>VLOOKUP(A124,'31.12.25'!A:F,2,FALSE)</f>
        <v>28</v>
      </c>
      <c r="C124" s="124">
        <f>VLOOKUP(A124,'31.01.26'!A:F,6,FALSE)</f>
        <v>28</v>
      </c>
      <c r="D124" s="119">
        <f>C124-B124</f>
        <v>0</v>
      </c>
    </row>
    <row r="125" spans="1:4" x14ac:dyDescent="0.25">
      <c r="A125" s="124" t="s">
        <v>84</v>
      </c>
      <c r="B125" s="124">
        <f>VLOOKUP(A125,'31.12.25'!A:F,2,FALSE)</f>
        <v>7</v>
      </c>
      <c r="C125" s="124">
        <f>VLOOKUP(A125,'31.01.26'!A:F,6,FALSE)</f>
        <v>7</v>
      </c>
      <c r="D125" s="119">
        <f>C125-B125</f>
        <v>0</v>
      </c>
    </row>
    <row r="126" spans="1:4" x14ac:dyDescent="0.25">
      <c r="A126" s="124" t="s">
        <v>85</v>
      </c>
      <c r="B126" s="124">
        <f>VLOOKUP(A126,'31.12.25'!A:F,2,FALSE)</f>
        <v>1</v>
      </c>
      <c r="C126" s="124">
        <f>VLOOKUP(A126,'31.01.26'!A:F,6,FALSE)</f>
        <v>1</v>
      </c>
      <c r="D126" s="119">
        <f>C126-B126</f>
        <v>0</v>
      </c>
    </row>
    <row r="127" spans="1:4" x14ac:dyDescent="0.25">
      <c r="A127" s="124" t="s">
        <v>86</v>
      </c>
      <c r="B127" s="124">
        <f>VLOOKUP(A127,'31.12.25'!A:F,2,FALSE)</f>
        <v>72</v>
      </c>
      <c r="C127" s="124">
        <f>VLOOKUP(A127,'31.01.26'!A:F,6,FALSE)</f>
        <v>72</v>
      </c>
      <c r="D127" s="119">
        <f>C127-B127</f>
        <v>0</v>
      </c>
    </row>
    <row r="128" spans="1:4" x14ac:dyDescent="0.25">
      <c r="A128" s="124" t="s">
        <v>87</v>
      </c>
      <c r="B128" s="124">
        <f>VLOOKUP(A128,'31.12.25'!A:F,2,FALSE)</f>
        <v>13</v>
      </c>
      <c r="C128" s="124">
        <f>VLOOKUP(A128,'31.01.26'!A:F,6,FALSE)</f>
        <v>13</v>
      </c>
      <c r="D128" s="119">
        <f>C128-B128</f>
        <v>0</v>
      </c>
    </row>
    <row r="129" spans="1:4" x14ac:dyDescent="0.25">
      <c r="A129" s="124" t="s">
        <v>88</v>
      </c>
      <c r="B129" s="124">
        <f>VLOOKUP(A129,'31.12.25'!A:F,2,FALSE)</f>
        <v>4</v>
      </c>
      <c r="C129" s="124">
        <f>VLOOKUP(A129,'31.01.26'!A:F,6,FALSE)</f>
        <v>4</v>
      </c>
      <c r="D129" s="119">
        <f>C129-B129</f>
        <v>0</v>
      </c>
    </row>
    <row r="130" spans="1:4" x14ac:dyDescent="0.25">
      <c r="A130" s="124" t="s">
        <v>89</v>
      </c>
      <c r="B130" s="124">
        <f>VLOOKUP(A130,'31.12.25'!A:F,2,FALSE)</f>
        <v>36</v>
      </c>
      <c r="C130" s="124">
        <f>VLOOKUP(A130,'31.01.26'!A:F,6,FALSE)</f>
        <v>36</v>
      </c>
      <c r="D130" s="119">
        <f>C130-B130</f>
        <v>0</v>
      </c>
    </row>
    <row r="131" spans="1:4" x14ac:dyDescent="0.25">
      <c r="A131" s="124" t="s">
        <v>90</v>
      </c>
      <c r="B131" s="124">
        <f>VLOOKUP(A131,'31.12.25'!A:F,2,FALSE)</f>
        <v>78</v>
      </c>
      <c r="C131" s="124">
        <f>VLOOKUP(A131,'31.01.26'!A:F,6,FALSE)</f>
        <v>78</v>
      </c>
      <c r="D131" s="119">
        <f>C131-B131</f>
        <v>0</v>
      </c>
    </row>
    <row r="132" spans="1:4" x14ac:dyDescent="0.25">
      <c r="A132" s="124" t="s">
        <v>91</v>
      </c>
      <c r="B132" s="124">
        <f>VLOOKUP(A132,'31.12.25'!A:F,2,FALSE)</f>
        <v>13</v>
      </c>
      <c r="C132" s="124">
        <f>VLOOKUP(A132,'31.01.26'!A:F,6,FALSE)</f>
        <v>13</v>
      </c>
      <c r="D132" s="119">
        <f>C132-B132</f>
        <v>0</v>
      </c>
    </row>
    <row r="133" spans="1:4" x14ac:dyDescent="0.25">
      <c r="A133" s="124" t="s">
        <v>92</v>
      </c>
      <c r="B133" s="124">
        <f>VLOOKUP(A133,'31.12.25'!A:F,2,FALSE)</f>
        <v>5</v>
      </c>
      <c r="C133" s="124">
        <f>VLOOKUP(A133,'31.01.26'!A:F,6,FALSE)</f>
        <v>5</v>
      </c>
      <c r="D133" s="119">
        <f>C133-B133</f>
        <v>0</v>
      </c>
    </row>
    <row r="134" spans="1:4" x14ac:dyDescent="0.25">
      <c r="A134" s="124" t="s">
        <v>93</v>
      </c>
      <c r="B134" s="124">
        <f>VLOOKUP(A134,'31.12.25'!A:F,2,FALSE)</f>
        <v>62</v>
      </c>
      <c r="C134" s="124">
        <f>VLOOKUP(A134,'31.01.26'!A:F,6,FALSE)</f>
        <v>62</v>
      </c>
      <c r="D134" s="119">
        <f>C134-B134</f>
        <v>0</v>
      </c>
    </row>
    <row r="135" spans="1:4" x14ac:dyDescent="0.25">
      <c r="A135" s="124" t="s">
        <v>94</v>
      </c>
      <c r="B135" s="124">
        <f>VLOOKUP(A135,'31.12.25'!A:F,2,FALSE)</f>
        <v>6</v>
      </c>
      <c r="C135" s="124">
        <f>VLOOKUP(A135,'31.01.26'!A:F,6,FALSE)</f>
        <v>6</v>
      </c>
      <c r="D135" s="119">
        <f>C135-B135</f>
        <v>0</v>
      </c>
    </row>
    <row r="136" spans="1:4" x14ac:dyDescent="0.25">
      <c r="A136" s="124" t="s">
        <v>95</v>
      </c>
      <c r="B136" s="124">
        <f>VLOOKUP(A136,'31.12.25'!A:F,2,FALSE)</f>
        <v>8</v>
      </c>
      <c r="C136" s="124">
        <f>VLOOKUP(A136,'31.01.26'!A:F,6,FALSE)</f>
        <v>8</v>
      </c>
      <c r="D136" s="119">
        <f>C136-B136</f>
        <v>0</v>
      </c>
    </row>
    <row r="137" spans="1:4" x14ac:dyDescent="0.25">
      <c r="A137" s="124" t="s">
        <v>96</v>
      </c>
      <c r="B137" s="124">
        <f>VLOOKUP(A137,'31.12.25'!A:F,2,FALSE)</f>
        <v>4</v>
      </c>
      <c r="C137" s="124">
        <f>VLOOKUP(A137,'31.01.26'!A:F,6,FALSE)</f>
        <v>4</v>
      </c>
      <c r="D137" s="119">
        <f>C137-B137</f>
        <v>0</v>
      </c>
    </row>
    <row r="138" spans="1:4" x14ac:dyDescent="0.25">
      <c r="A138" s="124" t="s">
        <v>97</v>
      </c>
      <c r="B138" s="124">
        <f>VLOOKUP(A138,'31.12.25'!A:F,2,FALSE)</f>
        <v>2</v>
      </c>
      <c r="C138" s="124">
        <f>VLOOKUP(A138,'31.01.26'!A:F,6,FALSE)</f>
        <v>2</v>
      </c>
      <c r="D138" s="119">
        <f>C138-B138</f>
        <v>0</v>
      </c>
    </row>
    <row r="139" spans="1:4" x14ac:dyDescent="0.25">
      <c r="A139" s="124" t="s">
        <v>204</v>
      </c>
      <c r="B139" s="124">
        <f>VLOOKUP(A139,'31.12.25'!A:F,2,FALSE)</f>
        <v>3</v>
      </c>
      <c r="C139" s="124">
        <f>VLOOKUP(A139,'31.01.26'!A:F,6,FALSE)</f>
        <v>3</v>
      </c>
      <c r="D139" s="119">
        <f>C139-B139</f>
        <v>0</v>
      </c>
    </row>
    <row r="140" spans="1:4" x14ac:dyDescent="0.25">
      <c r="A140" s="124" t="s">
        <v>205</v>
      </c>
      <c r="B140" s="124">
        <f>VLOOKUP(A140,'31.12.25'!A:F,2,FALSE)</f>
        <v>1</v>
      </c>
      <c r="C140" s="124">
        <f>VLOOKUP(A140,'31.01.26'!A:F,6,FALSE)</f>
        <v>1</v>
      </c>
      <c r="D140" s="119">
        <f>C140-B140</f>
        <v>0</v>
      </c>
    </row>
    <row r="141" spans="1:4" ht="15" customHeight="1" x14ac:dyDescent="0.25">
      <c r="A141" s="124" t="s">
        <v>206</v>
      </c>
      <c r="B141" s="124">
        <f>VLOOKUP(A141,'31.12.25'!A:F,2,FALSE)</f>
        <v>1</v>
      </c>
      <c r="C141" s="124">
        <f>VLOOKUP(A141,'31.01.26'!A:F,6,FALSE)</f>
        <v>1</v>
      </c>
      <c r="D141" s="119">
        <f>C141-B141</f>
        <v>0</v>
      </c>
    </row>
    <row r="142" spans="1:4" x14ac:dyDescent="0.25">
      <c r="A142" s="124" t="s">
        <v>137</v>
      </c>
      <c r="B142" s="124">
        <f>VLOOKUP(A142,'31.12.25'!A:F,2,FALSE)</f>
        <v>3</v>
      </c>
      <c r="C142" s="124">
        <f>VLOOKUP(A142,'31.01.26'!A:F,6,FALSE)</f>
        <v>3</v>
      </c>
      <c r="D142" s="119">
        <f>C142-B142</f>
        <v>0</v>
      </c>
    </row>
    <row r="143" spans="1:4" x14ac:dyDescent="0.25">
      <c r="A143" s="124" t="s">
        <v>138</v>
      </c>
      <c r="B143" s="124">
        <v>0</v>
      </c>
      <c r="C143" s="124">
        <v>0</v>
      </c>
      <c r="D143" s="119">
        <f>C143-B143</f>
        <v>0</v>
      </c>
    </row>
    <row r="144" spans="1:4" x14ac:dyDescent="0.25">
      <c r="A144" s="124" t="s">
        <v>124</v>
      </c>
      <c r="B144" s="124">
        <f>VLOOKUP(A144,'31.12.25'!A:F,2,FALSE)</f>
        <v>24</v>
      </c>
      <c r="C144" s="124">
        <f>VLOOKUP(A144,'31.01.26'!A:F,6,FALSE)</f>
        <v>24</v>
      </c>
      <c r="D144" s="119">
        <f>C144-B144</f>
        <v>0</v>
      </c>
    </row>
    <row r="145" spans="1:4" x14ac:dyDescent="0.25">
      <c r="A145" s="124" t="s">
        <v>139</v>
      </c>
      <c r="B145" s="124">
        <f>VLOOKUP(A145,'31.12.25'!A:F,2,FALSE)</f>
        <v>8</v>
      </c>
      <c r="C145" s="124">
        <f>VLOOKUP(A145,'31.01.26'!A:F,6,FALSE)</f>
        <v>8</v>
      </c>
      <c r="D145" s="119">
        <f>C145-B145</f>
        <v>0</v>
      </c>
    </row>
    <row r="146" spans="1:4" x14ac:dyDescent="0.25">
      <c r="A146" s="124" t="s">
        <v>140</v>
      </c>
      <c r="B146" s="124">
        <f>VLOOKUP(A146,'31.12.25'!A:F,2,FALSE)</f>
        <v>18</v>
      </c>
      <c r="C146" s="124">
        <f>VLOOKUP(A146,'31.01.26'!A:F,6,FALSE)</f>
        <v>18</v>
      </c>
      <c r="D146" s="119">
        <f>C146-B146</f>
        <v>0</v>
      </c>
    </row>
    <row r="147" spans="1:4" x14ac:dyDescent="0.25">
      <c r="A147" s="124" t="s">
        <v>141</v>
      </c>
      <c r="B147" s="124">
        <f>VLOOKUP(A147,'31.12.25'!A:F,2,FALSE)</f>
        <v>4</v>
      </c>
      <c r="C147" s="124">
        <f>VLOOKUP(A147,'31.01.26'!A:F,6,FALSE)</f>
        <v>4</v>
      </c>
      <c r="D147" s="119">
        <f>C147-B147</f>
        <v>0</v>
      </c>
    </row>
    <row r="148" spans="1:4" x14ac:dyDescent="0.25">
      <c r="A148" s="124" t="s">
        <v>142</v>
      </c>
      <c r="B148" s="124">
        <f>VLOOKUP(A148,'31.12.25'!A:F,2,FALSE)</f>
        <v>18</v>
      </c>
      <c r="C148" s="124">
        <f>VLOOKUP(A148,'31.01.26'!A:F,6,FALSE)</f>
        <v>18</v>
      </c>
      <c r="D148" s="119">
        <f>C148-B148</f>
        <v>0</v>
      </c>
    </row>
    <row r="149" spans="1:4" x14ac:dyDescent="0.25">
      <c r="A149" s="124" t="s">
        <v>143</v>
      </c>
      <c r="B149" s="124">
        <f>VLOOKUP(A149,'31.12.25'!A:F,2,FALSE)</f>
        <v>17</v>
      </c>
      <c r="C149" s="124">
        <f>VLOOKUP(A149,'31.01.26'!A:F,6,FALSE)</f>
        <v>17</v>
      </c>
      <c r="D149" s="119">
        <f>C149-B149</f>
        <v>0</v>
      </c>
    </row>
    <row r="150" spans="1:4" x14ac:dyDescent="0.25">
      <c r="A150" s="124" t="s">
        <v>144</v>
      </c>
      <c r="B150" s="124">
        <f>VLOOKUP(A150,'31.12.25'!A:F,2,FALSE)</f>
        <v>17</v>
      </c>
      <c r="C150" s="124">
        <f>VLOOKUP(A150,'31.01.26'!A:F,6,FALSE)</f>
        <v>17</v>
      </c>
      <c r="D150" s="119">
        <f>C150-B150</f>
        <v>0</v>
      </c>
    </row>
    <row r="151" spans="1:4" x14ac:dyDescent="0.25">
      <c r="A151" s="124" t="s">
        <v>145</v>
      </c>
      <c r="B151" s="124">
        <f>VLOOKUP(A151,'31.12.25'!A:F,2,FALSE)</f>
        <v>5</v>
      </c>
      <c r="C151" s="124">
        <f>VLOOKUP(A151,'31.01.26'!A:F,6,FALSE)</f>
        <v>5</v>
      </c>
      <c r="D151" s="119">
        <f>C151-B151</f>
        <v>0</v>
      </c>
    </row>
    <row r="152" spans="1:4" x14ac:dyDescent="0.25">
      <c r="A152" s="124" t="s">
        <v>98</v>
      </c>
      <c r="B152" s="124">
        <f>VLOOKUP(A152,'31.12.25'!A:F,2,FALSE)</f>
        <v>20</v>
      </c>
      <c r="C152" s="124">
        <f>VLOOKUP(A152,'31.01.26'!A:F,6,FALSE)</f>
        <v>20</v>
      </c>
      <c r="D152" s="119">
        <f>C152-B152</f>
        <v>0</v>
      </c>
    </row>
    <row r="153" spans="1:4" x14ac:dyDescent="0.25">
      <c r="A153" s="124" t="s">
        <v>99</v>
      </c>
      <c r="B153" s="124">
        <f>VLOOKUP(A153,'31.12.25'!A:F,2,FALSE)</f>
        <v>17</v>
      </c>
      <c r="C153" s="124">
        <f>VLOOKUP(A153,'31.01.26'!A:F,6,FALSE)</f>
        <v>17</v>
      </c>
      <c r="D153" s="119">
        <f>C153-B153</f>
        <v>0</v>
      </c>
    </row>
    <row r="154" spans="1:4" x14ac:dyDescent="0.25">
      <c r="A154" s="124" t="s">
        <v>100</v>
      </c>
      <c r="B154" s="124">
        <f>VLOOKUP(A154,'31.12.25'!A:F,2,FALSE)</f>
        <v>16</v>
      </c>
      <c r="C154" s="124">
        <f>VLOOKUP(A154,'31.01.26'!A:F,6,FALSE)</f>
        <v>16</v>
      </c>
      <c r="D154" s="119">
        <f>C154-B154</f>
        <v>0</v>
      </c>
    </row>
    <row r="155" spans="1:4" x14ac:dyDescent="0.25">
      <c r="A155" s="124" t="s">
        <v>125</v>
      </c>
      <c r="B155" s="124">
        <f>VLOOKUP(A155,'31.12.25'!A:F,2,FALSE)</f>
        <v>9</v>
      </c>
      <c r="C155" s="124">
        <f>VLOOKUP(A155,'31.01.26'!A:F,6,FALSE)</f>
        <v>9</v>
      </c>
      <c r="D155" s="119">
        <f>C155-B155</f>
        <v>0</v>
      </c>
    </row>
    <row r="156" spans="1:4" x14ac:dyDescent="0.25">
      <c r="A156" s="124" t="s">
        <v>101</v>
      </c>
      <c r="B156" s="124">
        <f>VLOOKUP(A156,'31.12.25'!A:F,2,FALSE)</f>
        <v>23</v>
      </c>
      <c r="C156" s="124">
        <f>VLOOKUP(A156,'31.01.26'!A:F,6,FALSE)</f>
        <v>23</v>
      </c>
      <c r="D156" s="119">
        <f>C156-B156</f>
        <v>0</v>
      </c>
    </row>
    <row r="157" spans="1:4" x14ac:dyDescent="0.25">
      <c r="A157" s="124" t="s">
        <v>126</v>
      </c>
      <c r="B157" s="124">
        <f>VLOOKUP(A157,'31.12.25'!A:F,2,FALSE)</f>
        <v>14</v>
      </c>
      <c r="C157" s="124">
        <f>VLOOKUP(A157,'31.01.26'!A:F,6,FALSE)</f>
        <v>14</v>
      </c>
      <c r="D157" s="119">
        <f>C157-B157</f>
        <v>0</v>
      </c>
    </row>
    <row r="158" spans="1:4" x14ac:dyDescent="0.25">
      <c r="A158" s="124" t="s">
        <v>146</v>
      </c>
      <c r="B158" s="124">
        <f>VLOOKUP(A158,'31.12.25'!A:F,2,FALSE)</f>
        <v>15</v>
      </c>
      <c r="C158" s="124">
        <f>VLOOKUP(A158,'31.01.26'!A:F,6,FALSE)</f>
        <v>15</v>
      </c>
      <c r="D158" s="119">
        <f>C158-B158</f>
        <v>0</v>
      </c>
    </row>
    <row r="159" spans="1:4" x14ac:dyDescent="0.25">
      <c r="A159" s="124" t="s">
        <v>102</v>
      </c>
      <c r="B159" s="124">
        <f>VLOOKUP(A159,'31.12.25'!A:F,2,FALSE)</f>
        <v>36</v>
      </c>
      <c r="C159" s="124">
        <f>VLOOKUP(A159,'31.01.26'!A:F,6,FALSE)</f>
        <v>36</v>
      </c>
      <c r="D159" s="119">
        <f>C159-B159</f>
        <v>0</v>
      </c>
    </row>
    <row r="160" spans="1:4" x14ac:dyDescent="0.25">
      <c r="A160" s="124" t="s">
        <v>127</v>
      </c>
      <c r="B160" s="124">
        <f>VLOOKUP(A160,'31.12.25'!A:F,2,FALSE)</f>
        <v>16</v>
      </c>
      <c r="C160" s="124">
        <f>VLOOKUP(A160,'31.01.26'!A:F,6,FALSE)</f>
        <v>16</v>
      </c>
      <c r="D160" s="119">
        <f>C160-B160</f>
        <v>0</v>
      </c>
    </row>
    <row r="161" spans="1:4" x14ac:dyDescent="0.25">
      <c r="A161" s="124" t="s">
        <v>128</v>
      </c>
      <c r="B161" s="124">
        <f>VLOOKUP(A161,'31.12.25'!A:F,2,FALSE)</f>
        <v>15</v>
      </c>
      <c r="C161" s="124">
        <f>VLOOKUP(A161,'31.01.26'!A:F,6,FALSE)</f>
        <v>15</v>
      </c>
      <c r="D161" s="119">
        <f>C161-B161</f>
        <v>0</v>
      </c>
    </row>
    <row r="162" spans="1:4" x14ac:dyDescent="0.25">
      <c r="A162" s="124" t="s">
        <v>147</v>
      </c>
      <c r="B162" s="124">
        <f>VLOOKUP(A162,'31.12.25'!A:F,2,FALSE)</f>
        <v>10</v>
      </c>
      <c r="C162" s="124">
        <f>VLOOKUP(A162,'31.01.26'!A:F,6,FALSE)</f>
        <v>10</v>
      </c>
      <c r="D162" s="119">
        <f>C162-B162</f>
        <v>0</v>
      </c>
    </row>
    <row r="163" spans="1:4" x14ac:dyDescent="0.25">
      <c r="A163" s="124" t="s">
        <v>103</v>
      </c>
      <c r="B163" s="124">
        <f>VLOOKUP(A163,'31.12.25'!A:F,2,FALSE)</f>
        <v>36</v>
      </c>
      <c r="C163" s="124">
        <f>VLOOKUP(A163,'31.01.26'!A:F,6,FALSE)</f>
        <v>36</v>
      </c>
      <c r="D163" s="119">
        <f>C163-B163</f>
        <v>0</v>
      </c>
    </row>
    <row r="164" spans="1:4" x14ac:dyDescent="0.25">
      <c r="A164" s="124" t="s">
        <v>129</v>
      </c>
      <c r="B164" s="124">
        <f>VLOOKUP(A164,'31.12.25'!A:F,2,FALSE)</f>
        <v>48</v>
      </c>
      <c r="C164" s="124">
        <f>VLOOKUP(A164,'31.01.26'!A:F,6,FALSE)</f>
        <v>48</v>
      </c>
      <c r="D164" s="119">
        <f>C164-B164</f>
        <v>0</v>
      </c>
    </row>
    <row r="165" spans="1:4" x14ac:dyDescent="0.25">
      <c r="A165" s="124" t="s">
        <v>148</v>
      </c>
      <c r="B165" s="124">
        <f>VLOOKUP(A165,'31.12.25'!A:F,2,FALSE)</f>
        <v>2</v>
      </c>
      <c r="C165" s="124">
        <f>VLOOKUP(A165,'31.01.26'!A:F,6,FALSE)</f>
        <v>2</v>
      </c>
      <c r="D165" s="119">
        <f>C165-B165</f>
        <v>0</v>
      </c>
    </row>
    <row r="166" spans="1:4" x14ac:dyDescent="0.25">
      <c r="A166" s="124" t="s">
        <v>104</v>
      </c>
      <c r="B166" s="124">
        <f>VLOOKUP(A166,'31.12.25'!A:F,2,FALSE)</f>
        <v>71</v>
      </c>
      <c r="C166" s="124">
        <f>VLOOKUP(A166,'31.01.26'!A:F,6,FALSE)</f>
        <v>71</v>
      </c>
      <c r="D166" s="119">
        <f>C166-B166</f>
        <v>0</v>
      </c>
    </row>
    <row r="167" spans="1:4" x14ac:dyDescent="0.25">
      <c r="A167" s="124" t="s">
        <v>156</v>
      </c>
      <c r="B167" s="124">
        <f>VLOOKUP(A167,'31.12.25'!A:F,2,FALSE)</f>
        <v>2</v>
      </c>
      <c r="C167" s="124">
        <f>VLOOKUP(A167,'31.01.26'!A:F,6,FALSE)</f>
        <v>2</v>
      </c>
      <c r="D167" s="119">
        <f>C167-B167</f>
        <v>0</v>
      </c>
    </row>
    <row r="168" spans="1:4" x14ac:dyDescent="0.25">
      <c r="A168" s="124" t="s">
        <v>130</v>
      </c>
      <c r="B168" s="124">
        <f>VLOOKUP(A168,'31.12.25'!A:F,2,FALSE)</f>
        <v>6</v>
      </c>
      <c r="C168" s="124">
        <f>VLOOKUP(A168,'31.01.26'!A:F,6,FALSE)</f>
        <v>6</v>
      </c>
      <c r="D168" s="119">
        <f>C168-B168</f>
        <v>0</v>
      </c>
    </row>
    <row r="169" spans="1:4" x14ac:dyDescent="0.25">
      <c r="A169" s="124" t="s">
        <v>149</v>
      </c>
      <c r="B169" s="124">
        <f>VLOOKUP(A169,'31.12.25'!A:F,2,FALSE)</f>
        <v>1</v>
      </c>
      <c r="C169" s="124">
        <f>VLOOKUP(A169,'31.01.26'!A:F,6,FALSE)</f>
        <v>1</v>
      </c>
      <c r="D169" s="119">
        <f>C169-B169</f>
        <v>0</v>
      </c>
    </row>
    <row r="170" spans="1:4" x14ac:dyDescent="0.25">
      <c r="A170" s="124" t="s">
        <v>105</v>
      </c>
      <c r="B170" s="124">
        <f>VLOOKUP(A170,'31.12.25'!A:F,2,FALSE)</f>
        <v>33</v>
      </c>
      <c r="C170" s="124">
        <f>VLOOKUP(A170,'31.01.26'!A:F,6,FALSE)</f>
        <v>33</v>
      </c>
      <c r="D170" s="119">
        <f>C170-B170</f>
        <v>0</v>
      </c>
    </row>
    <row r="171" spans="1:4" x14ac:dyDescent="0.25">
      <c r="A171" s="124" t="s">
        <v>150</v>
      </c>
      <c r="B171" s="124">
        <f>VLOOKUP(A171,'31.12.25'!A:F,2,FALSE)</f>
        <v>5</v>
      </c>
      <c r="C171" s="124">
        <f>VLOOKUP(A171,'31.01.26'!A:F,6,FALSE)</f>
        <v>5</v>
      </c>
      <c r="D171" s="119">
        <f>C171-B171</f>
        <v>0</v>
      </c>
    </row>
    <row r="172" spans="1:4" x14ac:dyDescent="0.25">
      <c r="A172" s="124" t="s">
        <v>207</v>
      </c>
      <c r="B172" s="124">
        <f>VLOOKUP(A172,'31.12.25'!A:F,2,FALSE)</f>
        <v>5</v>
      </c>
      <c r="C172" s="124">
        <f>VLOOKUP(A172,'31.01.26'!A:F,6,FALSE)</f>
        <v>5</v>
      </c>
      <c r="D172" s="119">
        <f>C172-B172</f>
        <v>0</v>
      </c>
    </row>
    <row r="173" spans="1:4" x14ac:dyDescent="0.25">
      <c r="A173" s="124" t="s">
        <v>106</v>
      </c>
      <c r="B173" s="124">
        <f>VLOOKUP(A173,'31.12.25'!A:F,2,FALSE)</f>
        <v>71</v>
      </c>
      <c r="C173" s="124">
        <f>VLOOKUP(A173,'31.01.26'!A:F,6,FALSE)</f>
        <v>71</v>
      </c>
      <c r="D173" s="119">
        <f>C173-B173</f>
        <v>0</v>
      </c>
    </row>
    <row r="174" spans="1:4" x14ac:dyDescent="0.25">
      <c r="A174" s="124" t="s">
        <v>157</v>
      </c>
      <c r="B174" s="124">
        <f>VLOOKUP(A174,'31.12.25'!A:F,2,FALSE)</f>
        <v>5</v>
      </c>
      <c r="C174" s="124">
        <f>VLOOKUP(A174,'31.01.26'!A:F,6,FALSE)</f>
        <v>5</v>
      </c>
      <c r="D174" s="119">
        <f>C174-B174</f>
        <v>0</v>
      </c>
    </row>
    <row r="175" spans="1:4" x14ac:dyDescent="0.25">
      <c r="A175" s="124" t="s">
        <v>131</v>
      </c>
      <c r="B175" s="124">
        <f>VLOOKUP(A175,'31.12.25'!A:F,2,FALSE)</f>
        <v>13</v>
      </c>
      <c r="C175" s="124">
        <f>VLOOKUP(A175,'31.01.26'!A:F,6,FALSE)</f>
        <v>17</v>
      </c>
      <c r="D175" s="119">
        <f>C175-B175</f>
        <v>4</v>
      </c>
    </row>
    <row r="176" spans="1:4" x14ac:dyDescent="0.25">
      <c r="A176" s="124" t="s">
        <v>208</v>
      </c>
      <c r="B176" s="124">
        <f>VLOOKUP(A176,'31.12.25'!A:F,2,FALSE)</f>
        <v>2</v>
      </c>
      <c r="C176" s="124">
        <f>VLOOKUP(A176,'31.01.26'!A:F,6,FALSE)</f>
        <v>2</v>
      </c>
      <c r="D176" s="119">
        <f>C176-B176</f>
        <v>0</v>
      </c>
    </row>
    <row r="177" spans="1:4" x14ac:dyDescent="0.25">
      <c r="A177" s="124" t="s">
        <v>209</v>
      </c>
      <c r="B177" s="124">
        <f>VLOOKUP(A177,'31.12.25'!A:F,2,FALSE)</f>
        <v>19</v>
      </c>
      <c r="C177" s="124">
        <f>VLOOKUP(A177,'31.01.26'!A:F,6,FALSE)</f>
        <v>19</v>
      </c>
      <c r="D177" s="119">
        <f>C177-B177</f>
        <v>0</v>
      </c>
    </row>
    <row r="178" spans="1:4" x14ac:dyDescent="0.25">
      <c r="A178" s="124" t="s">
        <v>210</v>
      </c>
      <c r="B178" s="124">
        <f>VLOOKUP(A178,'31.12.25'!A:F,2,FALSE)</f>
        <v>1</v>
      </c>
      <c r="C178" s="124">
        <f>VLOOKUP(A178,'31.01.26'!A:F,6,FALSE)</f>
        <v>1</v>
      </c>
      <c r="D178" s="119">
        <f>C178-B178</f>
        <v>0</v>
      </c>
    </row>
    <row r="179" spans="1:4" x14ac:dyDescent="0.25">
      <c r="A179" s="124" t="s">
        <v>107</v>
      </c>
      <c r="B179" s="124">
        <f>VLOOKUP(A179,'31.12.25'!A:F,2,FALSE)</f>
        <v>2</v>
      </c>
      <c r="C179" s="124">
        <f>VLOOKUP(A179,'31.01.26'!A:F,6,FALSE)</f>
        <v>2</v>
      </c>
      <c r="D179" s="119">
        <f>C179-B179</f>
        <v>0</v>
      </c>
    </row>
    <row r="180" spans="1:4" x14ac:dyDescent="0.25">
      <c r="A180" s="124" t="s">
        <v>159</v>
      </c>
      <c r="B180" s="124">
        <f>VLOOKUP(A180,'31.12.25'!A:F,2,FALSE)</f>
        <v>5</v>
      </c>
      <c r="C180" s="124">
        <f>VLOOKUP(A180,'31.01.26'!A:F,6,FALSE)</f>
        <v>6</v>
      </c>
      <c r="D180" s="119">
        <f>C180-B180</f>
        <v>1</v>
      </c>
    </row>
    <row r="181" spans="1:4" x14ac:dyDescent="0.25">
      <c r="A181" s="124" t="s">
        <v>151</v>
      </c>
      <c r="B181" s="124">
        <f>VLOOKUP(A181,'31.12.25'!A:F,2,FALSE)</f>
        <v>2</v>
      </c>
      <c r="C181" s="124">
        <f>VLOOKUP(A181,'31.01.26'!A:F,6,FALSE)</f>
        <v>2</v>
      </c>
      <c r="D181" s="119">
        <f>C181-B181</f>
        <v>0</v>
      </c>
    </row>
    <row r="182" spans="1:4" x14ac:dyDescent="0.25">
      <c r="A182" s="124" t="s">
        <v>152</v>
      </c>
      <c r="B182" s="124">
        <f>VLOOKUP(A182,'31.12.25'!A:F,2,FALSE)</f>
        <v>1</v>
      </c>
      <c r="C182" s="124">
        <f>VLOOKUP(A182,'31.01.26'!A:F,6,FALSE)</f>
        <v>1</v>
      </c>
      <c r="D182" s="119">
        <f>C182-B182</f>
        <v>0</v>
      </c>
    </row>
    <row r="183" spans="1:4" x14ac:dyDescent="0.25">
      <c r="A183" s="124" t="s">
        <v>108</v>
      </c>
      <c r="B183" s="124">
        <f>VLOOKUP(A183,'31.12.25'!A:F,2,FALSE)</f>
        <v>3</v>
      </c>
      <c r="C183" s="124">
        <f>VLOOKUP(A183,'31.01.26'!A:F,6,FALSE)</f>
        <v>3</v>
      </c>
      <c r="D183" s="119">
        <f>C183-B183</f>
        <v>0</v>
      </c>
    </row>
    <row r="184" spans="1:4" x14ac:dyDescent="0.25">
      <c r="A184" s="124" t="s">
        <v>109</v>
      </c>
      <c r="B184" s="124">
        <f>VLOOKUP(A184,'31.12.25'!A:F,2,FALSE)</f>
        <v>1</v>
      </c>
      <c r="C184" s="124">
        <f>VLOOKUP(A184,'31.01.26'!A:F,6,FALSE)</f>
        <v>1</v>
      </c>
      <c r="D184" s="119">
        <f>C184-B184</f>
        <v>0</v>
      </c>
    </row>
    <row r="185" spans="1:4" x14ac:dyDescent="0.25">
      <c r="A185" s="124" t="s">
        <v>110</v>
      </c>
      <c r="B185" s="124">
        <f>VLOOKUP(A185,'31.12.25'!A:F,2,FALSE)</f>
        <v>1</v>
      </c>
      <c r="C185" s="124">
        <f>VLOOKUP(A185,'31.01.26'!A:F,6,FALSE)</f>
        <v>1</v>
      </c>
      <c r="D185" s="119">
        <f>C185-B185</f>
        <v>0</v>
      </c>
    </row>
    <row r="186" spans="1:4" x14ac:dyDescent="0.25">
      <c r="A186" s="124" t="s">
        <v>111</v>
      </c>
      <c r="B186" s="124">
        <f>VLOOKUP(A186,'31.12.25'!A:F,2,FALSE)</f>
        <v>3</v>
      </c>
      <c r="C186" s="124">
        <f>VLOOKUP(A186,'31.01.26'!A:F,6,FALSE)</f>
        <v>3</v>
      </c>
      <c r="D186" s="119">
        <f>C186-B186</f>
        <v>0</v>
      </c>
    </row>
    <row r="187" spans="1:4" x14ac:dyDescent="0.25">
      <c r="A187" s="124" t="s">
        <v>153</v>
      </c>
      <c r="B187" s="124">
        <f>VLOOKUP(A187,'31.12.25'!A:F,2,FALSE)</f>
        <v>12</v>
      </c>
      <c r="C187" s="124">
        <f>VLOOKUP(A187,'31.01.26'!A:F,6,FALSE)</f>
        <v>12</v>
      </c>
      <c r="D187" s="119">
        <f>C187-B187</f>
        <v>0</v>
      </c>
    </row>
    <row r="188" spans="1:4" x14ac:dyDescent="0.25">
      <c r="A188" s="124" t="s">
        <v>154</v>
      </c>
      <c r="B188" s="124">
        <f>VLOOKUP(A188,'31.12.25'!A:F,2,FALSE)</f>
        <v>10</v>
      </c>
      <c r="C188" s="124">
        <f>VLOOKUP(A188,'31.01.26'!A:F,6,FALSE)</f>
        <v>10</v>
      </c>
      <c r="D188" s="119">
        <f>C188-B188</f>
        <v>0</v>
      </c>
    </row>
    <row r="189" spans="1:4" x14ac:dyDescent="0.25">
      <c r="A189" s="124" t="s">
        <v>112</v>
      </c>
      <c r="B189" s="124">
        <f>VLOOKUP(A189,'31.12.25'!A:F,2,FALSE)</f>
        <v>4</v>
      </c>
      <c r="C189" s="124">
        <f>VLOOKUP(A189,'31.01.26'!A:F,6,FALSE)</f>
        <v>4</v>
      </c>
      <c r="D189" s="119">
        <f>C189-B189</f>
        <v>0</v>
      </c>
    </row>
    <row r="190" spans="1:4" x14ac:dyDescent="0.25">
      <c r="A190" s="124" t="s">
        <v>113</v>
      </c>
      <c r="B190" s="124">
        <f>VLOOKUP(A190,'31.12.25'!A:F,2,FALSE)</f>
        <v>5</v>
      </c>
      <c r="C190" s="124">
        <f>VLOOKUP(A190,'31.01.26'!A:F,6,FALSE)</f>
        <v>5</v>
      </c>
      <c r="D190" s="119">
        <f>C190-B190</f>
        <v>0</v>
      </c>
    </row>
    <row r="191" spans="1:4" x14ac:dyDescent="0.25">
      <c r="A191" s="124" t="s">
        <v>114</v>
      </c>
      <c r="B191" s="124">
        <f>VLOOKUP(A191,'31.12.25'!A:F,2,FALSE)</f>
        <v>17</v>
      </c>
      <c r="C191" s="124">
        <f>VLOOKUP(A191,'31.01.26'!A:F,6,FALSE)</f>
        <v>20</v>
      </c>
      <c r="D191" s="119">
        <f>C191-B191</f>
        <v>3</v>
      </c>
    </row>
    <row r="192" spans="1:4" x14ac:dyDescent="0.25">
      <c r="A192" s="124" t="s">
        <v>115</v>
      </c>
      <c r="B192" s="124">
        <f>VLOOKUP(A192,'31.12.25'!A:F,2,FALSE)</f>
        <v>7</v>
      </c>
      <c r="C192" s="124">
        <f>VLOOKUP(A192,'31.01.26'!A:F,6,FALSE)</f>
        <v>7</v>
      </c>
      <c r="D192" s="119">
        <f>C192-B192</f>
        <v>0</v>
      </c>
    </row>
    <row r="193" spans="1:4" x14ac:dyDescent="0.25">
      <c r="A193" s="124" t="s">
        <v>116</v>
      </c>
      <c r="B193" s="124">
        <f>VLOOKUP(A193,'31.12.25'!A:F,2,FALSE)</f>
        <v>8</v>
      </c>
      <c r="C193" s="124">
        <f>VLOOKUP(A193,'31.01.26'!A:F,6,FALSE)</f>
        <v>8</v>
      </c>
      <c r="D193" s="119">
        <f>C193-B193</f>
        <v>0</v>
      </c>
    </row>
    <row r="194" spans="1:4" x14ac:dyDescent="0.25">
      <c r="A194" s="124" t="s">
        <v>211</v>
      </c>
      <c r="B194" s="124">
        <f>VLOOKUP(A194,'31.12.25'!A:F,2,FALSE)</f>
        <v>1</v>
      </c>
      <c r="C194" s="124">
        <f>VLOOKUP(A194,'31.01.26'!A:F,6,FALSE)</f>
        <v>1</v>
      </c>
      <c r="D194" s="119">
        <f>C194-B194</f>
        <v>0</v>
      </c>
    </row>
    <row r="195" spans="1:4" x14ac:dyDescent="0.25">
      <c r="A195" s="124" t="s">
        <v>155</v>
      </c>
      <c r="B195" s="124">
        <f>VLOOKUP(A195,'31.12.25'!A:F,2,FALSE)</f>
        <v>2</v>
      </c>
      <c r="C195" s="124">
        <f>VLOOKUP(A195,'31.01.26'!A:F,6,FALSE)</f>
        <v>2</v>
      </c>
      <c r="D195" s="119">
        <f>C195-B195</f>
        <v>0</v>
      </c>
    </row>
    <row r="196" spans="1:4" x14ac:dyDescent="0.25">
      <c r="A196" s="124" t="s">
        <v>117</v>
      </c>
      <c r="B196" s="124">
        <f>VLOOKUP(A196,'31.12.25'!A:F,2,FALSE)</f>
        <v>1</v>
      </c>
      <c r="C196" s="124">
        <f>VLOOKUP(A196,'31.01.26'!A:F,6,FALSE)</f>
        <v>1</v>
      </c>
      <c r="D196" s="119">
        <f>C196-B196</f>
        <v>0</v>
      </c>
    </row>
    <row r="197" spans="1:4" x14ac:dyDescent="0.25">
      <c r="A197" s="124" t="s">
        <v>118</v>
      </c>
      <c r="B197" s="124">
        <f>VLOOKUP(A197,'31.12.25'!A:F,2,FALSE)</f>
        <v>2</v>
      </c>
      <c r="C197" s="124">
        <f>VLOOKUP(A197,'31.01.26'!A:F,6,FALSE)</f>
        <v>2</v>
      </c>
      <c r="D197" s="119">
        <f>C197-B197</f>
        <v>0</v>
      </c>
    </row>
    <row r="198" spans="1:4" x14ac:dyDescent="0.25">
      <c r="A198" s="124" t="s">
        <v>119</v>
      </c>
      <c r="B198" s="124">
        <f>VLOOKUP(A198,'31.12.25'!A:F,2,FALSE)</f>
        <v>6</v>
      </c>
      <c r="C198" s="124">
        <f>VLOOKUP(A198,'31.01.26'!A:F,6,FALSE)</f>
        <v>6</v>
      </c>
      <c r="D198" s="119">
        <f>C198-B198</f>
        <v>0</v>
      </c>
    </row>
    <row r="199" spans="1:4" x14ac:dyDescent="0.25">
      <c r="A199" s="124" t="s">
        <v>120</v>
      </c>
      <c r="B199" s="124">
        <f>VLOOKUP(A199,'31.12.25'!A:F,2,FALSE)</f>
        <v>1</v>
      </c>
      <c r="C199" s="124">
        <f>VLOOKUP(A199,'31.01.26'!A:F,6,FALSE)</f>
        <v>1</v>
      </c>
      <c r="D199" s="119">
        <f>C199-B199</f>
        <v>0</v>
      </c>
    </row>
  </sheetData>
  <autoFilter ref="A2:E199" xr:uid="{00000000-0009-0000-0000-00000D000000}">
    <sortState ref="A3:D199">
      <sortCondition ref="A2:A19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898D-474F-4CBD-81A7-C9F35BE0B2F1}">
  <dimension ref="A1:H204"/>
  <sheetViews>
    <sheetView tabSelected="1" topLeftCell="A103" workbookViewId="0">
      <selection activeCell="F151" sqref="F151"/>
    </sheetView>
  </sheetViews>
  <sheetFormatPr defaultRowHeight="15" x14ac:dyDescent="0.25"/>
  <cols>
    <col min="1" max="1" width="68.7109375" customWidth="1"/>
  </cols>
  <sheetData>
    <row r="1" spans="1:8" x14ac:dyDescent="0.25">
      <c r="A1" s="156" t="s">
        <v>0</v>
      </c>
      <c r="B1" s="157" t="s">
        <v>1</v>
      </c>
      <c r="C1" s="157"/>
      <c r="D1" s="157"/>
      <c r="E1" s="157"/>
      <c r="F1" s="157"/>
      <c r="G1" s="157"/>
      <c r="H1" s="157"/>
    </row>
    <row r="2" spans="1:8" ht="38.25" x14ac:dyDescent="0.25">
      <c r="A2" s="156"/>
      <c r="B2" s="158" t="s">
        <v>2</v>
      </c>
      <c r="C2" s="158" t="s">
        <v>3</v>
      </c>
      <c r="D2" s="158" t="s">
        <v>160</v>
      </c>
      <c r="E2" s="158" t="s">
        <v>161</v>
      </c>
      <c r="F2" s="158" t="s">
        <v>4</v>
      </c>
      <c r="G2" s="158" t="s">
        <v>162</v>
      </c>
      <c r="H2" s="158" t="s">
        <v>5</v>
      </c>
    </row>
    <row r="3" spans="1:8" x14ac:dyDescent="0.25">
      <c r="A3" s="159" t="s">
        <v>6</v>
      </c>
      <c r="B3" s="160">
        <v>13</v>
      </c>
      <c r="C3" s="160">
        <v>4</v>
      </c>
      <c r="D3" s="161"/>
      <c r="E3" s="161"/>
      <c r="F3" s="160">
        <v>17</v>
      </c>
      <c r="G3" s="162">
        <v>76.47</v>
      </c>
      <c r="H3" s="162">
        <v>76.47</v>
      </c>
    </row>
    <row r="4" spans="1:8" x14ac:dyDescent="0.25">
      <c r="A4" s="159" t="s">
        <v>7</v>
      </c>
      <c r="B4" s="160">
        <v>10</v>
      </c>
      <c r="C4" s="160">
        <v>3</v>
      </c>
      <c r="D4" s="161"/>
      <c r="E4" s="161"/>
      <c r="F4" s="160">
        <v>13</v>
      </c>
      <c r="G4" s="162">
        <v>76.92</v>
      </c>
      <c r="H4" s="162">
        <v>76.92</v>
      </c>
    </row>
    <row r="5" spans="1:8" x14ac:dyDescent="0.25">
      <c r="A5" s="159" t="s">
        <v>8</v>
      </c>
      <c r="B5" s="160">
        <v>11</v>
      </c>
      <c r="C5" s="160">
        <v>2</v>
      </c>
      <c r="D5" s="161"/>
      <c r="E5" s="161"/>
      <c r="F5" s="160">
        <v>14</v>
      </c>
      <c r="G5" s="162">
        <v>84.62</v>
      </c>
      <c r="H5" s="162">
        <v>84.62</v>
      </c>
    </row>
    <row r="6" spans="1:8" x14ac:dyDescent="0.25">
      <c r="A6" s="159" t="s">
        <v>9</v>
      </c>
      <c r="B6" s="160">
        <v>167</v>
      </c>
      <c r="C6" s="160">
        <v>35</v>
      </c>
      <c r="D6" s="160">
        <v>4</v>
      </c>
      <c r="E6" s="161"/>
      <c r="F6" s="160">
        <v>206</v>
      </c>
      <c r="G6" s="162">
        <v>81.069999999999993</v>
      </c>
      <c r="H6" s="162">
        <v>81.069999999999993</v>
      </c>
    </row>
    <row r="7" spans="1:8" x14ac:dyDescent="0.25">
      <c r="A7" s="159" t="s">
        <v>10</v>
      </c>
      <c r="B7" s="160">
        <v>9</v>
      </c>
      <c r="C7" s="160">
        <v>6</v>
      </c>
      <c r="D7" s="161"/>
      <c r="E7" s="161"/>
      <c r="F7" s="160">
        <v>15</v>
      </c>
      <c r="G7" s="162">
        <v>60</v>
      </c>
      <c r="H7" s="162">
        <v>60</v>
      </c>
    </row>
    <row r="8" spans="1:8" x14ac:dyDescent="0.25">
      <c r="A8" s="159" t="s">
        <v>11</v>
      </c>
      <c r="B8" s="160">
        <v>25</v>
      </c>
      <c r="C8" s="160">
        <v>4</v>
      </c>
      <c r="D8" s="161"/>
      <c r="E8" s="161"/>
      <c r="F8" s="160">
        <v>29</v>
      </c>
      <c r="G8" s="162">
        <v>86.21</v>
      </c>
      <c r="H8" s="162">
        <v>86.21</v>
      </c>
    </row>
    <row r="9" spans="1:8" x14ac:dyDescent="0.25">
      <c r="A9" s="159" t="s">
        <v>12</v>
      </c>
      <c r="B9" s="160">
        <v>37</v>
      </c>
      <c r="C9" s="160">
        <v>11</v>
      </c>
      <c r="D9" s="161"/>
      <c r="E9" s="161"/>
      <c r="F9" s="160">
        <v>48</v>
      </c>
      <c r="G9" s="162">
        <v>77.08</v>
      </c>
      <c r="H9" s="162">
        <v>77.08</v>
      </c>
    </row>
    <row r="10" spans="1:8" x14ac:dyDescent="0.25">
      <c r="A10" s="159" t="s">
        <v>13</v>
      </c>
      <c r="B10" s="160">
        <v>13</v>
      </c>
      <c r="C10" s="160">
        <v>2</v>
      </c>
      <c r="D10" s="161"/>
      <c r="E10" s="161"/>
      <c r="F10" s="160">
        <v>15</v>
      </c>
      <c r="G10" s="162">
        <v>86.67</v>
      </c>
      <c r="H10" s="162">
        <v>86.67</v>
      </c>
    </row>
    <row r="11" spans="1:8" x14ac:dyDescent="0.25">
      <c r="A11" s="159" t="s">
        <v>14</v>
      </c>
      <c r="B11" s="160">
        <v>73</v>
      </c>
      <c r="C11" s="160">
        <v>12</v>
      </c>
      <c r="D11" s="160">
        <v>1</v>
      </c>
      <c r="E11" s="160">
        <v>1</v>
      </c>
      <c r="F11" s="160">
        <v>87</v>
      </c>
      <c r="G11" s="162">
        <v>84.88</v>
      </c>
      <c r="H11" s="162">
        <v>83.91</v>
      </c>
    </row>
    <row r="12" spans="1:8" x14ac:dyDescent="0.25">
      <c r="A12" s="159" t="s">
        <v>15</v>
      </c>
      <c r="B12" s="160">
        <v>19</v>
      </c>
      <c r="C12" s="160">
        <v>13</v>
      </c>
      <c r="D12" s="161"/>
      <c r="E12" s="161"/>
      <c r="F12" s="160">
        <v>32</v>
      </c>
      <c r="G12" s="162">
        <v>59.38</v>
      </c>
      <c r="H12" s="162">
        <v>59.38</v>
      </c>
    </row>
    <row r="13" spans="1:8" x14ac:dyDescent="0.25">
      <c r="A13" s="159" t="s">
        <v>16</v>
      </c>
      <c r="B13" s="160">
        <v>20</v>
      </c>
      <c r="C13" s="160">
        <v>2</v>
      </c>
      <c r="D13" s="161"/>
      <c r="E13" s="161"/>
      <c r="F13" s="160">
        <v>22</v>
      </c>
      <c r="G13" s="162">
        <v>90.91</v>
      </c>
      <c r="H13" s="162">
        <v>90.91</v>
      </c>
    </row>
    <row r="14" spans="1:8" x14ac:dyDescent="0.25">
      <c r="A14" s="159" t="s">
        <v>17</v>
      </c>
      <c r="B14" s="160">
        <v>77</v>
      </c>
      <c r="C14" s="160">
        <v>14</v>
      </c>
      <c r="D14" s="160">
        <v>2</v>
      </c>
      <c r="E14" s="160">
        <v>1</v>
      </c>
      <c r="F14" s="160">
        <v>94</v>
      </c>
      <c r="G14" s="162">
        <v>82.8</v>
      </c>
      <c r="H14" s="162">
        <v>81.91</v>
      </c>
    </row>
    <row r="15" spans="1:8" x14ac:dyDescent="0.25">
      <c r="A15" s="159" t="s">
        <v>177</v>
      </c>
      <c r="B15" s="160">
        <v>0</v>
      </c>
      <c r="C15" s="160">
        <v>1</v>
      </c>
      <c r="D15" s="161"/>
      <c r="E15" s="161"/>
      <c r="F15" s="160">
        <v>1</v>
      </c>
      <c r="G15" s="161"/>
      <c r="H15" s="162">
        <v>0</v>
      </c>
    </row>
    <row r="16" spans="1:8" x14ac:dyDescent="0.25">
      <c r="A16" s="159" t="s">
        <v>178</v>
      </c>
      <c r="B16" s="160">
        <v>5</v>
      </c>
      <c r="C16" s="160">
        <v>1</v>
      </c>
      <c r="D16" s="161"/>
      <c r="E16" s="161"/>
      <c r="F16" s="160">
        <v>6</v>
      </c>
      <c r="G16" s="162">
        <v>83.33</v>
      </c>
      <c r="H16" s="162">
        <v>83.33</v>
      </c>
    </row>
    <row r="17" spans="1:8" x14ac:dyDescent="0.25">
      <c r="A17" s="159" t="s">
        <v>179</v>
      </c>
      <c r="B17" s="160">
        <v>2</v>
      </c>
      <c r="C17" s="161"/>
      <c r="D17" s="161"/>
      <c r="E17" s="161"/>
      <c r="F17" s="160">
        <v>2</v>
      </c>
      <c r="G17" s="162">
        <v>100</v>
      </c>
      <c r="H17" s="162">
        <v>100</v>
      </c>
    </row>
    <row r="18" spans="1:8" x14ac:dyDescent="0.25">
      <c r="A18" s="159" t="s">
        <v>180</v>
      </c>
      <c r="B18" s="160">
        <v>1</v>
      </c>
      <c r="C18" s="160">
        <v>1</v>
      </c>
      <c r="D18" s="161"/>
      <c r="E18" s="161"/>
      <c r="F18" s="160">
        <v>2</v>
      </c>
      <c r="G18" s="162">
        <v>50</v>
      </c>
      <c r="H18" s="162">
        <v>50</v>
      </c>
    </row>
    <row r="19" spans="1:8" x14ac:dyDescent="0.25">
      <c r="A19" s="159" t="s">
        <v>181</v>
      </c>
      <c r="B19" s="160">
        <v>4</v>
      </c>
      <c r="C19" s="160">
        <v>3</v>
      </c>
      <c r="D19" s="161"/>
      <c r="E19" s="161"/>
      <c r="F19" s="160">
        <v>7</v>
      </c>
      <c r="G19" s="162">
        <v>57.14</v>
      </c>
      <c r="H19" s="162">
        <v>57.14</v>
      </c>
    </row>
    <row r="20" spans="1:8" x14ac:dyDescent="0.25">
      <c r="A20" s="159" t="s">
        <v>182</v>
      </c>
      <c r="B20" s="160">
        <v>3</v>
      </c>
      <c r="C20" s="160">
        <v>3</v>
      </c>
      <c r="D20" s="161"/>
      <c r="E20" s="161"/>
      <c r="F20" s="160">
        <v>6</v>
      </c>
      <c r="G20" s="162">
        <v>50</v>
      </c>
      <c r="H20" s="162">
        <v>50</v>
      </c>
    </row>
    <row r="21" spans="1:8" x14ac:dyDescent="0.25">
      <c r="A21" s="159" t="s">
        <v>213</v>
      </c>
      <c r="B21" s="160">
        <v>4</v>
      </c>
      <c r="C21" s="160">
        <v>3</v>
      </c>
      <c r="D21" s="160">
        <v>1</v>
      </c>
      <c r="E21" s="160">
        <v>1</v>
      </c>
      <c r="F21" s="160">
        <v>9</v>
      </c>
      <c r="G21" s="162">
        <v>50</v>
      </c>
      <c r="H21" s="162">
        <v>44.44</v>
      </c>
    </row>
    <row r="22" spans="1:8" x14ac:dyDescent="0.25">
      <c r="A22" s="159" t="s">
        <v>214</v>
      </c>
      <c r="B22" s="160">
        <v>1</v>
      </c>
      <c r="C22" s="161"/>
      <c r="D22" s="160">
        <v>2</v>
      </c>
      <c r="E22" s="161"/>
      <c r="F22" s="160">
        <v>3</v>
      </c>
      <c r="G22" s="162">
        <v>33.33</v>
      </c>
      <c r="H22" s="162">
        <v>33.33</v>
      </c>
    </row>
    <row r="23" spans="1:8" x14ac:dyDescent="0.25">
      <c r="A23" s="159" t="s">
        <v>18</v>
      </c>
      <c r="B23" s="160">
        <v>5</v>
      </c>
      <c r="C23" s="160">
        <v>6</v>
      </c>
      <c r="D23" s="160">
        <v>2</v>
      </c>
      <c r="E23" s="161"/>
      <c r="F23" s="160">
        <v>13</v>
      </c>
      <c r="G23" s="162">
        <v>38.46</v>
      </c>
      <c r="H23" s="162">
        <v>38.46</v>
      </c>
    </row>
    <row r="24" spans="1:8" x14ac:dyDescent="0.25">
      <c r="A24" s="159" t="s">
        <v>19</v>
      </c>
      <c r="B24" s="160">
        <v>8</v>
      </c>
      <c r="C24" s="160">
        <v>12</v>
      </c>
      <c r="D24" s="160">
        <v>1</v>
      </c>
      <c r="E24" s="160">
        <v>1</v>
      </c>
      <c r="F24" s="160">
        <v>22</v>
      </c>
      <c r="G24" s="162">
        <v>38.1</v>
      </c>
      <c r="H24" s="162">
        <v>36.36</v>
      </c>
    </row>
    <row r="25" spans="1:8" x14ac:dyDescent="0.25">
      <c r="A25" s="159" t="s">
        <v>183</v>
      </c>
      <c r="B25" s="160">
        <v>1</v>
      </c>
      <c r="C25" s="161"/>
      <c r="D25" s="161"/>
      <c r="E25" s="161"/>
      <c r="F25" s="160">
        <v>1</v>
      </c>
      <c r="G25" s="162">
        <v>100</v>
      </c>
      <c r="H25" s="162">
        <v>100</v>
      </c>
    </row>
    <row r="26" spans="1:8" x14ac:dyDescent="0.25">
      <c r="A26" s="159" t="s">
        <v>184</v>
      </c>
      <c r="B26" s="160">
        <v>2</v>
      </c>
      <c r="C26" s="160">
        <v>1</v>
      </c>
      <c r="D26" s="161"/>
      <c r="E26" s="161"/>
      <c r="F26" s="160">
        <v>3</v>
      </c>
      <c r="G26" s="162">
        <v>66.67</v>
      </c>
      <c r="H26" s="162">
        <v>66.67</v>
      </c>
    </row>
    <row r="27" spans="1:8" x14ac:dyDescent="0.25">
      <c r="A27" s="159" t="s">
        <v>20</v>
      </c>
      <c r="B27" s="160">
        <v>70</v>
      </c>
      <c r="C27" s="160">
        <v>26</v>
      </c>
      <c r="D27" s="160">
        <v>1</v>
      </c>
      <c r="E27" s="160">
        <v>1</v>
      </c>
      <c r="F27" s="160">
        <v>98</v>
      </c>
      <c r="G27" s="162">
        <v>72.16</v>
      </c>
      <c r="H27" s="162">
        <v>71.430000000000007</v>
      </c>
    </row>
    <row r="28" spans="1:8" x14ac:dyDescent="0.25">
      <c r="A28" s="159" t="s">
        <v>21</v>
      </c>
      <c r="B28" s="160">
        <v>112</v>
      </c>
      <c r="C28" s="160">
        <v>33</v>
      </c>
      <c r="D28" s="160">
        <v>4</v>
      </c>
      <c r="E28" s="160">
        <v>1</v>
      </c>
      <c r="F28" s="160">
        <v>150</v>
      </c>
      <c r="G28" s="162">
        <v>75.17</v>
      </c>
      <c r="H28" s="162">
        <v>74.67</v>
      </c>
    </row>
    <row r="29" spans="1:8" x14ac:dyDescent="0.25">
      <c r="A29" s="159" t="s">
        <v>22</v>
      </c>
      <c r="B29" s="160">
        <v>44</v>
      </c>
      <c r="C29" s="160">
        <v>5</v>
      </c>
      <c r="D29" s="161"/>
      <c r="E29" s="161"/>
      <c r="F29" s="160">
        <v>49</v>
      </c>
      <c r="G29" s="162">
        <v>89.8</v>
      </c>
      <c r="H29" s="162">
        <v>89.8</v>
      </c>
    </row>
    <row r="30" spans="1:8" x14ac:dyDescent="0.25">
      <c r="A30" s="159" t="s">
        <v>23</v>
      </c>
      <c r="B30" s="160">
        <v>1</v>
      </c>
      <c r="C30" s="160">
        <v>4</v>
      </c>
      <c r="D30" s="161"/>
      <c r="E30" s="161"/>
      <c r="F30" s="160">
        <v>5</v>
      </c>
      <c r="G30" s="162">
        <v>20</v>
      </c>
      <c r="H30" s="162">
        <v>20</v>
      </c>
    </row>
    <row r="31" spans="1:8" x14ac:dyDescent="0.25">
      <c r="A31" s="159" t="s">
        <v>24</v>
      </c>
      <c r="B31" s="160">
        <v>81</v>
      </c>
      <c r="C31" s="160">
        <v>31</v>
      </c>
      <c r="D31" s="160">
        <v>1</v>
      </c>
      <c r="E31" s="160">
        <v>1</v>
      </c>
      <c r="F31" s="160">
        <v>114</v>
      </c>
      <c r="G31" s="162">
        <v>71.680000000000007</v>
      </c>
      <c r="H31" s="162">
        <v>71.05</v>
      </c>
    </row>
    <row r="32" spans="1:8" x14ac:dyDescent="0.25">
      <c r="A32" s="159" t="s">
        <v>25</v>
      </c>
      <c r="B32" s="160">
        <v>35</v>
      </c>
      <c r="C32" s="161"/>
      <c r="D32" s="161"/>
      <c r="E32" s="161"/>
      <c r="F32" s="160">
        <v>35</v>
      </c>
      <c r="G32" s="162">
        <v>100</v>
      </c>
      <c r="H32" s="162">
        <v>100</v>
      </c>
    </row>
    <row r="33" spans="1:8" x14ac:dyDescent="0.25">
      <c r="A33" s="159" t="s">
        <v>26</v>
      </c>
      <c r="B33" s="160">
        <v>164</v>
      </c>
      <c r="C33" s="160">
        <v>62</v>
      </c>
      <c r="D33" s="160">
        <v>2</v>
      </c>
      <c r="E33" s="161"/>
      <c r="F33" s="160">
        <v>228</v>
      </c>
      <c r="G33" s="162">
        <v>71.930000000000007</v>
      </c>
      <c r="H33" s="162">
        <v>71.930000000000007</v>
      </c>
    </row>
    <row r="34" spans="1:8" x14ac:dyDescent="0.25">
      <c r="A34" s="159" t="s">
        <v>132</v>
      </c>
      <c r="B34" s="160">
        <v>15</v>
      </c>
      <c r="C34" s="160">
        <v>5</v>
      </c>
      <c r="D34" s="161"/>
      <c r="E34" s="161"/>
      <c r="F34" s="160">
        <v>20</v>
      </c>
      <c r="G34" s="162">
        <v>75</v>
      </c>
      <c r="H34" s="162">
        <v>75</v>
      </c>
    </row>
    <row r="35" spans="1:8" x14ac:dyDescent="0.25">
      <c r="A35" s="159" t="s">
        <v>27</v>
      </c>
      <c r="B35" s="160">
        <v>216</v>
      </c>
      <c r="C35" s="160">
        <v>32</v>
      </c>
      <c r="D35" s="160">
        <v>2</v>
      </c>
      <c r="E35" s="160">
        <v>1</v>
      </c>
      <c r="F35" s="160">
        <v>251</v>
      </c>
      <c r="G35" s="162">
        <v>86.4</v>
      </c>
      <c r="H35" s="162">
        <v>86.06</v>
      </c>
    </row>
    <row r="36" spans="1:8" x14ac:dyDescent="0.25">
      <c r="A36" s="159" t="s">
        <v>28</v>
      </c>
      <c r="B36" s="160">
        <v>117</v>
      </c>
      <c r="C36" s="160">
        <v>57</v>
      </c>
      <c r="D36" s="160">
        <v>1</v>
      </c>
      <c r="E36" s="160">
        <v>3</v>
      </c>
      <c r="F36" s="160">
        <v>178</v>
      </c>
      <c r="G36" s="162">
        <v>66.86</v>
      </c>
      <c r="H36" s="162">
        <v>65.73</v>
      </c>
    </row>
    <row r="37" spans="1:8" x14ac:dyDescent="0.25">
      <c r="A37" s="159" t="s">
        <v>29</v>
      </c>
      <c r="B37" s="160">
        <v>153</v>
      </c>
      <c r="C37" s="160">
        <v>30</v>
      </c>
      <c r="D37" s="160">
        <v>1</v>
      </c>
      <c r="E37" s="160">
        <v>3</v>
      </c>
      <c r="F37" s="160">
        <v>187</v>
      </c>
      <c r="G37" s="162">
        <v>83.15</v>
      </c>
      <c r="H37" s="162">
        <v>81.819999999999993</v>
      </c>
    </row>
    <row r="38" spans="1:8" x14ac:dyDescent="0.25">
      <c r="A38" s="159" t="s">
        <v>121</v>
      </c>
      <c r="B38" s="160">
        <v>4</v>
      </c>
      <c r="C38" s="160">
        <v>4</v>
      </c>
      <c r="D38" s="161"/>
      <c r="E38" s="161"/>
      <c r="F38" s="160">
        <v>8</v>
      </c>
      <c r="G38" s="162">
        <v>50</v>
      </c>
      <c r="H38" s="162">
        <v>50</v>
      </c>
    </row>
    <row r="39" spans="1:8" x14ac:dyDescent="0.25">
      <c r="A39" s="159" t="s">
        <v>185</v>
      </c>
      <c r="B39" s="160">
        <v>63</v>
      </c>
      <c r="C39" s="160">
        <v>11</v>
      </c>
      <c r="D39" s="161"/>
      <c r="E39" s="160">
        <v>1</v>
      </c>
      <c r="F39" s="160">
        <v>75</v>
      </c>
      <c r="G39" s="162">
        <v>85.14</v>
      </c>
      <c r="H39" s="162">
        <v>84</v>
      </c>
    </row>
    <row r="40" spans="1:8" x14ac:dyDescent="0.25">
      <c r="A40" s="159" t="s">
        <v>30</v>
      </c>
      <c r="B40" s="160">
        <v>14</v>
      </c>
      <c r="C40" s="160">
        <v>9</v>
      </c>
      <c r="D40" s="161"/>
      <c r="E40" s="161"/>
      <c r="F40" s="160">
        <v>23</v>
      </c>
      <c r="G40" s="162">
        <v>60.87</v>
      </c>
      <c r="H40" s="162">
        <v>60.87</v>
      </c>
    </row>
    <row r="41" spans="1:8" x14ac:dyDescent="0.25">
      <c r="A41" s="159" t="s">
        <v>31</v>
      </c>
      <c r="B41" s="160">
        <v>10</v>
      </c>
      <c r="C41" s="160">
        <v>2</v>
      </c>
      <c r="D41" s="160">
        <v>1</v>
      </c>
      <c r="E41" s="161"/>
      <c r="F41" s="160">
        <v>13</v>
      </c>
      <c r="G41" s="162">
        <v>76.92</v>
      </c>
      <c r="H41" s="162">
        <v>76.92</v>
      </c>
    </row>
    <row r="42" spans="1:8" x14ac:dyDescent="0.25">
      <c r="A42" s="159" t="s">
        <v>32</v>
      </c>
      <c r="B42" s="160">
        <v>3</v>
      </c>
      <c r="C42" s="160">
        <v>4</v>
      </c>
      <c r="D42" s="161"/>
      <c r="E42" s="161"/>
      <c r="F42" s="160">
        <v>7</v>
      </c>
      <c r="G42" s="162">
        <v>42.86</v>
      </c>
      <c r="H42" s="162">
        <v>42.86</v>
      </c>
    </row>
    <row r="43" spans="1:8" x14ac:dyDescent="0.25">
      <c r="A43" s="159" t="s">
        <v>186</v>
      </c>
      <c r="B43" s="160">
        <v>11</v>
      </c>
      <c r="C43" s="160">
        <v>3</v>
      </c>
      <c r="D43" s="161"/>
      <c r="E43" s="160">
        <v>2</v>
      </c>
      <c r="F43" s="160">
        <v>16</v>
      </c>
      <c r="G43" s="162">
        <v>78.569999999999993</v>
      </c>
      <c r="H43" s="162">
        <v>68.75</v>
      </c>
    </row>
    <row r="44" spans="1:8" x14ac:dyDescent="0.25">
      <c r="A44" s="159" t="s">
        <v>187</v>
      </c>
      <c r="B44" s="160">
        <v>5</v>
      </c>
      <c r="C44" s="160">
        <v>8</v>
      </c>
      <c r="D44" s="161"/>
      <c r="E44" s="161"/>
      <c r="F44" s="160">
        <v>13</v>
      </c>
      <c r="G44" s="162">
        <v>38.46</v>
      </c>
      <c r="H44" s="162">
        <v>38.46</v>
      </c>
    </row>
    <row r="45" spans="1:8" x14ac:dyDescent="0.25">
      <c r="A45" s="159" t="s">
        <v>188</v>
      </c>
      <c r="B45" s="160">
        <v>1</v>
      </c>
      <c r="C45" s="161"/>
      <c r="D45" s="161"/>
      <c r="E45" s="161"/>
      <c r="F45" s="160">
        <v>1</v>
      </c>
      <c r="G45" s="162">
        <v>100</v>
      </c>
      <c r="H45" s="162">
        <v>100</v>
      </c>
    </row>
    <row r="46" spans="1:8" x14ac:dyDescent="0.25">
      <c r="A46" s="159" t="s">
        <v>189</v>
      </c>
      <c r="B46" s="160">
        <v>5</v>
      </c>
      <c r="C46" s="160">
        <v>1</v>
      </c>
      <c r="D46" s="161"/>
      <c r="E46" s="160">
        <v>1</v>
      </c>
      <c r="F46" s="160">
        <v>7</v>
      </c>
      <c r="G46" s="162">
        <v>83.33</v>
      </c>
      <c r="H46" s="162">
        <v>71.430000000000007</v>
      </c>
    </row>
    <row r="47" spans="1:8" x14ac:dyDescent="0.25">
      <c r="A47" s="159" t="s">
        <v>190</v>
      </c>
      <c r="B47" s="160">
        <v>2</v>
      </c>
      <c r="C47" s="161"/>
      <c r="D47" s="161"/>
      <c r="E47" s="161"/>
      <c r="F47" s="160">
        <v>2</v>
      </c>
      <c r="G47" s="162">
        <v>100</v>
      </c>
      <c r="H47" s="162">
        <v>100</v>
      </c>
    </row>
    <row r="48" spans="1:8" x14ac:dyDescent="0.25">
      <c r="A48" s="159" t="s">
        <v>33</v>
      </c>
      <c r="B48" s="160">
        <v>10</v>
      </c>
      <c r="C48" s="160">
        <v>5</v>
      </c>
      <c r="D48" s="161"/>
      <c r="E48" s="161"/>
      <c r="F48" s="160">
        <v>15</v>
      </c>
      <c r="G48" s="162">
        <v>66.67</v>
      </c>
      <c r="H48" s="162">
        <v>66.67</v>
      </c>
    </row>
    <row r="49" spans="1:8" x14ac:dyDescent="0.25">
      <c r="A49" s="159" t="s">
        <v>34</v>
      </c>
      <c r="B49" s="160">
        <v>42</v>
      </c>
      <c r="C49" s="160">
        <v>19</v>
      </c>
      <c r="D49" s="161"/>
      <c r="E49" s="161"/>
      <c r="F49" s="160">
        <v>61</v>
      </c>
      <c r="G49" s="162">
        <v>68.849999999999994</v>
      </c>
      <c r="H49" s="162">
        <v>68.849999999999994</v>
      </c>
    </row>
    <row r="50" spans="1:8" x14ac:dyDescent="0.25">
      <c r="A50" s="159" t="s">
        <v>35</v>
      </c>
      <c r="B50" s="160">
        <v>54</v>
      </c>
      <c r="C50" s="160">
        <v>34</v>
      </c>
      <c r="D50" s="161"/>
      <c r="E50" s="161"/>
      <c r="F50" s="160">
        <v>88</v>
      </c>
      <c r="G50" s="162">
        <v>61.36</v>
      </c>
      <c r="H50" s="162">
        <v>61.36</v>
      </c>
    </row>
    <row r="51" spans="1:8" x14ac:dyDescent="0.25">
      <c r="A51" s="159" t="s">
        <v>212</v>
      </c>
      <c r="B51" s="160">
        <v>1</v>
      </c>
      <c r="C51" s="160">
        <v>1</v>
      </c>
      <c r="D51" s="161"/>
      <c r="E51" s="161"/>
      <c r="F51" s="160">
        <v>2</v>
      </c>
      <c r="G51" s="162">
        <v>50</v>
      </c>
      <c r="H51" s="162">
        <v>50</v>
      </c>
    </row>
    <row r="52" spans="1:8" x14ac:dyDescent="0.25">
      <c r="A52" s="159" t="s">
        <v>176</v>
      </c>
      <c r="B52" s="160">
        <v>4</v>
      </c>
      <c r="C52" s="161"/>
      <c r="D52" s="161"/>
      <c r="E52" s="161"/>
      <c r="F52" s="160">
        <v>4</v>
      </c>
      <c r="G52" s="162">
        <v>100</v>
      </c>
      <c r="H52" s="162">
        <v>100</v>
      </c>
    </row>
    <row r="53" spans="1:8" x14ac:dyDescent="0.25">
      <c r="A53" s="159" t="s">
        <v>36</v>
      </c>
      <c r="B53" s="160">
        <v>2</v>
      </c>
      <c r="C53" s="161"/>
      <c r="D53" s="161"/>
      <c r="E53" s="161"/>
      <c r="F53" s="160">
        <v>2</v>
      </c>
      <c r="G53" s="162">
        <v>100</v>
      </c>
      <c r="H53" s="162">
        <v>100</v>
      </c>
    </row>
    <row r="54" spans="1:8" x14ac:dyDescent="0.25">
      <c r="A54" s="159" t="s">
        <v>37</v>
      </c>
      <c r="B54" s="160">
        <v>29</v>
      </c>
      <c r="C54" s="160">
        <v>5</v>
      </c>
      <c r="D54" s="160">
        <v>2</v>
      </c>
      <c r="E54" s="160">
        <v>1</v>
      </c>
      <c r="F54" s="160">
        <v>37</v>
      </c>
      <c r="G54" s="162">
        <v>80.56</v>
      </c>
      <c r="H54" s="162">
        <v>78.38</v>
      </c>
    </row>
    <row r="55" spans="1:8" x14ac:dyDescent="0.25">
      <c r="A55" s="159" t="s">
        <v>38</v>
      </c>
      <c r="B55" s="160">
        <v>21</v>
      </c>
      <c r="C55" s="160">
        <v>6</v>
      </c>
      <c r="D55" s="161"/>
      <c r="E55" s="161"/>
      <c r="F55" s="160">
        <v>27</v>
      </c>
      <c r="G55" s="162">
        <v>77.78</v>
      </c>
      <c r="H55" s="162">
        <v>77.78</v>
      </c>
    </row>
    <row r="56" spans="1:8" x14ac:dyDescent="0.25">
      <c r="A56" s="159" t="s">
        <v>39</v>
      </c>
      <c r="B56" s="160">
        <v>3</v>
      </c>
      <c r="C56" s="160">
        <v>4</v>
      </c>
      <c r="D56" s="161"/>
      <c r="E56" s="161"/>
      <c r="F56" s="160">
        <v>7</v>
      </c>
      <c r="G56" s="162">
        <v>42.86</v>
      </c>
      <c r="H56" s="162">
        <v>42.86</v>
      </c>
    </row>
    <row r="57" spans="1:8" x14ac:dyDescent="0.25">
      <c r="A57" s="159" t="s">
        <v>40</v>
      </c>
      <c r="B57" s="160">
        <v>29</v>
      </c>
      <c r="C57" s="160">
        <v>7</v>
      </c>
      <c r="D57" s="161"/>
      <c r="E57" s="161"/>
      <c r="F57" s="160">
        <v>36</v>
      </c>
      <c r="G57" s="162">
        <v>80.56</v>
      </c>
      <c r="H57" s="162">
        <v>80.56</v>
      </c>
    </row>
    <row r="58" spans="1:8" x14ac:dyDescent="0.25">
      <c r="A58" s="159" t="s">
        <v>41</v>
      </c>
      <c r="B58" s="160">
        <v>1</v>
      </c>
      <c r="C58" s="161"/>
      <c r="D58" s="161"/>
      <c r="E58" s="161"/>
      <c r="F58" s="160">
        <v>1</v>
      </c>
      <c r="G58" s="162">
        <v>100</v>
      </c>
      <c r="H58" s="162">
        <v>100</v>
      </c>
    </row>
    <row r="59" spans="1:8" x14ac:dyDescent="0.25">
      <c r="A59" s="159" t="s">
        <v>215</v>
      </c>
      <c r="B59" s="160">
        <v>1</v>
      </c>
      <c r="C59" s="160">
        <v>3</v>
      </c>
      <c r="D59" s="160">
        <v>1</v>
      </c>
      <c r="E59" s="161"/>
      <c r="F59" s="160">
        <v>5</v>
      </c>
      <c r="G59" s="162">
        <v>20</v>
      </c>
      <c r="H59" s="162">
        <v>20</v>
      </c>
    </row>
    <row r="60" spans="1:8" x14ac:dyDescent="0.25">
      <c r="A60" s="159" t="s">
        <v>216</v>
      </c>
      <c r="B60" s="160">
        <v>3</v>
      </c>
      <c r="C60" s="160">
        <v>1</v>
      </c>
      <c r="D60" s="161"/>
      <c r="E60" s="160">
        <v>1</v>
      </c>
      <c r="F60" s="160">
        <v>5</v>
      </c>
      <c r="G60" s="162">
        <v>75</v>
      </c>
      <c r="H60" s="162">
        <v>60</v>
      </c>
    </row>
    <row r="61" spans="1:8" x14ac:dyDescent="0.25">
      <c r="A61" s="159" t="s">
        <v>217</v>
      </c>
      <c r="B61" s="160">
        <v>0</v>
      </c>
      <c r="C61" s="161"/>
      <c r="D61" s="161"/>
      <c r="E61" s="160">
        <v>1</v>
      </c>
      <c r="F61" s="160">
        <v>1</v>
      </c>
      <c r="G61" s="161"/>
      <c r="H61" s="162">
        <v>0</v>
      </c>
    </row>
    <row r="62" spans="1:8" x14ac:dyDescent="0.25">
      <c r="A62" s="159" t="s">
        <v>218</v>
      </c>
      <c r="B62" s="160">
        <v>0</v>
      </c>
      <c r="C62" s="160">
        <v>2</v>
      </c>
      <c r="D62" s="161"/>
      <c r="E62" s="161"/>
      <c r="F62" s="160">
        <v>2</v>
      </c>
      <c r="G62" s="161"/>
      <c r="H62" s="162">
        <v>0</v>
      </c>
    </row>
    <row r="63" spans="1:8" x14ac:dyDescent="0.25">
      <c r="A63" s="159" t="s">
        <v>219</v>
      </c>
      <c r="B63" s="160">
        <v>1</v>
      </c>
      <c r="C63" s="161"/>
      <c r="D63" s="161"/>
      <c r="E63" s="161"/>
      <c r="F63" s="160">
        <v>1</v>
      </c>
      <c r="G63" s="162">
        <v>100</v>
      </c>
      <c r="H63" s="162">
        <v>100</v>
      </c>
    </row>
    <row r="64" spans="1:8" x14ac:dyDescent="0.25">
      <c r="A64" s="159" t="s">
        <v>42</v>
      </c>
      <c r="B64" s="160">
        <v>4</v>
      </c>
      <c r="C64" s="160">
        <v>3</v>
      </c>
      <c r="D64" s="161"/>
      <c r="E64" s="160">
        <v>1</v>
      </c>
      <c r="F64" s="160">
        <v>8</v>
      </c>
      <c r="G64" s="162">
        <v>57.14</v>
      </c>
      <c r="H64" s="162">
        <v>50</v>
      </c>
    </row>
    <row r="65" spans="1:8" x14ac:dyDescent="0.25">
      <c r="A65" s="159" t="s">
        <v>43</v>
      </c>
      <c r="B65" s="160">
        <v>10</v>
      </c>
      <c r="C65" s="160">
        <v>4</v>
      </c>
      <c r="D65" s="161"/>
      <c r="E65" s="160">
        <v>2</v>
      </c>
      <c r="F65" s="160">
        <v>16</v>
      </c>
      <c r="G65" s="162">
        <v>71.430000000000007</v>
      </c>
      <c r="H65" s="162">
        <v>62.5</v>
      </c>
    </row>
    <row r="66" spans="1:8" x14ac:dyDescent="0.25">
      <c r="A66" s="159" t="s">
        <v>44</v>
      </c>
      <c r="B66" s="160">
        <v>17</v>
      </c>
      <c r="C66" s="160">
        <v>7</v>
      </c>
      <c r="D66" s="161"/>
      <c r="E66" s="161"/>
      <c r="F66" s="160">
        <v>24</v>
      </c>
      <c r="G66" s="162">
        <v>70.83</v>
      </c>
      <c r="H66" s="162">
        <v>70.83</v>
      </c>
    </row>
    <row r="67" spans="1:8" x14ac:dyDescent="0.25">
      <c r="A67" s="159" t="s">
        <v>45</v>
      </c>
      <c r="B67" s="160">
        <v>7</v>
      </c>
      <c r="C67" s="160">
        <v>2</v>
      </c>
      <c r="D67" s="161"/>
      <c r="E67" s="161"/>
      <c r="F67" s="160">
        <v>9</v>
      </c>
      <c r="G67" s="162">
        <v>77.78</v>
      </c>
      <c r="H67" s="162">
        <v>77.78</v>
      </c>
    </row>
    <row r="68" spans="1:8" x14ac:dyDescent="0.25">
      <c r="A68" s="159" t="s">
        <v>133</v>
      </c>
      <c r="B68" s="160">
        <v>16</v>
      </c>
      <c r="C68" s="160">
        <v>15</v>
      </c>
      <c r="D68" s="161"/>
      <c r="E68" s="161"/>
      <c r="F68" s="160">
        <v>31</v>
      </c>
      <c r="G68" s="162">
        <v>51.61</v>
      </c>
      <c r="H68" s="162">
        <v>51.61</v>
      </c>
    </row>
    <row r="69" spans="1:8" x14ac:dyDescent="0.25">
      <c r="A69" s="159" t="s">
        <v>46</v>
      </c>
      <c r="B69" s="160">
        <v>1</v>
      </c>
      <c r="C69" s="160">
        <v>1</v>
      </c>
      <c r="D69" s="161"/>
      <c r="E69" s="161"/>
      <c r="F69" s="160">
        <v>2</v>
      </c>
      <c r="G69" s="162">
        <v>50</v>
      </c>
      <c r="H69" s="162">
        <v>50</v>
      </c>
    </row>
    <row r="70" spans="1:8" x14ac:dyDescent="0.25">
      <c r="A70" s="159" t="s">
        <v>47</v>
      </c>
      <c r="B70" s="160">
        <v>82</v>
      </c>
      <c r="C70" s="160">
        <v>70</v>
      </c>
      <c r="D70" s="160">
        <v>2</v>
      </c>
      <c r="E70" s="161"/>
      <c r="F70" s="160">
        <v>154</v>
      </c>
      <c r="G70" s="162">
        <v>53.25</v>
      </c>
      <c r="H70" s="162">
        <v>53.25</v>
      </c>
    </row>
    <row r="71" spans="1:8" x14ac:dyDescent="0.25">
      <c r="A71" s="159" t="s">
        <v>48</v>
      </c>
      <c r="B71" s="160">
        <v>6</v>
      </c>
      <c r="C71" s="160">
        <v>5</v>
      </c>
      <c r="D71" s="161"/>
      <c r="E71" s="161"/>
      <c r="F71" s="160">
        <v>11</v>
      </c>
      <c r="G71" s="162">
        <v>54.55</v>
      </c>
      <c r="H71" s="162">
        <v>54.55</v>
      </c>
    </row>
    <row r="72" spans="1:8" x14ac:dyDescent="0.25">
      <c r="A72" s="159" t="s">
        <v>49</v>
      </c>
      <c r="B72" s="160">
        <v>22</v>
      </c>
      <c r="C72" s="160">
        <v>11</v>
      </c>
      <c r="D72" s="160">
        <v>1</v>
      </c>
      <c r="E72" s="161"/>
      <c r="F72" s="160">
        <v>34</v>
      </c>
      <c r="G72" s="162">
        <v>64.709999999999994</v>
      </c>
      <c r="H72" s="162">
        <v>64.709999999999994</v>
      </c>
    </row>
    <row r="73" spans="1:8" x14ac:dyDescent="0.25">
      <c r="A73" s="159" t="s">
        <v>50</v>
      </c>
      <c r="B73" s="160">
        <v>0</v>
      </c>
      <c r="C73" s="160">
        <v>1</v>
      </c>
      <c r="D73" s="161"/>
      <c r="E73" s="161"/>
      <c r="F73" s="160">
        <v>1</v>
      </c>
      <c r="G73" s="161"/>
      <c r="H73" s="162">
        <v>0</v>
      </c>
    </row>
    <row r="74" spans="1:8" x14ac:dyDescent="0.25">
      <c r="A74" s="159" t="s">
        <v>220</v>
      </c>
      <c r="B74" s="160">
        <v>0</v>
      </c>
      <c r="C74" s="160">
        <v>6</v>
      </c>
      <c r="D74" s="161"/>
      <c r="E74" s="161"/>
      <c r="F74" s="160">
        <v>6</v>
      </c>
      <c r="G74" s="161"/>
      <c r="H74" s="162">
        <v>0</v>
      </c>
    </row>
    <row r="75" spans="1:8" x14ac:dyDescent="0.25">
      <c r="A75" s="159" t="s">
        <v>221</v>
      </c>
      <c r="B75" s="160">
        <v>0</v>
      </c>
      <c r="C75" s="160">
        <v>1</v>
      </c>
      <c r="D75" s="161"/>
      <c r="E75" s="161"/>
      <c r="F75" s="160">
        <v>1</v>
      </c>
      <c r="G75" s="161"/>
      <c r="H75" s="162">
        <v>0</v>
      </c>
    </row>
    <row r="76" spans="1:8" x14ac:dyDescent="0.25">
      <c r="A76" s="159" t="s">
        <v>51</v>
      </c>
      <c r="B76" s="160">
        <v>5</v>
      </c>
      <c r="C76" s="160">
        <v>10</v>
      </c>
      <c r="D76" s="160">
        <v>1</v>
      </c>
      <c r="E76" s="161"/>
      <c r="F76" s="160">
        <v>16</v>
      </c>
      <c r="G76" s="162">
        <v>31.25</v>
      </c>
      <c r="H76" s="162">
        <v>31.25</v>
      </c>
    </row>
    <row r="77" spans="1:8" x14ac:dyDescent="0.25">
      <c r="A77" s="159" t="s">
        <v>52</v>
      </c>
      <c r="B77" s="160">
        <v>6</v>
      </c>
      <c r="C77" s="160">
        <v>3</v>
      </c>
      <c r="D77" s="161"/>
      <c r="E77" s="161"/>
      <c r="F77" s="160">
        <v>9</v>
      </c>
      <c r="G77" s="162">
        <v>66.67</v>
      </c>
      <c r="H77" s="162">
        <v>66.67</v>
      </c>
    </row>
    <row r="78" spans="1:8" x14ac:dyDescent="0.25">
      <c r="A78" s="159" t="s">
        <v>53</v>
      </c>
      <c r="B78" s="160">
        <v>41</v>
      </c>
      <c r="C78" s="160">
        <v>30</v>
      </c>
      <c r="D78" s="161"/>
      <c r="E78" s="160">
        <v>2</v>
      </c>
      <c r="F78" s="160">
        <v>73</v>
      </c>
      <c r="G78" s="162">
        <v>57.75</v>
      </c>
      <c r="H78" s="162">
        <v>56.16</v>
      </c>
    </row>
    <row r="79" spans="1:8" x14ac:dyDescent="0.25">
      <c r="A79" s="159" t="s">
        <v>54</v>
      </c>
      <c r="B79" s="160">
        <v>5</v>
      </c>
      <c r="C79" s="160">
        <v>7</v>
      </c>
      <c r="D79" s="161"/>
      <c r="E79" s="161"/>
      <c r="F79" s="160">
        <v>12</v>
      </c>
      <c r="G79" s="162">
        <v>41.67</v>
      </c>
      <c r="H79" s="162">
        <v>41.67</v>
      </c>
    </row>
    <row r="80" spans="1:8" x14ac:dyDescent="0.25">
      <c r="A80" s="159" t="s">
        <v>55</v>
      </c>
      <c r="B80" s="160">
        <v>83</v>
      </c>
      <c r="C80" s="160">
        <v>41</v>
      </c>
      <c r="D80" s="160">
        <v>1</v>
      </c>
      <c r="E80" s="160">
        <v>1</v>
      </c>
      <c r="F80" s="160">
        <v>126</v>
      </c>
      <c r="G80" s="162">
        <v>66.400000000000006</v>
      </c>
      <c r="H80" s="162">
        <v>65.87</v>
      </c>
    </row>
    <row r="81" spans="1:8" x14ac:dyDescent="0.25">
      <c r="A81" s="159" t="s">
        <v>122</v>
      </c>
      <c r="B81" s="160">
        <v>29</v>
      </c>
      <c r="C81" s="160">
        <v>7</v>
      </c>
      <c r="D81" s="161"/>
      <c r="E81" s="161"/>
      <c r="F81" s="160">
        <v>36</v>
      </c>
      <c r="G81" s="162">
        <v>80.56</v>
      </c>
      <c r="H81" s="162">
        <v>80.56</v>
      </c>
    </row>
    <row r="82" spans="1:8" x14ac:dyDescent="0.25">
      <c r="A82" s="159" t="s">
        <v>123</v>
      </c>
      <c r="B82" s="160">
        <v>15</v>
      </c>
      <c r="C82" s="160">
        <v>8</v>
      </c>
      <c r="D82" s="161"/>
      <c r="E82" s="161"/>
      <c r="F82" s="160">
        <v>23</v>
      </c>
      <c r="G82" s="162">
        <v>65.22</v>
      </c>
      <c r="H82" s="162">
        <v>65.22</v>
      </c>
    </row>
    <row r="83" spans="1:8" x14ac:dyDescent="0.25">
      <c r="A83" s="159" t="s">
        <v>56</v>
      </c>
      <c r="B83" s="160">
        <v>107</v>
      </c>
      <c r="C83" s="160">
        <v>47</v>
      </c>
      <c r="D83" s="160">
        <v>2</v>
      </c>
      <c r="E83" s="160">
        <v>2</v>
      </c>
      <c r="F83" s="160">
        <v>158</v>
      </c>
      <c r="G83" s="162">
        <v>68.59</v>
      </c>
      <c r="H83" s="162">
        <v>67.72</v>
      </c>
    </row>
    <row r="84" spans="1:8" x14ac:dyDescent="0.25">
      <c r="A84" s="159" t="s">
        <v>57</v>
      </c>
      <c r="B84" s="160">
        <v>100</v>
      </c>
      <c r="C84" s="160">
        <v>40</v>
      </c>
      <c r="D84" s="161"/>
      <c r="E84" s="160">
        <v>4</v>
      </c>
      <c r="F84" s="160">
        <v>144</v>
      </c>
      <c r="G84" s="162">
        <v>71.430000000000007</v>
      </c>
      <c r="H84" s="162">
        <v>69.44</v>
      </c>
    </row>
    <row r="85" spans="1:8" x14ac:dyDescent="0.25">
      <c r="A85" s="159" t="s">
        <v>58</v>
      </c>
      <c r="B85" s="160">
        <v>4</v>
      </c>
      <c r="C85" s="160">
        <v>4</v>
      </c>
      <c r="D85" s="161"/>
      <c r="E85" s="161"/>
      <c r="F85" s="160">
        <v>8</v>
      </c>
      <c r="G85" s="162">
        <v>50</v>
      </c>
      <c r="H85" s="162">
        <v>50</v>
      </c>
    </row>
    <row r="86" spans="1:8" x14ac:dyDescent="0.25">
      <c r="A86" s="159" t="s">
        <v>59</v>
      </c>
      <c r="B86" s="160">
        <v>45</v>
      </c>
      <c r="C86" s="160">
        <v>15</v>
      </c>
      <c r="D86" s="161"/>
      <c r="E86" s="160">
        <v>1</v>
      </c>
      <c r="F86" s="160">
        <v>61</v>
      </c>
      <c r="G86" s="162">
        <v>75</v>
      </c>
      <c r="H86" s="162">
        <v>73.77</v>
      </c>
    </row>
    <row r="87" spans="1:8" x14ac:dyDescent="0.25">
      <c r="A87" s="159" t="s">
        <v>60</v>
      </c>
      <c r="B87" s="160">
        <v>14</v>
      </c>
      <c r="C87" s="160">
        <v>4</v>
      </c>
      <c r="D87" s="161"/>
      <c r="E87" s="161"/>
      <c r="F87" s="160">
        <v>18</v>
      </c>
      <c r="G87" s="162">
        <v>77.78</v>
      </c>
      <c r="H87" s="162">
        <v>77.78</v>
      </c>
    </row>
    <row r="88" spans="1:8" x14ac:dyDescent="0.25">
      <c r="A88" s="159" t="s">
        <v>191</v>
      </c>
      <c r="B88" s="160">
        <v>64</v>
      </c>
      <c r="C88" s="160">
        <v>37</v>
      </c>
      <c r="D88" s="161"/>
      <c r="E88" s="160">
        <v>1</v>
      </c>
      <c r="F88" s="160">
        <v>102</v>
      </c>
      <c r="G88" s="162">
        <v>63.37</v>
      </c>
      <c r="H88" s="162">
        <v>62.75</v>
      </c>
    </row>
    <row r="89" spans="1:8" x14ac:dyDescent="0.25">
      <c r="A89" s="159" t="s">
        <v>61</v>
      </c>
      <c r="B89" s="160">
        <v>33</v>
      </c>
      <c r="C89" s="160">
        <v>27</v>
      </c>
      <c r="D89" s="161"/>
      <c r="E89" s="160">
        <v>1</v>
      </c>
      <c r="F89" s="160">
        <v>61</v>
      </c>
      <c r="G89" s="162">
        <v>55</v>
      </c>
      <c r="H89" s="162">
        <v>54.1</v>
      </c>
    </row>
    <row r="90" spans="1:8" x14ac:dyDescent="0.25">
      <c r="A90" s="159" t="s">
        <v>62</v>
      </c>
      <c r="B90" s="160">
        <v>45</v>
      </c>
      <c r="C90" s="160">
        <v>31</v>
      </c>
      <c r="D90" s="160">
        <v>1</v>
      </c>
      <c r="E90" s="161"/>
      <c r="F90" s="160">
        <v>77</v>
      </c>
      <c r="G90" s="162">
        <v>58.44</v>
      </c>
      <c r="H90" s="162">
        <v>58.44</v>
      </c>
    </row>
    <row r="91" spans="1:8" x14ac:dyDescent="0.25">
      <c r="A91" s="159" t="s">
        <v>63</v>
      </c>
      <c r="B91" s="160">
        <v>33</v>
      </c>
      <c r="C91" s="160">
        <v>19</v>
      </c>
      <c r="D91" s="160">
        <v>1</v>
      </c>
      <c r="E91" s="161"/>
      <c r="F91" s="160">
        <v>53</v>
      </c>
      <c r="G91" s="162">
        <v>62.26</v>
      </c>
      <c r="H91" s="162">
        <v>62.26</v>
      </c>
    </row>
    <row r="92" spans="1:8" x14ac:dyDescent="0.25">
      <c r="A92" s="159" t="s">
        <v>64</v>
      </c>
      <c r="B92" s="160">
        <v>37</v>
      </c>
      <c r="C92" s="160">
        <v>28</v>
      </c>
      <c r="D92" s="161"/>
      <c r="E92" s="161"/>
      <c r="F92" s="160">
        <v>65</v>
      </c>
      <c r="G92" s="162">
        <v>56.92</v>
      </c>
      <c r="H92" s="162">
        <v>56.92</v>
      </c>
    </row>
    <row r="93" spans="1:8" x14ac:dyDescent="0.25">
      <c r="A93" s="159" t="s">
        <v>192</v>
      </c>
      <c r="B93" s="160">
        <v>16</v>
      </c>
      <c r="C93" s="160">
        <v>7</v>
      </c>
      <c r="D93" s="161"/>
      <c r="E93" s="161"/>
      <c r="F93" s="160">
        <v>23</v>
      </c>
      <c r="G93" s="162">
        <v>69.569999999999993</v>
      </c>
      <c r="H93" s="162">
        <v>69.569999999999993</v>
      </c>
    </row>
    <row r="94" spans="1:8" x14ac:dyDescent="0.25">
      <c r="A94" s="159" t="s">
        <v>65</v>
      </c>
      <c r="B94" s="160">
        <v>51</v>
      </c>
      <c r="C94" s="160">
        <v>20</v>
      </c>
      <c r="D94" s="160">
        <v>1</v>
      </c>
      <c r="E94" s="161"/>
      <c r="F94" s="160">
        <v>72</v>
      </c>
      <c r="G94" s="162">
        <v>70.83</v>
      </c>
      <c r="H94" s="162">
        <v>70.83</v>
      </c>
    </row>
    <row r="95" spans="1:8" x14ac:dyDescent="0.25">
      <c r="A95" s="159" t="s">
        <v>66</v>
      </c>
      <c r="B95" s="160">
        <v>112</v>
      </c>
      <c r="C95" s="160">
        <v>52</v>
      </c>
      <c r="D95" s="160">
        <v>3</v>
      </c>
      <c r="E95" s="160">
        <v>3</v>
      </c>
      <c r="F95" s="160">
        <v>170</v>
      </c>
      <c r="G95" s="162">
        <v>67.069999999999993</v>
      </c>
      <c r="H95" s="162">
        <v>65.88</v>
      </c>
    </row>
    <row r="96" spans="1:8" x14ac:dyDescent="0.25">
      <c r="A96" s="159" t="s">
        <v>67</v>
      </c>
      <c r="B96" s="160">
        <v>21</v>
      </c>
      <c r="C96" s="160">
        <v>6</v>
      </c>
      <c r="D96" s="161"/>
      <c r="E96" s="161"/>
      <c r="F96" s="160">
        <v>27</v>
      </c>
      <c r="G96" s="162">
        <v>77.78</v>
      </c>
      <c r="H96" s="162">
        <v>77.78</v>
      </c>
    </row>
    <row r="97" spans="1:8" x14ac:dyDescent="0.25">
      <c r="A97" s="159" t="s">
        <v>68</v>
      </c>
      <c r="B97" s="160">
        <v>58</v>
      </c>
      <c r="C97" s="160">
        <v>8</v>
      </c>
      <c r="D97" s="160">
        <v>2</v>
      </c>
      <c r="E97" s="161"/>
      <c r="F97" s="160">
        <v>68</v>
      </c>
      <c r="G97" s="162">
        <v>85.29</v>
      </c>
      <c r="H97" s="162">
        <v>85.29</v>
      </c>
    </row>
    <row r="98" spans="1:8" x14ac:dyDescent="0.25">
      <c r="A98" s="159" t="s">
        <v>69</v>
      </c>
      <c r="B98" s="160">
        <v>109</v>
      </c>
      <c r="C98" s="160">
        <v>28</v>
      </c>
      <c r="D98" s="160">
        <v>1</v>
      </c>
      <c r="E98" s="161"/>
      <c r="F98" s="160">
        <v>138</v>
      </c>
      <c r="G98" s="162">
        <v>78.989999999999995</v>
      </c>
      <c r="H98" s="162">
        <v>78.989999999999995</v>
      </c>
    </row>
    <row r="99" spans="1:8" x14ac:dyDescent="0.25">
      <c r="A99" s="159" t="s">
        <v>70</v>
      </c>
      <c r="B99" s="160">
        <v>76</v>
      </c>
      <c r="C99" s="160">
        <v>43</v>
      </c>
      <c r="D99" s="161"/>
      <c r="E99" s="161"/>
      <c r="F99" s="160">
        <v>119</v>
      </c>
      <c r="G99" s="162">
        <v>63.87</v>
      </c>
      <c r="H99" s="162">
        <v>63.87</v>
      </c>
    </row>
    <row r="100" spans="1:8" x14ac:dyDescent="0.25">
      <c r="A100" s="159" t="s">
        <v>71</v>
      </c>
      <c r="B100" s="160">
        <v>49</v>
      </c>
      <c r="C100" s="160">
        <v>18</v>
      </c>
      <c r="D100" s="160">
        <v>1</v>
      </c>
      <c r="E100" s="161"/>
      <c r="F100" s="160">
        <v>68</v>
      </c>
      <c r="G100" s="162">
        <v>72.06</v>
      </c>
      <c r="H100" s="162">
        <v>72.06</v>
      </c>
    </row>
    <row r="101" spans="1:8" x14ac:dyDescent="0.25">
      <c r="A101" s="159" t="s">
        <v>72</v>
      </c>
      <c r="B101" s="160">
        <v>79</v>
      </c>
      <c r="C101" s="160">
        <v>23</v>
      </c>
      <c r="D101" s="161"/>
      <c r="E101" s="160">
        <v>4</v>
      </c>
      <c r="F101" s="160">
        <v>106</v>
      </c>
      <c r="G101" s="162">
        <v>77.45</v>
      </c>
      <c r="H101" s="162">
        <v>74.53</v>
      </c>
    </row>
    <row r="102" spans="1:8" x14ac:dyDescent="0.25">
      <c r="A102" s="159" t="s">
        <v>73</v>
      </c>
      <c r="B102" s="160">
        <v>33</v>
      </c>
      <c r="C102" s="160">
        <v>15</v>
      </c>
      <c r="D102" s="161"/>
      <c r="E102" s="160">
        <v>1</v>
      </c>
      <c r="F102" s="160">
        <v>49</v>
      </c>
      <c r="G102" s="162">
        <v>68.75</v>
      </c>
      <c r="H102" s="162">
        <v>67.349999999999994</v>
      </c>
    </row>
    <row r="103" spans="1:8" x14ac:dyDescent="0.25">
      <c r="A103" s="159" t="s">
        <v>74</v>
      </c>
      <c r="B103" s="160">
        <v>29</v>
      </c>
      <c r="C103" s="160">
        <v>12</v>
      </c>
      <c r="D103" s="161"/>
      <c r="E103" s="160">
        <v>2</v>
      </c>
      <c r="F103" s="160">
        <v>43</v>
      </c>
      <c r="G103" s="162">
        <v>70.73</v>
      </c>
      <c r="H103" s="162">
        <v>67.44</v>
      </c>
    </row>
    <row r="104" spans="1:8" x14ac:dyDescent="0.25">
      <c r="A104" s="159" t="s">
        <v>75</v>
      </c>
      <c r="B104" s="160">
        <v>15</v>
      </c>
      <c r="C104" s="160">
        <v>28</v>
      </c>
      <c r="D104" s="161"/>
      <c r="E104" s="160">
        <v>3</v>
      </c>
      <c r="F104" s="160">
        <v>46</v>
      </c>
      <c r="G104" s="162">
        <v>34.880000000000003</v>
      </c>
      <c r="H104" s="162">
        <v>32.61</v>
      </c>
    </row>
    <row r="105" spans="1:8" x14ac:dyDescent="0.25">
      <c r="A105" s="159" t="s">
        <v>76</v>
      </c>
      <c r="B105" s="160">
        <v>0</v>
      </c>
      <c r="C105" s="160">
        <v>2</v>
      </c>
      <c r="D105" s="161"/>
      <c r="E105" s="161"/>
      <c r="F105" s="160">
        <v>2</v>
      </c>
      <c r="G105" s="161"/>
      <c r="H105" s="162">
        <v>0</v>
      </c>
    </row>
    <row r="106" spans="1:8" x14ac:dyDescent="0.25">
      <c r="A106" s="159" t="s">
        <v>193</v>
      </c>
      <c r="B106" s="160">
        <v>0</v>
      </c>
      <c r="C106" s="160">
        <v>3</v>
      </c>
      <c r="D106" s="161"/>
      <c r="E106" s="160">
        <v>2</v>
      </c>
      <c r="F106" s="160">
        <v>5</v>
      </c>
      <c r="G106" s="161"/>
      <c r="H106" s="162">
        <v>0</v>
      </c>
    </row>
    <row r="107" spans="1:8" x14ac:dyDescent="0.25">
      <c r="A107" s="159" t="s">
        <v>194</v>
      </c>
      <c r="B107" s="160">
        <v>2</v>
      </c>
      <c r="C107" s="160">
        <v>2</v>
      </c>
      <c r="D107" s="161"/>
      <c r="E107" s="161"/>
      <c r="F107" s="160">
        <v>4</v>
      </c>
      <c r="G107" s="162">
        <v>50</v>
      </c>
      <c r="H107" s="162">
        <v>50</v>
      </c>
    </row>
    <row r="108" spans="1:8" x14ac:dyDescent="0.25">
      <c r="A108" s="159" t="s">
        <v>77</v>
      </c>
      <c r="B108" s="160">
        <v>34</v>
      </c>
      <c r="C108" s="160">
        <v>14</v>
      </c>
      <c r="D108" s="161"/>
      <c r="E108" s="161"/>
      <c r="F108" s="160">
        <v>48</v>
      </c>
      <c r="G108" s="162">
        <v>70.83</v>
      </c>
      <c r="H108" s="162">
        <v>70.83</v>
      </c>
    </row>
    <row r="109" spans="1:8" x14ac:dyDescent="0.25">
      <c r="A109" s="159" t="s">
        <v>78</v>
      </c>
      <c r="B109" s="160">
        <v>26</v>
      </c>
      <c r="C109" s="160">
        <v>9</v>
      </c>
      <c r="D109" s="161"/>
      <c r="E109" s="161"/>
      <c r="F109" s="160">
        <v>35</v>
      </c>
      <c r="G109" s="162">
        <v>74.290000000000006</v>
      </c>
      <c r="H109" s="162">
        <v>74.290000000000006</v>
      </c>
    </row>
    <row r="110" spans="1:8" x14ac:dyDescent="0.25">
      <c r="A110" s="159" t="s">
        <v>79</v>
      </c>
      <c r="B110" s="160">
        <v>15</v>
      </c>
      <c r="C110" s="160">
        <v>3</v>
      </c>
      <c r="D110" s="161"/>
      <c r="E110" s="161"/>
      <c r="F110" s="160">
        <v>18</v>
      </c>
      <c r="G110" s="162">
        <v>83.33</v>
      </c>
      <c r="H110" s="162">
        <v>83.33</v>
      </c>
    </row>
    <row r="111" spans="1:8" x14ac:dyDescent="0.25">
      <c r="A111" s="159" t="s">
        <v>80</v>
      </c>
      <c r="B111" s="160">
        <v>31</v>
      </c>
      <c r="C111" s="160">
        <v>6</v>
      </c>
      <c r="D111" s="161"/>
      <c r="E111" s="161"/>
      <c r="F111" s="160">
        <v>37</v>
      </c>
      <c r="G111" s="162">
        <v>83.78</v>
      </c>
      <c r="H111" s="162">
        <v>83.78</v>
      </c>
    </row>
    <row r="112" spans="1:8" x14ac:dyDescent="0.25">
      <c r="A112" s="159" t="s">
        <v>222</v>
      </c>
      <c r="B112" s="160">
        <v>0</v>
      </c>
      <c r="C112" s="160">
        <v>1</v>
      </c>
      <c r="D112" s="161"/>
      <c r="E112" s="161"/>
      <c r="F112" s="160">
        <v>1</v>
      </c>
      <c r="G112" s="161"/>
      <c r="H112" s="162">
        <v>0</v>
      </c>
    </row>
    <row r="113" spans="1:8" x14ac:dyDescent="0.25">
      <c r="A113" s="159" t="s">
        <v>195</v>
      </c>
      <c r="B113" s="160">
        <v>2</v>
      </c>
      <c r="C113" s="161"/>
      <c r="D113" s="161"/>
      <c r="E113" s="161"/>
      <c r="F113" s="160">
        <v>2</v>
      </c>
      <c r="G113" s="162">
        <v>100</v>
      </c>
      <c r="H113" s="162">
        <v>100</v>
      </c>
    </row>
    <row r="114" spans="1:8" x14ac:dyDescent="0.25">
      <c r="A114" s="159" t="s">
        <v>196</v>
      </c>
      <c r="B114" s="160">
        <v>1</v>
      </c>
      <c r="C114" s="161"/>
      <c r="D114" s="161"/>
      <c r="E114" s="161"/>
      <c r="F114" s="160">
        <v>1</v>
      </c>
      <c r="G114" s="162">
        <v>100</v>
      </c>
      <c r="H114" s="162">
        <v>100</v>
      </c>
    </row>
    <row r="115" spans="1:8" x14ac:dyDescent="0.25">
      <c r="A115" s="159" t="s">
        <v>197</v>
      </c>
      <c r="B115" s="160">
        <v>1</v>
      </c>
      <c r="C115" s="160">
        <v>2</v>
      </c>
      <c r="D115" s="161"/>
      <c r="E115" s="161"/>
      <c r="F115" s="160">
        <v>3</v>
      </c>
      <c r="G115" s="162">
        <v>33.33</v>
      </c>
      <c r="H115" s="162">
        <v>33.33</v>
      </c>
    </row>
    <row r="116" spans="1:8" x14ac:dyDescent="0.25">
      <c r="A116" s="159" t="s">
        <v>198</v>
      </c>
      <c r="B116" s="160">
        <v>0</v>
      </c>
      <c r="C116" s="160">
        <v>2</v>
      </c>
      <c r="D116" s="161"/>
      <c r="E116" s="161"/>
      <c r="F116" s="160">
        <v>2</v>
      </c>
      <c r="G116" s="161"/>
      <c r="H116" s="162">
        <v>0</v>
      </c>
    </row>
    <row r="117" spans="1:8" x14ac:dyDescent="0.25">
      <c r="A117" s="159" t="s">
        <v>199</v>
      </c>
      <c r="B117" s="160">
        <v>2</v>
      </c>
      <c r="C117" s="161"/>
      <c r="D117" s="161"/>
      <c r="E117" s="161"/>
      <c r="F117" s="160">
        <v>2</v>
      </c>
      <c r="G117" s="162">
        <v>100</v>
      </c>
      <c r="H117" s="162">
        <v>100</v>
      </c>
    </row>
    <row r="118" spans="1:8" x14ac:dyDescent="0.25">
      <c r="A118" s="159" t="s">
        <v>200</v>
      </c>
      <c r="B118" s="160">
        <v>1</v>
      </c>
      <c r="C118" s="160">
        <v>1</v>
      </c>
      <c r="D118" s="161"/>
      <c r="E118" s="161"/>
      <c r="F118" s="160">
        <v>2</v>
      </c>
      <c r="G118" s="162">
        <v>50</v>
      </c>
      <c r="H118" s="162">
        <v>50</v>
      </c>
    </row>
    <row r="119" spans="1:8" x14ac:dyDescent="0.25">
      <c r="A119" s="159" t="s">
        <v>81</v>
      </c>
      <c r="B119" s="160">
        <v>10</v>
      </c>
      <c r="C119" s="161"/>
      <c r="D119" s="161"/>
      <c r="E119" s="161"/>
      <c r="F119" s="160">
        <v>10</v>
      </c>
      <c r="G119" s="162">
        <v>100</v>
      </c>
      <c r="H119" s="162">
        <v>100</v>
      </c>
    </row>
    <row r="120" spans="1:8" x14ac:dyDescent="0.25">
      <c r="A120" s="159" t="s">
        <v>134</v>
      </c>
      <c r="B120" s="160">
        <v>16</v>
      </c>
      <c r="C120" s="160">
        <v>7</v>
      </c>
      <c r="D120" s="161"/>
      <c r="E120" s="161"/>
      <c r="F120" s="160">
        <v>25</v>
      </c>
      <c r="G120" s="162">
        <v>69.569999999999993</v>
      </c>
      <c r="H120" s="162">
        <v>69.569999999999993</v>
      </c>
    </row>
    <row r="121" spans="1:8" x14ac:dyDescent="0.25">
      <c r="A121" s="159" t="s">
        <v>135</v>
      </c>
      <c r="B121" s="160">
        <v>0</v>
      </c>
      <c r="C121" s="160">
        <v>2</v>
      </c>
      <c r="D121" s="161"/>
      <c r="E121" s="161"/>
      <c r="F121" s="160">
        <v>2</v>
      </c>
      <c r="G121" s="161"/>
      <c r="H121" s="162">
        <v>0</v>
      </c>
    </row>
    <row r="122" spans="1:8" x14ac:dyDescent="0.25">
      <c r="A122" s="159" t="s">
        <v>136</v>
      </c>
      <c r="B122" s="160">
        <v>4</v>
      </c>
      <c r="C122" s="160">
        <v>4</v>
      </c>
      <c r="D122" s="161"/>
      <c r="E122" s="161"/>
      <c r="F122" s="160">
        <v>8</v>
      </c>
      <c r="G122" s="162">
        <v>50</v>
      </c>
      <c r="H122" s="162">
        <v>50</v>
      </c>
    </row>
    <row r="123" spans="1:8" x14ac:dyDescent="0.25">
      <c r="A123" s="159" t="s">
        <v>201</v>
      </c>
      <c r="B123" s="160">
        <v>6</v>
      </c>
      <c r="C123" s="160">
        <v>3</v>
      </c>
      <c r="D123" s="161"/>
      <c r="E123" s="161"/>
      <c r="F123" s="160">
        <v>9</v>
      </c>
      <c r="G123" s="162">
        <v>66.67</v>
      </c>
      <c r="H123" s="162">
        <v>66.67</v>
      </c>
    </row>
    <row r="124" spans="1:8" x14ac:dyDescent="0.25">
      <c r="A124" s="159" t="s">
        <v>202</v>
      </c>
      <c r="B124" s="160">
        <v>0</v>
      </c>
      <c r="C124" s="160">
        <v>1</v>
      </c>
      <c r="D124" s="161"/>
      <c r="E124" s="161"/>
      <c r="F124" s="160">
        <v>1</v>
      </c>
      <c r="G124" s="161"/>
      <c r="H124" s="162">
        <v>0</v>
      </c>
    </row>
    <row r="125" spans="1:8" x14ac:dyDescent="0.25">
      <c r="A125" s="159" t="s">
        <v>203</v>
      </c>
      <c r="B125" s="160">
        <v>1</v>
      </c>
      <c r="C125" s="161"/>
      <c r="D125" s="161"/>
      <c r="E125" s="161"/>
      <c r="F125" s="160">
        <v>1</v>
      </c>
      <c r="G125" s="162">
        <v>100</v>
      </c>
      <c r="H125" s="162">
        <v>100</v>
      </c>
    </row>
    <row r="126" spans="1:8" x14ac:dyDescent="0.25">
      <c r="A126" s="159" t="s">
        <v>82</v>
      </c>
      <c r="B126" s="160">
        <v>27</v>
      </c>
      <c r="C126" s="160">
        <v>18</v>
      </c>
      <c r="D126" s="160">
        <v>1</v>
      </c>
      <c r="E126" s="160">
        <v>1</v>
      </c>
      <c r="F126" s="160">
        <v>47</v>
      </c>
      <c r="G126" s="162">
        <v>58.7</v>
      </c>
      <c r="H126" s="162">
        <v>57.45</v>
      </c>
    </row>
    <row r="127" spans="1:8" x14ac:dyDescent="0.25">
      <c r="A127" s="159" t="s">
        <v>83</v>
      </c>
      <c r="B127" s="160">
        <v>15</v>
      </c>
      <c r="C127" s="160">
        <v>12</v>
      </c>
      <c r="D127" s="160">
        <v>1</v>
      </c>
      <c r="E127" s="161"/>
      <c r="F127" s="160">
        <v>28</v>
      </c>
      <c r="G127" s="162">
        <v>53.57</v>
      </c>
      <c r="H127" s="162">
        <v>53.57</v>
      </c>
    </row>
    <row r="128" spans="1:8" x14ac:dyDescent="0.25">
      <c r="A128" s="159" t="s">
        <v>84</v>
      </c>
      <c r="B128" s="160">
        <v>3</v>
      </c>
      <c r="C128" s="160">
        <v>3</v>
      </c>
      <c r="D128" s="161"/>
      <c r="E128" s="160">
        <v>1</v>
      </c>
      <c r="F128" s="160">
        <v>7</v>
      </c>
      <c r="G128" s="162">
        <v>50</v>
      </c>
      <c r="H128" s="162">
        <v>42.86</v>
      </c>
    </row>
    <row r="129" spans="1:8" x14ac:dyDescent="0.25">
      <c r="A129" s="159" t="s">
        <v>85</v>
      </c>
      <c r="B129" s="160">
        <v>0</v>
      </c>
      <c r="C129" s="160">
        <v>1</v>
      </c>
      <c r="D129" s="161"/>
      <c r="E129" s="161"/>
      <c r="F129" s="160">
        <v>1</v>
      </c>
      <c r="G129" s="161"/>
      <c r="H129" s="162">
        <v>0</v>
      </c>
    </row>
    <row r="130" spans="1:8" x14ac:dyDescent="0.25">
      <c r="A130" s="159" t="s">
        <v>86</v>
      </c>
      <c r="B130" s="160">
        <v>30</v>
      </c>
      <c r="C130" s="160">
        <v>41</v>
      </c>
      <c r="D130" s="160">
        <v>1</v>
      </c>
      <c r="E130" s="161"/>
      <c r="F130" s="160">
        <v>72</v>
      </c>
      <c r="G130" s="162">
        <v>41.67</v>
      </c>
      <c r="H130" s="162">
        <v>41.67</v>
      </c>
    </row>
    <row r="131" spans="1:8" x14ac:dyDescent="0.25">
      <c r="A131" s="159" t="s">
        <v>87</v>
      </c>
      <c r="B131" s="160">
        <v>9</v>
      </c>
      <c r="C131" s="160">
        <v>4</v>
      </c>
      <c r="D131" s="161"/>
      <c r="E131" s="161"/>
      <c r="F131" s="160">
        <v>13</v>
      </c>
      <c r="G131" s="162">
        <v>69.23</v>
      </c>
      <c r="H131" s="162">
        <v>69.23</v>
      </c>
    </row>
    <row r="132" spans="1:8" x14ac:dyDescent="0.25">
      <c r="A132" s="159" t="s">
        <v>88</v>
      </c>
      <c r="B132" s="160">
        <v>0</v>
      </c>
      <c r="C132" s="160">
        <v>4</v>
      </c>
      <c r="D132" s="161"/>
      <c r="E132" s="161"/>
      <c r="F132" s="160">
        <v>4</v>
      </c>
      <c r="G132" s="161"/>
      <c r="H132" s="162">
        <v>0</v>
      </c>
    </row>
    <row r="133" spans="1:8" x14ac:dyDescent="0.25">
      <c r="A133" s="159" t="s">
        <v>89</v>
      </c>
      <c r="B133" s="160">
        <v>18</v>
      </c>
      <c r="C133" s="160">
        <v>16</v>
      </c>
      <c r="D133" s="160">
        <v>2</v>
      </c>
      <c r="E133" s="161"/>
      <c r="F133" s="160">
        <v>36</v>
      </c>
      <c r="G133" s="162">
        <v>50</v>
      </c>
      <c r="H133" s="162">
        <v>50</v>
      </c>
    </row>
    <row r="134" spans="1:8" x14ac:dyDescent="0.25">
      <c r="A134" s="159" t="s">
        <v>90</v>
      </c>
      <c r="B134" s="160">
        <v>65</v>
      </c>
      <c r="C134" s="160">
        <v>12</v>
      </c>
      <c r="D134" s="161"/>
      <c r="E134" s="160">
        <v>1</v>
      </c>
      <c r="F134" s="160">
        <v>78</v>
      </c>
      <c r="G134" s="162">
        <v>84.42</v>
      </c>
      <c r="H134" s="162">
        <v>83.33</v>
      </c>
    </row>
    <row r="135" spans="1:8" x14ac:dyDescent="0.25">
      <c r="A135" s="159" t="s">
        <v>91</v>
      </c>
      <c r="B135" s="160">
        <v>8</v>
      </c>
      <c r="C135" s="160">
        <v>4</v>
      </c>
      <c r="D135" s="161"/>
      <c r="E135" s="160">
        <v>1</v>
      </c>
      <c r="F135" s="160">
        <v>13</v>
      </c>
      <c r="G135" s="162">
        <v>66.67</v>
      </c>
      <c r="H135" s="162">
        <v>61.54</v>
      </c>
    </row>
    <row r="136" spans="1:8" x14ac:dyDescent="0.25">
      <c r="A136" s="159" t="s">
        <v>92</v>
      </c>
      <c r="B136" s="160">
        <v>5</v>
      </c>
      <c r="C136" s="161"/>
      <c r="D136" s="161"/>
      <c r="E136" s="161"/>
      <c r="F136" s="160">
        <v>5</v>
      </c>
      <c r="G136" s="162">
        <v>100</v>
      </c>
      <c r="H136" s="162">
        <v>100</v>
      </c>
    </row>
    <row r="137" spans="1:8" x14ac:dyDescent="0.25">
      <c r="A137" s="159" t="s">
        <v>93</v>
      </c>
      <c r="B137" s="160">
        <v>48</v>
      </c>
      <c r="C137" s="160">
        <v>14</v>
      </c>
      <c r="D137" s="161"/>
      <c r="E137" s="161"/>
      <c r="F137" s="160">
        <v>62</v>
      </c>
      <c r="G137" s="162">
        <v>77.42</v>
      </c>
      <c r="H137" s="162">
        <v>77.42</v>
      </c>
    </row>
    <row r="138" spans="1:8" x14ac:dyDescent="0.25">
      <c r="A138" s="159" t="s">
        <v>94</v>
      </c>
      <c r="B138" s="160">
        <v>2</v>
      </c>
      <c r="C138" s="160">
        <v>1</v>
      </c>
      <c r="D138" s="161"/>
      <c r="E138" s="160">
        <v>3</v>
      </c>
      <c r="F138" s="160">
        <v>6</v>
      </c>
      <c r="G138" s="162">
        <v>66.67</v>
      </c>
      <c r="H138" s="162">
        <v>33.33</v>
      </c>
    </row>
    <row r="139" spans="1:8" x14ac:dyDescent="0.25">
      <c r="A139" s="159" t="s">
        <v>95</v>
      </c>
      <c r="B139" s="160">
        <v>2</v>
      </c>
      <c r="C139" s="160">
        <v>4</v>
      </c>
      <c r="D139" s="161"/>
      <c r="E139" s="160">
        <v>2</v>
      </c>
      <c r="F139" s="160">
        <v>8</v>
      </c>
      <c r="G139" s="162">
        <v>33.33</v>
      </c>
      <c r="H139" s="162">
        <v>25</v>
      </c>
    </row>
    <row r="140" spans="1:8" x14ac:dyDescent="0.25">
      <c r="A140" s="159" t="s">
        <v>96</v>
      </c>
      <c r="B140" s="160">
        <v>2</v>
      </c>
      <c r="C140" s="160">
        <v>2</v>
      </c>
      <c r="D140" s="161"/>
      <c r="E140" s="161"/>
      <c r="F140" s="160">
        <v>4</v>
      </c>
      <c r="G140" s="162">
        <v>50</v>
      </c>
      <c r="H140" s="162">
        <v>50</v>
      </c>
    </row>
    <row r="141" spans="1:8" x14ac:dyDescent="0.25">
      <c r="A141" s="159" t="s">
        <v>97</v>
      </c>
      <c r="B141" s="160">
        <v>2</v>
      </c>
      <c r="C141" s="161"/>
      <c r="D141" s="161"/>
      <c r="E141" s="161"/>
      <c r="F141" s="160">
        <v>2</v>
      </c>
      <c r="G141" s="162">
        <v>100</v>
      </c>
      <c r="H141" s="162">
        <v>100</v>
      </c>
    </row>
    <row r="142" spans="1:8" x14ac:dyDescent="0.25">
      <c r="A142" s="159" t="s">
        <v>204</v>
      </c>
      <c r="B142" s="160">
        <v>1</v>
      </c>
      <c r="C142" s="160">
        <v>1</v>
      </c>
      <c r="D142" s="161"/>
      <c r="E142" s="160">
        <v>1</v>
      </c>
      <c r="F142" s="160">
        <v>3</v>
      </c>
      <c r="G142" s="162">
        <v>50</v>
      </c>
      <c r="H142" s="162">
        <v>33.33</v>
      </c>
    </row>
    <row r="143" spans="1:8" x14ac:dyDescent="0.25">
      <c r="A143" s="159" t="s">
        <v>205</v>
      </c>
      <c r="B143" s="160">
        <v>1</v>
      </c>
      <c r="C143" s="161"/>
      <c r="D143" s="161"/>
      <c r="E143" s="161"/>
      <c r="F143" s="160">
        <v>1</v>
      </c>
      <c r="G143" s="162">
        <v>100</v>
      </c>
      <c r="H143" s="162">
        <v>100</v>
      </c>
    </row>
    <row r="144" spans="1:8" x14ac:dyDescent="0.25">
      <c r="A144" s="159" t="s">
        <v>206</v>
      </c>
      <c r="B144" s="160">
        <v>0</v>
      </c>
      <c r="C144" s="160">
        <v>1</v>
      </c>
      <c r="D144" s="161"/>
      <c r="E144" s="161"/>
      <c r="F144" s="160">
        <v>1</v>
      </c>
      <c r="G144" s="161"/>
      <c r="H144" s="162">
        <v>0</v>
      </c>
    </row>
    <row r="145" spans="1:8" x14ac:dyDescent="0.25">
      <c r="A145" s="159" t="s">
        <v>137</v>
      </c>
      <c r="B145" s="160">
        <v>3</v>
      </c>
      <c r="C145" s="161"/>
      <c r="D145" s="161"/>
      <c r="E145" s="161"/>
      <c r="F145" s="160">
        <v>3</v>
      </c>
      <c r="G145" s="162">
        <v>100</v>
      </c>
      <c r="H145" s="162">
        <v>100</v>
      </c>
    </row>
    <row r="146" spans="1:8" x14ac:dyDescent="0.25">
      <c r="A146" s="159" t="s">
        <v>124</v>
      </c>
      <c r="B146" s="160">
        <v>14</v>
      </c>
      <c r="C146" s="160">
        <v>10</v>
      </c>
      <c r="D146" s="161"/>
      <c r="E146" s="161"/>
      <c r="F146" s="160">
        <v>24</v>
      </c>
      <c r="G146" s="162">
        <v>58.33</v>
      </c>
      <c r="H146" s="162">
        <v>58.33</v>
      </c>
    </row>
    <row r="147" spans="1:8" x14ac:dyDescent="0.25">
      <c r="A147" s="159" t="s">
        <v>139</v>
      </c>
      <c r="B147" s="160">
        <v>4</v>
      </c>
      <c r="C147" s="160">
        <v>2</v>
      </c>
      <c r="D147" s="161"/>
      <c r="E147" s="161"/>
      <c r="F147" s="160">
        <v>8</v>
      </c>
      <c r="G147" s="162">
        <v>66.67</v>
      </c>
      <c r="H147" s="162">
        <v>66.67</v>
      </c>
    </row>
    <row r="148" spans="1:8" x14ac:dyDescent="0.25">
      <c r="A148" s="159" t="s">
        <v>140</v>
      </c>
      <c r="B148" s="160">
        <v>9</v>
      </c>
      <c r="C148" s="160">
        <v>9</v>
      </c>
      <c r="D148" s="161"/>
      <c r="E148" s="161"/>
      <c r="F148" s="160">
        <v>18</v>
      </c>
      <c r="G148" s="162">
        <v>50</v>
      </c>
      <c r="H148" s="162">
        <v>50</v>
      </c>
    </row>
    <row r="149" spans="1:8" x14ac:dyDescent="0.25">
      <c r="A149" s="159" t="s">
        <v>141</v>
      </c>
      <c r="B149" s="160">
        <v>1</v>
      </c>
      <c r="C149" s="160">
        <v>3</v>
      </c>
      <c r="D149" s="161"/>
      <c r="E149" s="161"/>
      <c r="F149" s="160">
        <v>4</v>
      </c>
      <c r="G149" s="162">
        <v>25</v>
      </c>
      <c r="H149" s="162">
        <v>25</v>
      </c>
    </row>
    <row r="150" spans="1:8" x14ac:dyDescent="0.25">
      <c r="A150" s="159" t="s">
        <v>142</v>
      </c>
      <c r="B150" s="160">
        <v>12</v>
      </c>
      <c r="C150" s="160">
        <v>5</v>
      </c>
      <c r="D150" s="161"/>
      <c r="E150" s="161"/>
      <c r="F150" s="160">
        <v>18</v>
      </c>
      <c r="G150" s="162">
        <v>70.59</v>
      </c>
      <c r="H150" s="162">
        <v>70.59</v>
      </c>
    </row>
    <row r="151" spans="1:8" x14ac:dyDescent="0.25">
      <c r="A151" s="159" t="s">
        <v>143</v>
      </c>
      <c r="B151" s="160">
        <v>9</v>
      </c>
      <c r="C151" s="160">
        <v>8</v>
      </c>
      <c r="D151" s="161"/>
      <c r="E151" s="161"/>
      <c r="F151" s="160">
        <v>17</v>
      </c>
      <c r="G151" s="162">
        <v>52.94</v>
      </c>
      <c r="H151" s="162">
        <v>52.94</v>
      </c>
    </row>
    <row r="152" spans="1:8" x14ac:dyDescent="0.25">
      <c r="A152" s="159" t="s">
        <v>144</v>
      </c>
      <c r="B152" s="160">
        <v>14</v>
      </c>
      <c r="C152" s="160">
        <v>3</v>
      </c>
      <c r="D152" s="161"/>
      <c r="E152" s="161"/>
      <c r="F152" s="160">
        <v>17</v>
      </c>
      <c r="G152" s="162">
        <v>82.35</v>
      </c>
      <c r="H152" s="162">
        <v>82.35</v>
      </c>
    </row>
    <row r="153" spans="1:8" x14ac:dyDescent="0.25">
      <c r="A153" s="159" t="s">
        <v>145</v>
      </c>
      <c r="B153" s="160">
        <v>4</v>
      </c>
      <c r="C153" s="160">
        <v>1</v>
      </c>
      <c r="D153" s="161"/>
      <c r="E153" s="161"/>
      <c r="F153" s="160">
        <v>5</v>
      </c>
      <c r="G153" s="162">
        <v>80</v>
      </c>
      <c r="H153" s="162">
        <v>80</v>
      </c>
    </row>
    <row r="154" spans="1:8" x14ac:dyDescent="0.25">
      <c r="A154" s="159" t="s">
        <v>98</v>
      </c>
      <c r="B154" s="160">
        <v>11</v>
      </c>
      <c r="C154" s="160">
        <v>9</v>
      </c>
      <c r="D154" s="161"/>
      <c r="E154" s="161"/>
      <c r="F154" s="160">
        <v>20</v>
      </c>
      <c r="G154" s="162">
        <v>55</v>
      </c>
      <c r="H154" s="162">
        <v>55</v>
      </c>
    </row>
    <row r="155" spans="1:8" x14ac:dyDescent="0.25">
      <c r="A155" s="159" t="s">
        <v>99</v>
      </c>
      <c r="B155" s="160">
        <v>7</v>
      </c>
      <c r="C155" s="160">
        <v>10</v>
      </c>
      <c r="D155" s="161"/>
      <c r="E155" s="161"/>
      <c r="F155" s="160">
        <v>17</v>
      </c>
      <c r="G155" s="162">
        <v>41.18</v>
      </c>
      <c r="H155" s="162">
        <v>41.18</v>
      </c>
    </row>
    <row r="156" spans="1:8" x14ac:dyDescent="0.25">
      <c r="A156" s="159" t="s">
        <v>100</v>
      </c>
      <c r="B156" s="160">
        <v>14</v>
      </c>
      <c r="C156" s="160">
        <v>2</v>
      </c>
      <c r="D156" s="161"/>
      <c r="E156" s="161"/>
      <c r="F156" s="160">
        <v>16</v>
      </c>
      <c r="G156" s="162">
        <v>87.5</v>
      </c>
      <c r="H156" s="162">
        <v>87.5</v>
      </c>
    </row>
    <row r="157" spans="1:8" x14ac:dyDescent="0.25">
      <c r="A157" s="159" t="s">
        <v>125</v>
      </c>
      <c r="B157" s="160">
        <v>5</v>
      </c>
      <c r="C157" s="160">
        <v>4</v>
      </c>
      <c r="D157" s="161"/>
      <c r="E157" s="161"/>
      <c r="F157" s="160">
        <v>9</v>
      </c>
      <c r="G157" s="162">
        <v>55.56</v>
      </c>
      <c r="H157" s="162">
        <v>55.56</v>
      </c>
    </row>
    <row r="158" spans="1:8" x14ac:dyDescent="0.25">
      <c r="A158" s="159" t="s">
        <v>101</v>
      </c>
      <c r="B158" s="160">
        <v>13</v>
      </c>
      <c r="C158" s="160">
        <v>9</v>
      </c>
      <c r="D158" s="160">
        <v>1</v>
      </c>
      <c r="E158" s="161"/>
      <c r="F158" s="160">
        <v>23</v>
      </c>
      <c r="G158" s="162">
        <v>56.52</v>
      </c>
      <c r="H158" s="162">
        <v>56.52</v>
      </c>
    </row>
    <row r="159" spans="1:8" x14ac:dyDescent="0.25">
      <c r="A159" s="159" t="s">
        <v>126</v>
      </c>
      <c r="B159" s="160">
        <v>11</v>
      </c>
      <c r="C159" s="160">
        <v>3</v>
      </c>
      <c r="D159" s="161"/>
      <c r="E159" s="161"/>
      <c r="F159" s="160">
        <v>14</v>
      </c>
      <c r="G159" s="162">
        <v>78.569999999999993</v>
      </c>
      <c r="H159" s="162">
        <v>78.569999999999993</v>
      </c>
    </row>
    <row r="160" spans="1:8" x14ac:dyDescent="0.25">
      <c r="A160" s="159" t="s">
        <v>146</v>
      </c>
      <c r="B160" s="160">
        <v>6</v>
      </c>
      <c r="C160" s="160">
        <v>7</v>
      </c>
      <c r="D160" s="161"/>
      <c r="E160" s="160">
        <v>2</v>
      </c>
      <c r="F160" s="160">
        <v>15</v>
      </c>
      <c r="G160" s="162">
        <v>46.15</v>
      </c>
      <c r="H160" s="162">
        <v>40</v>
      </c>
    </row>
    <row r="161" spans="1:8" x14ac:dyDescent="0.25">
      <c r="A161" s="159" t="s">
        <v>102</v>
      </c>
      <c r="B161" s="160">
        <v>22</v>
      </c>
      <c r="C161" s="160">
        <v>14</v>
      </c>
      <c r="D161" s="161"/>
      <c r="E161" s="161"/>
      <c r="F161" s="160">
        <v>36</v>
      </c>
      <c r="G161" s="162">
        <v>61.11</v>
      </c>
      <c r="H161" s="162">
        <v>61.11</v>
      </c>
    </row>
    <row r="162" spans="1:8" x14ac:dyDescent="0.25">
      <c r="A162" s="159" t="s">
        <v>127</v>
      </c>
      <c r="B162" s="160">
        <v>12</v>
      </c>
      <c r="C162" s="160">
        <v>4</v>
      </c>
      <c r="D162" s="161"/>
      <c r="E162" s="161"/>
      <c r="F162" s="160">
        <v>16</v>
      </c>
      <c r="G162" s="162">
        <v>75</v>
      </c>
      <c r="H162" s="162">
        <v>75</v>
      </c>
    </row>
    <row r="163" spans="1:8" x14ac:dyDescent="0.25">
      <c r="A163" s="159" t="s">
        <v>128</v>
      </c>
      <c r="B163" s="160">
        <v>11</v>
      </c>
      <c r="C163" s="160">
        <v>4</v>
      </c>
      <c r="D163" s="161"/>
      <c r="E163" s="161"/>
      <c r="F163" s="160">
        <v>15</v>
      </c>
      <c r="G163" s="162">
        <v>73.33</v>
      </c>
      <c r="H163" s="162">
        <v>73.33</v>
      </c>
    </row>
    <row r="164" spans="1:8" x14ac:dyDescent="0.25">
      <c r="A164" s="159" t="s">
        <v>147</v>
      </c>
      <c r="B164" s="160">
        <v>7</v>
      </c>
      <c r="C164" s="160">
        <v>3</v>
      </c>
      <c r="D164" s="161"/>
      <c r="E164" s="161"/>
      <c r="F164" s="160">
        <v>10</v>
      </c>
      <c r="G164" s="162">
        <v>70</v>
      </c>
      <c r="H164" s="162">
        <v>70</v>
      </c>
    </row>
    <row r="165" spans="1:8" x14ac:dyDescent="0.25">
      <c r="A165" s="159" t="s">
        <v>103</v>
      </c>
      <c r="B165" s="160">
        <v>19</v>
      </c>
      <c r="C165" s="160">
        <v>16</v>
      </c>
      <c r="D165" s="161"/>
      <c r="E165" s="160">
        <v>1</v>
      </c>
      <c r="F165" s="160">
        <v>36</v>
      </c>
      <c r="G165" s="162">
        <v>54.29</v>
      </c>
      <c r="H165" s="162">
        <v>52.78</v>
      </c>
    </row>
    <row r="166" spans="1:8" x14ac:dyDescent="0.25">
      <c r="A166" s="159" t="s">
        <v>129</v>
      </c>
      <c r="B166" s="160">
        <v>38</v>
      </c>
      <c r="C166" s="160">
        <v>10</v>
      </c>
      <c r="D166" s="161"/>
      <c r="E166" s="161"/>
      <c r="F166" s="160">
        <v>48</v>
      </c>
      <c r="G166" s="162">
        <v>79.17</v>
      </c>
      <c r="H166" s="162">
        <v>79.17</v>
      </c>
    </row>
    <row r="167" spans="1:8" x14ac:dyDescent="0.25">
      <c r="A167" s="159" t="s">
        <v>148</v>
      </c>
      <c r="B167" s="160">
        <v>2</v>
      </c>
      <c r="C167" s="161"/>
      <c r="D167" s="161"/>
      <c r="E167" s="161"/>
      <c r="F167" s="160">
        <v>2</v>
      </c>
      <c r="G167" s="162">
        <v>100</v>
      </c>
      <c r="H167" s="162">
        <v>100</v>
      </c>
    </row>
    <row r="168" spans="1:8" x14ac:dyDescent="0.25">
      <c r="A168" s="159" t="s">
        <v>104</v>
      </c>
      <c r="B168" s="160">
        <v>45</v>
      </c>
      <c r="C168" s="160">
        <v>26</v>
      </c>
      <c r="D168" s="161"/>
      <c r="E168" s="161"/>
      <c r="F168" s="160">
        <v>71</v>
      </c>
      <c r="G168" s="162">
        <v>63.38</v>
      </c>
      <c r="H168" s="162">
        <v>63.38</v>
      </c>
    </row>
    <row r="169" spans="1:8" x14ac:dyDescent="0.25">
      <c r="A169" s="159" t="s">
        <v>156</v>
      </c>
      <c r="B169" s="160">
        <v>2</v>
      </c>
      <c r="C169" s="161"/>
      <c r="D169" s="161"/>
      <c r="E169" s="161"/>
      <c r="F169" s="160">
        <v>2</v>
      </c>
      <c r="G169" s="162">
        <v>100</v>
      </c>
      <c r="H169" s="162">
        <v>100</v>
      </c>
    </row>
    <row r="170" spans="1:8" x14ac:dyDescent="0.25">
      <c r="A170" s="159" t="s">
        <v>130</v>
      </c>
      <c r="B170" s="160">
        <v>6</v>
      </c>
      <c r="C170" s="161"/>
      <c r="D170" s="161"/>
      <c r="E170" s="161"/>
      <c r="F170" s="160">
        <v>6</v>
      </c>
      <c r="G170" s="162">
        <v>100</v>
      </c>
      <c r="H170" s="162">
        <v>100</v>
      </c>
    </row>
    <row r="171" spans="1:8" x14ac:dyDescent="0.25">
      <c r="A171" s="159" t="s">
        <v>149</v>
      </c>
      <c r="B171" s="160">
        <v>1</v>
      </c>
      <c r="C171" s="161"/>
      <c r="D171" s="161"/>
      <c r="E171" s="161"/>
      <c r="F171" s="160">
        <v>1</v>
      </c>
      <c r="G171" s="162">
        <v>100</v>
      </c>
      <c r="H171" s="162">
        <v>100</v>
      </c>
    </row>
    <row r="172" spans="1:8" x14ac:dyDescent="0.25">
      <c r="A172" s="159" t="s">
        <v>105</v>
      </c>
      <c r="B172" s="160">
        <v>20</v>
      </c>
      <c r="C172" s="160">
        <v>12</v>
      </c>
      <c r="D172" s="161"/>
      <c r="E172" s="160">
        <v>1</v>
      </c>
      <c r="F172" s="160">
        <v>33</v>
      </c>
      <c r="G172" s="162">
        <v>62.5</v>
      </c>
      <c r="H172" s="162">
        <v>60.61</v>
      </c>
    </row>
    <row r="173" spans="1:8" x14ac:dyDescent="0.25">
      <c r="A173" s="159" t="s">
        <v>150</v>
      </c>
      <c r="B173" s="160">
        <v>0</v>
      </c>
      <c r="C173" s="160">
        <v>5</v>
      </c>
      <c r="D173" s="161"/>
      <c r="E173" s="161"/>
      <c r="F173" s="160">
        <v>5</v>
      </c>
      <c r="G173" s="161"/>
      <c r="H173" s="162">
        <v>0</v>
      </c>
    </row>
    <row r="174" spans="1:8" x14ac:dyDescent="0.25">
      <c r="A174" s="159" t="s">
        <v>207</v>
      </c>
      <c r="B174" s="160">
        <v>3</v>
      </c>
      <c r="C174" s="160">
        <v>2</v>
      </c>
      <c r="D174" s="161"/>
      <c r="E174" s="161"/>
      <c r="F174" s="160">
        <v>5</v>
      </c>
      <c r="G174" s="162">
        <v>60</v>
      </c>
      <c r="H174" s="162">
        <v>60</v>
      </c>
    </row>
    <row r="175" spans="1:8" x14ac:dyDescent="0.25">
      <c r="A175" s="159" t="s">
        <v>106</v>
      </c>
      <c r="B175" s="160">
        <v>53</v>
      </c>
      <c r="C175" s="160">
        <v>17</v>
      </c>
      <c r="D175" s="160">
        <v>1</v>
      </c>
      <c r="E175" s="161"/>
      <c r="F175" s="160">
        <v>71</v>
      </c>
      <c r="G175" s="162">
        <v>74.650000000000006</v>
      </c>
      <c r="H175" s="162">
        <v>74.650000000000006</v>
      </c>
    </row>
    <row r="176" spans="1:8" x14ac:dyDescent="0.25">
      <c r="A176" s="159" t="s">
        <v>157</v>
      </c>
      <c r="B176" s="160">
        <v>1</v>
      </c>
      <c r="C176" s="160">
        <v>4</v>
      </c>
      <c r="D176" s="161"/>
      <c r="E176" s="161"/>
      <c r="F176" s="160">
        <v>5</v>
      </c>
      <c r="G176" s="162">
        <v>20</v>
      </c>
      <c r="H176" s="162">
        <v>20</v>
      </c>
    </row>
    <row r="177" spans="1:8" x14ac:dyDescent="0.25">
      <c r="A177" s="159" t="s">
        <v>131</v>
      </c>
      <c r="B177" s="160">
        <v>12</v>
      </c>
      <c r="C177" s="160">
        <v>5</v>
      </c>
      <c r="D177" s="161"/>
      <c r="E177" s="161"/>
      <c r="F177" s="160">
        <v>17</v>
      </c>
      <c r="G177" s="162">
        <v>70.59</v>
      </c>
      <c r="H177" s="162">
        <v>70.59</v>
      </c>
    </row>
    <row r="178" spans="1:8" x14ac:dyDescent="0.25">
      <c r="A178" s="159" t="s">
        <v>208</v>
      </c>
      <c r="B178" s="160">
        <v>1</v>
      </c>
      <c r="C178" s="160">
        <v>1</v>
      </c>
      <c r="D178" s="161"/>
      <c r="E178" s="161"/>
      <c r="F178" s="160">
        <v>2</v>
      </c>
      <c r="G178" s="162">
        <v>50</v>
      </c>
      <c r="H178" s="162">
        <v>50</v>
      </c>
    </row>
    <row r="179" spans="1:8" x14ac:dyDescent="0.25">
      <c r="A179" s="159" t="s">
        <v>209</v>
      </c>
      <c r="B179" s="160">
        <v>13</v>
      </c>
      <c r="C179" s="160">
        <v>4</v>
      </c>
      <c r="D179" s="161"/>
      <c r="E179" s="160">
        <v>2</v>
      </c>
      <c r="F179" s="160">
        <v>19</v>
      </c>
      <c r="G179" s="162">
        <v>76.47</v>
      </c>
      <c r="H179" s="162">
        <v>68.42</v>
      </c>
    </row>
    <row r="180" spans="1:8" x14ac:dyDescent="0.25">
      <c r="A180" s="159" t="s">
        <v>210</v>
      </c>
      <c r="B180" s="160">
        <v>0</v>
      </c>
      <c r="C180" s="160">
        <v>1</v>
      </c>
      <c r="D180" s="161"/>
      <c r="E180" s="161"/>
      <c r="F180" s="160">
        <v>1</v>
      </c>
      <c r="G180" s="161"/>
      <c r="H180" s="162">
        <v>0</v>
      </c>
    </row>
    <row r="181" spans="1:8" x14ac:dyDescent="0.25">
      <c r="A181" s="159" t="s">
        <v>107</v>
      </c>
      <c r="B181" s="160">
        <v>1</v>
      </c>
      <c r="C181" s="160">
        <v>1</v>
      </c>
      <c r="D181" s="161"/>
      <c r="E181" s="161"/>
      <c r="F181" s="160">
        <v>2</v>
      </c>
      <c r="G181" s="162">
        <v>50</v>
      </c>
      <c r="H181" s="162">
        <v>50</v>
      </c>
    </row>
    <row r="182" spans="1:8" x14ac:dyDescent="0.25">
      <c r="A182" s="159" t="s">
        <v>159</v>
      </c>
      <c r="B182" s="160">
        <v>1</v>
      </c>
      <c r="C182" s="160">
        <v>5</v>
      </c>
      <c r="D182" s="161"/>
      <c r="E182" s="161"/>
      <c r="F182" s="160">
        <v>6</v>
      </c>
      <c r="G182" s="162">
        <v>16.670000000000002</v>
      </c>
      <c r="H182" s="162">
        <v>16.670000000000002</v>
      </c>
    </row>
    <row r="183" spans="1:8" x14ac:dyDescent="0.25">
      <c r="A183" s="159" t="s">
        <v>151</v>
      </c>
      <c r="B183" s="160">
        <v>0</v>
      </c>
      <c r="C183" s="160">
        <v>2</v>
      </c>
      <c r="D183" s="161"/>
      <c r="E183" s="161"/>
      <c r="F183" s="160">
        <v>2</v>
      </c>
      <c r="G183" s="161"/>
      <c r="H183" s="162">
        <v>0</v>
      </c>
    </row>
    <row r="184" spans="1:8" x14ac:dyDescent="0.25">
      <c r="A184" s="159" t="s">
        <v>152</v>
      </c>
      <c r="B184" s="160">
        <v>1</v>
      </c>
      <c r="C184" s="161"/>
      <c r="D184" s="161"/>
      <c r="E184" s="161"/>
      <c r="F184" s="160">
        <v>1</v>
      </c>
      <c r="G184" s="162">
        <v>100</v>
      </c>
      <c r="H184" s="162">
        <v>100</v>
      </c>
    </row>
    <row r="185" spans="1:8" x14ac:dyDescent="0.25">
      <c r="A185" s="159" t="s">
        <v>108</v>
      </c>
      <c r="B185" s="160">
        <v>3</v>
      </c>
      <c r="C185" s="161"/>
      <c r="D185" s="161"/>
      <c r="E185" s="161"/>
      <c r="F185" s="160">
        <v>3</v>
      </c>
      <c r="G185" s="162">
        <v>100</v>
      </c>
      <c r="H185" s="162">
        <v>100</v>
      </c>
    </row>
    <row r="186" spans="1:8" x14ac:dyDescent="0.25">
      <c r="A186" s="159" t="s">
        <v>109</v>
      </c>
      <c r="B186" s="160">
        <v>0</v>
      </c>
      <c r="C186" s="160">
        <v>1</v>
      </c>
      <c r="D186" s="161"/>
      <c r="E186" s="161"/>
      <c r="F186" s="160">
        <v>1</v>
      </c>
      <c r="G186" s="161"/>
      <c r="H186" s="162">
        <v>0</v>
      </c>
    </row>
    <row r="187" spans="1:8" x14ac:dyDescent="0.25">
      <c r="A187" s="159" t="s">
        <v>110</v>
      </c>
      <c r="B187" s="160">
        <v>1</v>
      </c>
      <c r="C187" s="161"/>
      <c r="D187" s="161"/>
      <c r="E187" s="161"/>
      <c r="F187" s="160">
        <v>1</v>
      </c>
      <c r="G187" s="162">
        <v>100</v>
      </c>
      <c r="H187" s="162">
        <v>100</v>
      </c>
    </row>
    <row r="188" spans="1:8" x14ac:dyDescent="0.25">
      <c r="A188" s="159" t="s">
        <v>111</v>
      </c>
      <c r="B188" s="160">
        <v>2</v>
      </c>
      <c r="C188" s="160">
        <v>1</v>
      </c>
      <c r="D188" s="161"/>
      <c r="E188" s="161"/>
      <c r="F188" s="160">
        <v>3</v>
      </c>
      <c r="G188" s="162">
        <v>66.67</v>
      </c>
      <c r="H188" s="162">
        <v>66.67</v>
      </c>
    </row>
    <row r="189" spans="1:8" x14ac:dyDescent="0.25">
      <c r="A189" s="159" t="s">
        <v>153</v>
      </c>
      <c r="B189" s="160">
        <v>11</v>
      </c>
      <c r="C189" s="160">
        <v>1</v>
      </c>
      <c r="D189" s="161"/>
      <c r="E189" s="161"/>
      <c r="F189" s="160">
        <v>12</v>
      </c>
      <c r="G189" s="162">
        <v>91.67</v>
      </c>
      <c r="H189" s="162">
        <v>91.67</v>
      </c>
    </row>
    <row r="190" spans="1:8" x14ac:dyDescent="0.25">
      <c r="A190" s="159" t="s">
        <v>154</v>
      </c>
      <c r="B190" s="160">
        <v>5</v>
      </c>
      <c r="C190" s="160">
        <v>5</v>
      </c>
      <c r="D190" s="161"/>
      <c r="E190" s="161"/>
      <c r="F190" s="160">
        <v>10</v>
      </c>
      <c r="G190" s="162">
        <v>50</v>
      </c>
      <c r="H190" s="162">
        <v>50</v>
      </c>
    </row>
    <row r="191" spans="1:8" x14ac:dyDescent="0.25">
      <c r="A191" s="159" t="s">
        <v>112</v>
      </c>
      <c r="B191" s="160">
        <v>3</v>
      </c>
      <c r="C191" s="160">
        <v>1</v>
      </c>
      <c r="D191" s="161"/>
      <c r="E191" s="161"/>
      <c r="F191" s="160">
        <v>4</v>
      </c>
      <c r="G191" s="162">
        <v>75</v>
      </c>
      <c r="H191" s="162">
        <v>75</v>
      </c>
    </row>
    <row r="192" spans="1:8" x14ac:dyDescent="0.25">
      <c r="A192" s="159" t="s">
        <v>113</v>
      </c>
      <c r="B192" s="160">
        <v>4</v>
      </c>
      <c r="C192" s="161"/>
      <c r="D192" s="160">
        <v>1</v>
      </c>
      <c r="E192" s="161"/>
      <c r="F192" s="160">
        <v>5</v>
      </c>
      <c r="G192" s="162">
        <v>80</v>
      </c>
      <c r="H192" s="162">
        <v>80</v>
      </c>
    </row>
    <row r="193" spans="1:8" x14ac:dyDescent="0.25">
      <c r="A193" s="159" t="s">
        <v>223</v>
      </c>
      <c r="B193" s="160">
        <v>4</v>
      </c>
      <c r="C193" s="161"/>
      <c r="D193" s="161"/>
      <c r="E193" s="161"/>
      <c r="F193" s="160">
        <v>4</v>
      </c>
      <c r="G193" s="162">
        <v>100</v>
      </c>
      <c r="H193" s="162">
        <v>100</v>
      </c>
    </row>
    <row r="194" spans="1:8" x14ac:dyDescent="0.25">
      <c r="A194" s="159" t="s">
        <v>114</v>
      </c>
      <c r="B194" s="160">
        <v>16</v>
      </c>
      <c r="C194" s="160">
        <v>3</v>
      </c>
      <c r="D194" s="160">
        <v>1</v>
      </c>
      <c r="E194" s="161"/>
      <c r="F194" s="160">
        <v>20</v>
      </c>
      <c r="G194" s="162">
        <v>80</v>
      </c>
      <c r="H194" s="162">
        <v>80</v>
      </c>
    </row>
    <row r="195" spans="1:8" x14ac:dyDescent="0.25">
      <c r="A195" s="159" t="s">
        <v>115</v>
      </c>
      <c r="B195" s="160">
        <v>5</v>
      </c>
      <c r="C195" s="160">
        <v>2</v>
      </c>
      <c r="D195" s="161"/>
      <c r="E195" s="161"/>
      <c r="F195" s="160">
        <v>7</v>
      </c>
      <c r="G195" s="162">
        <v>71.430000000000007</v>
      </c>
      <c r="H195" s="162">
        <v>71.430000000000007</v>
      </c>
    </row>
    <row r="196" spans="1:8" x14ac:dyDescent="0.25">
      <c r="A196" s="159" t="s">
        <v>116</v>
      </c>
      <c r="B196" s="160">
        <v>4</v>
      </c>
      <c r="C196" s="160">
        <v>4</v>
      </c>
      <c r="D196" s="161"/>
      <c r="E196" s="161"/>
      <c r="F196" s="160">
        <v>8</v>
      </c>
      <c r="G196" s="162">
        <v>50</v>
      </c>
      <c r="H196" s="162">
        <v>50</v>
      </c>
    </row>
    <row r="197" spans="1:8" x14ac:dyDescent="0.25">
      <c r="A197" s="159" t="s">
        <v>211</v>
      </c>
      <c r="B197" s="160">
        <v>0</v>
      </c>
      <c r="C197" s="161"/>
      <c r="D197" s="160">
        <v>1</v>
      </c>
      <c r="E197" s="161"/>
      <c r="F197" s="160">
        <v>1</v>
      </c>
      <c r="G197" s="161"/>
      <c r="H197" s="162">
        <v>0</v>
      </c>
    </row>
    <row r="198" spans="1:8" x14ac:dyDescent="0.25">
      <c r="A198" s="159" t="s">
        <v>155</v>
      </c>
      <c r="B198" s="160">
        <v>2</v>
      </c>
      <c r="C198" s="161"/>
      <c r="D198" s="161"/>
      <c r="E198" s="161"/>
      <c r="F198" s="160">
        <v>2</v>
      </c>
      <c r="G198" s="162">
        <v>100</v>
      </c>
      <c r="H198" s="162">
        <v>100</v>
      </c>
    </row>
    <row r="199" spans="1:8" x14ac:dyDescent="0.25">
      <c r="A199" s="159" t="s">
        <v>117</v>
      </c>
      <c r="B199" s="160">
        <v>1</v>
      </c>
      <c r="C199" s="161"/>
      <c r="D199" s="161"/>
      <c r="E199" s="161"/>
      <c r="F199" s="160">
        <v>1</v>
      </c>
      <c r="G199" s="162">
        <v>100</v>
      </c>
      <c r="H199" s="162">
        <v>100</v>
      </c>
    </row>
    <row r="200" spans="1:8" x14ac:dyDescent="0.25">
      <c r="A200" s="159" t="s">
        <v>118</v>
      </c>
      <c r="B200" s="160">
        <v>1</v>
      </c>
      <c r="C200" s="160">
        <v>1</v>
      </c>
      <c r="D200" s="161"/>
      <c r="E200" s="161"/>
      <c r="F200" s="160">
        <v>2</v>
      </c>
      <c r="G200" s="162">
        <v>50</v>
      </c>
      <c r="H200" s="162">
        <v>50</v>
      </c>
    </row>
    <row r="201" spans="1:8" x14ac:dyDescent="0.25">
      <c r="A201" s="159" t="s">
        <v>119</v>
      </c>
      <c r="B201" s="160">
        <v>3</v>
      </c>
      <c r="C201" s="160">
        <v>3</v>
      </c>
      <c r="D201" s="161"/>
      <c r="E201" s="161"/>
      <c r="F201" s="160">
        <v>6</v>
      </c>
      <c r="G201" s="162">
        <v>50</v>
      </c>
      <c r="H201" s="162">
        <v>50</v>
      </c>
    </row>
    <row r="202" spans="1:8" x14ac:dyDescent="0.25">
      <c r="A202" s="159" t="s">
        <v>120</v>
      </c>
      <c r="B202" s="160">
        <v>0</v>
      </c>
      <c r="C202" s="160">
        <v>1</v>
      </c>
      <c r="D202" s="161"/>
      <c r="E202" s="161"/>
      <c r="F202" s="160">
        <v>1</v>
      </c>
      <c r="G202" s="161"/>
      <c r="H202" s="162">
        <v>0</v>
      </c>
    </row>
    <row r="203" spans="1:8" x14ac:dyDescent="0.25">
      <c r="A203" s="163" t="s">
        <v>1</v>
      </c>
      <c r="B203" s="164">
        <v>4180</v>
      </c>
      <c r="C203" s="164">
        <v>1741</v>
      </c>
      <c r="D203" s="165">
        <v>56</v>
      </c>
      <c r="E203" s="165">
        <v>67</v>
      </c>
      <c r="F203" s="164">
        <v>6044</v>
      </c>
      <c r="G203" s="166">
        <v>69.930000000000007</v>
      </c>
      <c r="H203" s="166">
        <v>69.16</v>
      </c>
    </row>
    <row r="204" spans="1:8" x14ac:dyDescent="0.25">
      <c r="A204" s="167"/>
      <c r="B204" s="167"/>
      <c r="C204" s="167"/>
      <c r="D204" s="167"/>
      <c r="E204" s="167"/>
      <c r="F204" s="167"/>
      <c r="G204" s="167"/>
      <c r="H204" s="167"/>
    </row>
  </sheetData>
  <mergeCells count="2">
    <mergeCell ref="A1:A2"/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99"/>
  <sheetViews>
    <sheetView zoomScale="85" zoomScaleNormal="85" workbookViewId="0">
      <pane xSplit="1" ySplit="2" topLeftCell="B3" activePane="bottomRight" state="frozen"/>
      <selection sqref="A1:H244"/>
      <selection pane="topRight" sqref="A1:H244"/>
      <selection pane="bottomLeft" sqref="A1:H244"/>
      <selection pane="bottomRight" activeCell="A22" sqref="A22"/>
    </sheetView>
  </sheetViews>
  <sheetFormatPr defaultColWidth="8.85546875" defaultRowHeight="15.75" x14ac:dyDescent="0.25"/>
  <cols>
    <col min="1" max="1" width="78.85546875" style="120" bestFit="1" customWidth="1"/>
    <col min="2" max="2" width="13.7109375" style="120" hidden="1" customWidth="1"/>
    <col min="3" max="3" width="12.7109375" style="120" hidden="1" customWidth="1"/>
    <col min="4" max="4" width="15.28515625" style="120" bestFit="1" customWidth="1"/>
    <col min="5" max="5" width="12.7109375" style="120" hidden="1" customWidth="1"/>
    <col min="6" max="6" width="13.7109375" style="120" customWidth="1"/>
    <col min="7" max="7" width="12.7109375" style="120" hidden="1" customWidth="1"/>
    <col min="8" max="8" width="14" style="120" customWidth="1"/>
    <col min="9" max="9" width="12.7109375" style="120" hidden="1" customWidth="1"/>
    <col min="10" max="10" width="13.7109375" style="120" customWidth="1"/>
    <col min="11" max="11" width="12.7109375" style="120" hidden="1" customWidth="1"/>
    <col min="12" max="12" width="13.85546875" style="120" customWidth="1"/>
    <col min="13" max="13" width="12.7109375" style="120" hidden="1" customWidth="1"/>
    <col min="14" max="14" width="14.28515625" style="120" customWidth="1"/>
    <col min="15" max="15" width="12.7109375" style="120" hidden="1" customWidth="1"/>
    <col min="16" max="16" width="15.28515625" style="120" bestFit="1" customWidth="1"/>
    <col min="17" max="17" width="15" style="120" hidden="1" customWidth="1"/>
    <col min="18" max="18" width="15.28515625" style="120" bestFit="1" customWidth="1"/>
    <col min="19" max="19" width="15" style="120" hidden="1" customWidth="1"/>
    <col min="20" max="20" width="15.28515625" style="120" bestFit="1" customWidth="1"/>
    <col min="21" max="21" width="15" style="120" hidden="1" customWidth="1"/>
    <col min="22" max="22" width="15.28515625" style="120" bestFit="1" customWidth="1"/>
    <col min="23" max="23" width="15" style="120" hidden="1" customWidth="1"/>
    <col min="24" max="24" width="15.28515625" style="120" bestFit="1" customWidth="1"/>
    <col min="25" max="25" width="15" style="120" hidden="1" customWidth="1"/>
    <col min="26" max="27" width="15.28515625" style="120" bestFit="1" customWidth="1"/>
    <col min="28" max="16384" width="8.85546875" style="120"/>
  </cols>
  <sheetData>
    <row r="1" spans="1:27" x14ac:dyDescent="0.25">
      <c r="A1" s="118" t="s">
        <v>1</v>
      </c>
      <c r="B1" s="119">
        <f t="shared" ref="B1:X1" si="0">SUBTOTAL(109,B3:B199)</f>
        <v>2944</v>
      </c>
      <c r="C1" s="119">
        <f t="shared" si="0"/>
        <v>3002</v>
      </c>
      <c r="D1" s="119">
        <f t="shared" si="0"/>
        <v>58</v>
      </c>
      <c r="E1" s="119">
        <f t="shared" si="0"/>
        <v>3186</v>
      </c>
      <c r="F1" s="119">
        <f t="shared" si="0"/>
        <v>184</v>
      </c>
      <c r="G1" s="119">
        <f t="shared" si="0"/>
        <v>3275</v>
      </c>
      <c r="H1" s="119">
        <f t="shared" si="0"/>
        <v>89</v>
      </c>
      <c r="I1" s="119">
        <f t="shared" si="0"/>
        <v>3483</v>
      </c>
      <c r="J1" s="119">
        <f t="shared" si="0"/>
        <v>208</v>
      </c>
      <c r="K1" s="119">
        <f t="shared" si="0"/>
        <v>3682</v>
      </c>
      <c r="L1" s="119">
        <f t="shared" si="0"/>
        <v>199</v>
      </c>
      <c r="M1" s="119">
        <f t="shared" si="0"/>
        <v>3883</v>
      </c>
      <c r="N1" s="119">
        <f t="shared" si="0"/>
        <v>201</v>
      </c>
      <c r="O1" s="119">
        <f t="shared" si="0"/>
        <v>4207</v>
      </c>
      <c r="P1" s="119">
        <f t="shared" si="0"/>
        <v>324</v>
      </c>
      <c r="Q1" s="119">
        <f t="shared" si="0"/>
        <v>4575</v>
      </c>
      <c r="R1" s="119">
        <f t="shared" si="0"/>
        <v>368</v>
      </c>
      <c r="S1" s="119">
        <f t="shared" si="0"/>
        <v>4965</v>
      </c>
      <c r="T1" s="119">
        <f t="shared" si="0"/>
        <v>390</v>
      </c>
      <c r="U1" s="119">
        <f t="shared" si="0"/>
        <v>5622</v>
      </c>
      <c r="V1" s="119">
        <f t="shared" si="0"/>
        <v>657</v>
      </c>
      <c r="W1" s="119">
        <f t="shared" si="0"/>
        <v>5812</v>
      </c>
      <c r="X1" s="119">
        <f t="shared" si="0"/>
        <v>190</v>
      </c>
      <c r="Y1" s="119">
        <f>SUBTOTAL(109,Y3:Y199)</f>
        <v>5980</v>
      </c>
      <c r="Z1" s="119">
        <f t="shared" ref="Z1:AA1" si="1">SUBTOTAL(109,Z3:Z199)</f>
        <v>168</v>
      </c>
      <c r="AA1" s="119">
        <f t="shared" si="1"/>
        <v>3036</v>
      </c>
    </row>
    <row r="2" spans="1:27" x14ac:dyDescent="0.25">
      <c r="A2" s="121" t="s">
        <v>0</v>
      </c>
      <c r="B2" s="122">
        <v>45657</v>
      </c>
      <c r="C2" s="122">
        <v>45688</v>
      </c>
      <c r="D2" s="123" t="s">
        <v>169</v>
      </c>
      <c r="E2" s="122">
        <v>45716</v>
      </c>
      <c r="F2" s="121" t="s">
        <v>170</v>
      </c>
      <c r="G2" s="122">
        <v>45747</v>
      </c>
      <c r="H2" s="121" t="s">
        <v>171</v>
      </c>
      <c r="I2" s="122">
        <v>45777</v>
      </c>
      <c r="J2" s="121" t="s">
        <v>172</v>
      </c>
      <c r="K2" s="122">
        <v>45808</v>
      </c>
      <c r="L2" s="121" t="s">
        <v>173</v>
      </c>
      <c r="M2" s="122">
        <v>45838</v>
      </c>
      <c r="N2" s="121" t="s">
        <v>174</v>
      </c>
      <c r="O2" s="122">
        <v>45869</v>
      </c>
      <c r="P2" s="121" t="s">
        <v>175</v>
      </c>
      <c r="Q2" s="123">
        <v>45900</v>
      </c>
      <c r="R2" s="123" t="s">
        <v>167</v>
      </c>
      <c r="S2" s="123">
        <v>45930</v>
      </c>
      <c r="T2" s="123" t="s">
        <v>163</v>
      </c>
      <c r="U2" s="123">
        <v>45961</v>
      </c>
      <c r="V2" s="123" t="s">
        <v>164</v>
      </c>
      <c r="W2" s="123">
        <v>45991</v>
      </c>
      <c r="X2" s="123" t="s">
        <v>165</v>
      </c>
      <c r="Y2" s="123">
        <v>46022</v>
      </c>
      <c r="Z2" s="123" t="s">
        <v>166</v>
      </c>
      <c r="AA2" s="123" t="s">
        <v>224</v>
      </c>
    </row>
    <row r="3" spans="1:27" x14ac:dyDescent="0.25">
      <c r="A3" s="124" t="s">
        <v>215</v>
      </c>
      <c r="B3" s="124">
        <f>VLOOKUP(A3,'31.12.24'!A:F,6,FALSE)</f>
        <v>5</v>
      </c>
      <c r="C3" s="124">
        <f>VLOOKUP(A3,'31.01.25'!A:F,6,FALSE)</f>
        <v>5</v>
      </c>
      <c r="D3" s="119">
        <f t="shared" ref="D3:D48" si="2">C3-B3</f>
        <v>0</v>
      </c>
      <c r="E3" s="124">
        <f>VLOOKUP(A3,'28.02.25'!A:F,6,FALSE)</f>
        <v>5</v>
      </c>
      <c r="F3" s="119">
        <f t="shared" ref="F3:F19" si="3">E3-C3</f>
        <v>0</v>
      </c>
      <c r="G3" s="124">
        <f>VLOOKUP(A3,'31.03.25'!A:F,6,FALSE)</f>
        <v>5</v>
      </c>
      <c r="H3" s="119">
        <f t="shared" ref="H3:H19" si="4">G3-E3</f>
        <v>0</v>
      </c>
      <c r="I3" s="124">
        <f>VLOOKUP(A3,'30.04.25'!A:F,6,FALSE)</f>
        <v>5</v>
      </c>
      <c r="J3" s="119">
        <f t="shared" ref="J3:J19" si="5">I3-G3</f>
        <v>0</v>
      </c>
      <c r="K3" s="124">
        <f>VLOOKUP(A3,'31.05.25'!A:F,6,FALSE)</f>
        <v>5</v>
      </c>
      <c r="L3" s="119">
        <f t="shared" ref="L3:L19" si="6">K3-I3</f>
        <v>0</v>
      </c>
      <c r="M3" s="119">
        <f>VLOOKUP(A3,'30.06.25'!A:F,6,FALSE)</f>
        <v>5</v>
      </c>
      <c r="N3" s="119">
        <f t="shared" ref="N3:N19" si="7">M3-K3</f>
        <v>0</v>
      </c>
      <c r="O3" s="124">
        <f>VLOOKUP(A3,'31.07.25'!A:F,6,FALSE)</f>
        <v>5</v>
      </c>
      <c r="P3" s="119">
        <f t="shared" ref="P3:P19" si="8">O3-M3</f>
        <v>0</v>
      </c>
      <c r="Q3" s="119">
        <f>VLOOKUP(A3,'31.08.25'!A:F,6,FALSE)</f>
        <v>5</v>
      </c>
      <c r="R3" s="119">
        <f t="shared" ref="R3:R48" si="9">Q3-O3</f>
        <v>0</v>
      </c>
      <c r="S3" s="119">
        <f>VLOOKUP(A3,'30.09.25'!A:F,6,FALSE)</f>
        <v>5</v>
      </c>
      <c r="T3" s="119">
        <f t="shared" ref="T3:T19" si="10">S3-Q3</f>
        <v>0</v>
      </c>
      <c r="U3" s="119">
        <f>VLOOKUP(A3,'31.10.25'!A:F,6,FALSE)</f>
        <v>5</v>
      </c>
      <c r="V3" s="119">
        <f t="shared" ref="V3:V48" si="11">U3-S3</f>
        <v>0</v>
      </c>
      <c r="W3" s="119">
        <f>VLOOKUP(A3,'30.11.25'!A:F,6,FALSE)</f>
        <v>5</v>
      </c>
      <c r="X3" s="119">
        <f t="shared" ref="X3:X48" si="12">W3-U3</f>
        <v>0</v>
      </c>
      <c r="Y3" s="125">
        <f>VLOOKUP(A3,'31.12.25'!A:B,2,FALSE)</f>
        <v>5</v>
      </c>
      <c r="Z3" s="119">
        <f t="shared" ref="Z3:AA48" si="13">Y3-W3</f>
        <v>0</v>
      </c>
      <c r="AA3" s="119">
        <f>Y3-B3</f>
        <v>0</v>
      </c>
    </row>
    <row r="4" spans="1:27" x14ac:dyDescent="0.25">
      <c r="A4" s="124" t="s">
        <v>216</v>
      </c>
      <c r="B4" s="124">
        <f>VLOOKUP(A4,'31.12.24'!A:F,6,FALSE)</f>
        <v>6</v>
      </c>
      <c r="C4" s="124">
        <f>VLOOKUP(A4,'31.01.25'!A:F,6,FALSE)</f>
        <v>6</v>
      </c>
      <c r="D4" s="119">
        <f t="shared" si="2"/>
        <v>0</v>
      </c>
      <c r="E4" s="124">
        <f>VLOOKUP(A4,'28.02.25'!A:F,6,FALSE)</f>
        <v>6</v>
      </c>
      <c r="F4" s="119">
        <f t="shared" si="3"/>
        <v>0</v>
      </c>
      <c r="G4" s="124">
        <f>VLOOKUP(A4,'31.03.25'!A:F,6,FALSE)</f>
        <v>6</v>
      </c>
      <c r="H4" s="119">
        <f t="shared" si="4"/>
        <v>0</v>
      </c>
      <c r="I4" s="124">
        <f>VLOOKUP(A4,'30.04.25'!A:F,6,FALSE)</f>
        <v>6</v>
      </c>
      <c r="J4" s="119">
        <f t="shared" si="5"/>
        <v>0</v>
      </c>
      <c r="K4" s="124">
        <f>VLOOKUP(A4,'31.05.25'!A:F,6,FALSE)</f>
        <v>6</v>
      </c>
      <c r="L4" s="119">
        <f t="shared" si="6"/>
        <v>0</v>
      </c>
      <c r="M4" s="119">
        <f>VLOOKUP(A4,'30.06.25'!A:F,6,FALSE)</f>
        <v>5</v>
      </c>
      <c r="N4" s="119">
        <f t="shared" si="7"/>
        <v>-1</v>
      </c>
      <c r="O4" s="124">
        <f>VLOOKUP(A4,'31.07.25'!A:F,6,FALSE)</f>
        <v>5</v>
      </c>
      <c r="P4" s="119">
        <f t="shared" si="8"/>
        <v>0</v>
      </c>
      <c r="Q4" s="119">
        <f>VLOOKUP(A4,'31.08.25'!A:F,6,FALSE)</f>
        <v>5</v>
      </c>
      <c r="R4" s="119">
        <f t="shared" si="9"/>
        <v>0</v>
      </c>
      <c r="S4" s="119">
        <f>VLOOKUP(A4,'30.09.25'!A:F,6,FALSE)</f>
        <v>5</v>
      </c>
      <c r="T4" s="119">
        <f t="shared" si="10"/>
        <v>0</v>
      </c>
      <c r="U4" s="119">
        <f>VLOOKUP(A4,'31.10.25'!A:F,6,FALSE)</f>
        <v>5</v>
      </c>
      <c r="V4" s="119">
        <f t="shared" si="11"/>
        <v>0</v>
      </c>
      <c r="W4" s="119">
        <f>VLOOKUP(A4,'30.11.25'!A:F,6,FALSE)</f>
        <v>5</v>
      </c>
      <c r="X4" s="119">
        <f t="shared" si="12"/>
        <v>0</v>
      </c>
      <c r="Y4" s="125">
        <f>VLOOKUP(A4,'31.12.25'!A:B,2,FALSE)</f>
        <v>5</v>
      </c>
      <c r="Z4" s="119">
        <f t="shared" si="13"/>
        <v>0</v>
      </c>
      <c r="AA4" s="119">
        <f t="shared" ref="AA4:AA67" si="14">Y4-B4</f>
        <v>-1</v>
      </c>
    </row>
    <row r="5" spans="1:27" x14ac:dyDescent="0.25">
      <c r="A5" s="124" t="s">
        <v>217</v>
      </c>
      <c r="B5" s="124">
        <f>VLOOKUP(A5,'31.12.24'!A:F,6,FALSE)</f>
        <v>1</v>
      </c>
      <c r="C5" s="124">
        <f>VLOOKUP(A5,'31.01.25'!A:F,6,FALSE)</f>
        <v>1</v>
      </c>
      <c r="D5" s="119">
        <f t="shared" si="2"/>
        <v>0</v>
      </c>
      <c r="E5" s="124">
        <f>VLOOKUP(A5,'28.02.25'!A:F,6,FALSE)</f>
        <v>1</v>
      </c>
      <c r="F5" s="119">
        <f t="shared" si="3"/>
        <v>0</v>
      </c>
      <c r="G5" s="124">
        <f>VLOOKUP(A5,'31.03.25'!A:F,6,FALSE)</f>
        <v>1</v>
      </c>
      <c r="H5" s="119">
        <f t="shared" si="4"/>
        <v>0</v>
      </c>
      <c r="I5" s="124">
        <f>VLOOKUP(A5,'30.04.25'!A:F,6,FALSE)</f>
        <v>1</v>
      </c>
      <c r="J5" s="119">
        <f t="shared" si="5"/>
        <v>0</v>
      </c>
      <c r="K5" s="124">
        <f>VLOOKUP(A5,'31.05.25'!A:F,6,FALSE)</f>
        <v>1</v>
      </c>
      <c r="L5" s="119">
        <f t="shared" si="6"/>
        <v>0</v>
      </c>
      <c r="M5" s="119">
        <f>VLOOKUP(A5,'30.06.25'!A:F,6,FALSE)</f>
        <v>1</v>
      </c>
      <c r="N5" s="119">
        <f t="shared" si="7"/>
        <v>0</v>
      </c>
      <c r="O5" s="124">
        <f>VLOOKUP(A5,'31.07.25'!A:F,6,FALSE)</f>
        <v>1</v>
      </c>
      <c r="P5" s="119">
        <f t="shared" si="8"/>
        <v>0</v>
      </c>
      <c r="Q5" s="119">
        <f>VLOOKUP(A5,'31.08.25'!A:F,6,FALSE)</f>
        <v>1</v>
      </c>
      <c r="R5" s="119">
        <f t="shared" si="9"/>
        <v>0</v>
      </c>
      <c r="S5" s="119">
        <f>VLOOKUP(A5,'30.09.25'!A:F,6,FALSE)</f>
        <v>1</v>
      </c>
      <c r="T5" s="119">
        <f t="shared" si="10"/>
        <v>0</v>
      </c>
      <c r="U5" s="119">
        <f>VLOOKUP(A5,'31.10.25'!A:F,6,FALSE)</f>
        <v>1</v>
      </c>
      <c r="V5" s="119">
        <f t="shared" si="11"/>
        <v>0</v>
      </c>
      <c r="W5" s="119">
        <f>VLOOKUP(A5,'30.11.25'!A:F,6,FALSE)</f>
        <v>1</v>
      </c>
      <c r="X5" s="119">
        <f t="shared" si="12"/>
        <v>0</v>
      </c>
      <c r="Y5" s="125">
        <f>VLOOKUP(A5,'31.12.25'!A:B,2,FALSE)</f>
        <v>1</v>
      </c>
      <c r="Z5" s="119">
        <f t="shared" si="13"/>
        <v>0</v>
      </c>
      <c r="AA5" s="119">
        <f t="shared" si="14"/>
        <v>0</v>
      </c>
    </row>
    <row r="6" spans="1:27" x14ac:dyDescent="0.25">
      <c r="A6" s="124" t="s">
        <v>218</v>
      </c>
      <c r="B6" s="124">
        <f>VLOOKUP(A6,'31.12.24'!A:F,6,FALSE)</f>
        <v>2</v>
      </c>
      <c r="C6" s="124">
        <f>VLOOKUP(A6,'31.01.25'!A:F,6,FALSE)</f>
        <v>2</v>
      </c>
      <c r="D6" s="119">
        <f t="shared" si="2"/>
        <v>0</v>
      </c>
      <c r="E6" s="124">
        <f>VLOOKUP(A6,'28.02.25'!A:F,6,FALSE)</f>
        <v>2</v>
      </c>
      <c r="F6" s="119">
        <f t="shared" si="3"/>
        <v>0</v>
      </c>
      <c r="G6" s="124">
        <f>VLOOKUP(A6,'31.03.25'!A:F,6,FALSE)</f>
        <v>2</v>
      </c>
      <c r="H6" s="119">
        <f t="shared" si="4"/>
        <v>0</v>
      </c>
      <c r="I6" s="124">
        <f>VLOOKUP(A6,'30.04.25'!A:F,6,FALSE)</f>
        <v>2</v>
      </c>
      <c r="J6" s="119">
        <f t="shared" si="5"/>
        <v>0</v>
      </c>
      <c r="K6" s="124">
        <f>VLOOKUP(A6,'31.05.25'!A:F,6,FALSE)</f>
        <v>2</v>
      </c>
      <c r="L6" s="119">
        <f t="shared" si="6"/>
        <v>0</v>
      </c>
      <c r="M6" s="119">
        <f>VLOOKUP(A6,'30.06.25'!A:F,6,FALSE)</f>
        <v>2</v>
      </c>
      <c r="N6" s="119">
        <f t="shared" si="7"/>
        <v>0</v>
      </c>
      <c r="O6" s="124">
        <f>VLOOKUP(A6,'31.07.25'!A:F,6,FALSE)</f>
        <v>2</v>
      </c>
      <c r="P6" s="119">
        <f t="shared" si="8"/>
        <v>0</v>
      </c>
      <c r="Q6" s="119">
        <f>VLOOKUP(A6,'31.08.25'!A:F,6,FALSE)</f>
        <v>2</v>
      </c>
      <c r="R6" s="119">
        <f t="shared" si="9"/>
        <v>0</v>
      </c>
      <c r="S6" s="119">
        <f>VLOOKUP(A6,'30.09.25'!A:F,6,FALSE)</f>
        <v>2</v>
      </c>
      <c r="T6" s="119">
        <f t="shared" si="10"/>
        <v>0</v>
      </c>
      <c r="U6" s="119">
        <f>VLOOKUP(A6,'31.10.25'!A:F,6,FALSE)</f>
        <v>2</v>
      </c>
      <c r="V6" s="119">
        <f t="shared" si="11"/>
        <v>0</v>
      </c>
      <c r="W6" s="119">
        <f>VLOOKUP(A6,'30.11.25'!A:F,6,FALSE)</f>
        <v>2</v>
      </c>
      <c r="X6" s="119">
        <f t="shared" si="12"/>
        <v>0</v>
      </c>
      <c r="Y6" s="125">
        <f>VLOOKUP(A6,'31.12.25'!A:B,2,FALSE)</f>
        <v>2</v>
      </c>
      <c r="Z6" s="119">
        <f t="shared" si="13"/>
        <v>0</v>
      </c>
      <c r="AA6" s="119">
        <f t="shared" si="14"/>
        <v>0</v>
      </c>
    </row>
    <row r="7" spans="1:27" x14ac:dyDescent="0.25">
      <c r="A7" s="124" t="s">
        <v>219</v>
      </c>
      <c r="B7" s="124">
        <f>VLOOKUP(A7,'31.12.24'!A:F,6,FALSE)</f>
        <v>1</v>
      </c>
      <c r="C7" s="124">
        <f>VLOOKUP(A7,'31.01.25'!A:F,6,FALSE)</f>
        <v>1</v>
      </c>
      <c r="D7" s="119">
        <f t="shared" si="2"/>
        <v>0</v>
      </c>
      <c r="E7" s="124">
        <f>VLOOKUP(A7,'28.02.25'!A:F,6,FALSE)</f>
        <v>1</v>
      </c>
      <c r="F7" s="119">
        <f t="shared" si="3"/>
        <v>0</v>
      </c>
      <c r="G7" s="124">
        <f>VLOOKUP(A7,'31.03.25'!A:F,6,FALSE)</f>
        <v>1</v>
      </c>
      <c r="H7" s="119">
        <f t="shared" si="4"/>
        <v>0</v>
      </c>
      <c r="I7" s="124">
        <f>VLOOKUP(A7,'30.04.25'!A:F,6,FALSE)</f>
        <v>1</v>
      </c>
      <c r="J7" s="119">
        <f t="shared" si="5"/>
        <v>0</v>
      </c>
      <c r="K7" s="124">
        <f>VLOOKUP(A7,'31.05.25'!A:F,6,FALSE)</f>
        <v>1</v>
      </c>
      <c r="L7" s="119">
        <f t="shared" si="6"/>
        <v>0</v>
      </c>
      <c r="M7" s="119">
        <f>VLOOKUP(A7,'30.06.25'!A:F,6,FALSE)</f>
        <v>1</v>
      </c>
      <c r="N7" s="119">
        <f t="shared" si="7"/>
        <v>0</v>
      </c>
      <c r="O7" s="124">
        <f>VLOOKUP(A7,'31.07.25'!A:F,6,FALSE)</f>
        <v>1</v>
      </c>
      <c r="P7" s="119">
        <f t="shared" si="8"/>
        <v>0</v>
      </c>
      <c r="Q7" s="119">
        <f>VLOOKUP(A7,'31.08.25'!A:F,6,FALSE)</f>
        <v>1</v>
      </c>
      <c r="R7" s="119">
        <f t="shared" si="9"/>
        <v>0</v>
      </c>
      <c r="S7" s="119">
        <f>VLOOKUP(A7,'30.09.25'!A:F,6,FALSE)</f>
        <v>1</v>
      </c>
      <c r="T7" s="119">
        <f t="shared" si="10"/>
        <v>0</v>
      </c>
      <c r="U7" s="119">
        <f>VLOOKUP(A7,'31.10.25'!A:F,6,FALSE)</f>
        <v>1</v>
      </c>
      <c r="V7" s="119">
        <f t="shared" si="11"/>
        <v>0</v>
      </c>
      <c r="W7" s="119">
        <f>VLOOKUP(A7,'30.11.25'!A:F,6,FALSE)</f>
        <v>1</v>
      </c>
      <c r="X7" s="119">
        <f t="shared" si="12"/>
        <v>0</v>
      </c>
      <c r="Y7" s="125">
        <f>VLOOKUP(A7,'31.12.25'!A:B,2,FALSE)</f>
        <v>1</v>
      </c>
      <c r="Z7" s="119">
        <f t="shared" si="13"/>
        <v>0</v>
      </c>
      <c r="AA7" s="119">
        <f t="shared" si="14"/>
        <v>0</v>
      </c>
    </row>
    <row r="8" spans="1:27" x14ac:dyDescent="0.25">
      <c r="A8" s="124" t="s">
        <v>6</v>
      </c>
      <c r="B8" s="124">
        <f>VLOOKUP(A8,'31.12.24'!A:F,6,FALSE)</f>
        <v>17</v>
      </c>
      <c r="C8" s="124">
        <f>VLOOKUP(A8,'31.01.25'!A:F,6,FALSE)</f>
        <v>17</v>
      </c>
      <c r="D8" s="119">
        <f t="shared" si="2"/>
        <v>0</v>
      </c>
      <c r="E8" s="124">
        <f>VLOOKUP(A8,'28.02.25'!A:F,6,FALSE)</f>
        <v>17</v>
      </c>
      <c r="F8" s="119">
        <f t="shared" si="3"/>
        <v>0</v>
      </c>
      <c r="G8" s="124">
        <f>VLOOKUP(A8,'31.03.25'!A:F,6,FALSE)</f>
        <v>17</v>
      </c>
      <c r="H8" s="119">
        <f t="shared" si="4"/>
        <v>0</v>
      </c>
      <c r="I8" s="124">
        <f>VLOOKUP(A8,'30.04.25'!A:F,6,FALSE)</f>
        <v>17</v>
      </c>
      <c r="J8" s="119">
        <f t="shared" si="5"/>
        <v>0</v>
      </c>
      <c r="K8" s="124">
        <f>VLOOKUP(A8,'31.05.25'!A:F,6,FALSE)</f>
        <v>17</v>
      </c>
      <c r="L8" s="119">
        <f t="shared" si="6"/>
        <v>0</v>
      </c>
      <c r="M8" s="119">
        <f>VLOOKUP(A8,'30.06.25'!A:F,6,FALSE)</f>
        <v>17</v>
      </c>
      <c r="N8" s="119">
        <f t="shared" si="7"/>
        <v>0</v>
      </c>
      <c r="O8" s="124">
        <f>VLOOKUP(A8,'31.07.25'!A:F,6,FALSE)</f>
        <v>17</v>
      </c>
      <c r="P8" s="119">
        <f t="shared" si="8"/>
        <v>0</v>
      </c>
      <c r="Q8" s="119">
        <f>VLOOKUP(A8,'31.08.25'!A:F,6,FALSE)</f>
        <v>17</v>
      </c>
      <c r="R8" s="119">
        <f t="shared" si="9"/>
        <v>0</v>
      </c>
      <c r="S8" s="119">
        <f>VLOOKUP(A8,'30.09.25'!A:F,6,FALSE)</f>
        <v>17</v>
      </c>
      <c r="T8" s="119">
        <f t="shared" si="10"/>
        <v>0</v>
      </c>
      <c r="U8" s="119">
        <f>VLOOKUP(A8,'31.10.25'!A:F,6,FALSE)</f>
        <v>17</v>
      </c>
      <c r="V8" s="119">
        <f t="shared" si="11"/>
        <v>0</v>
      </c>
      <c r="W8" s="119">
        <f>VLOOKUP(A8,'30.11.25'!A:F,6,FALSE)</f>
        <v>17</v>
      </c>
      <c r="X8" s="119">
        <f t="shared" si="12"/>
        <v>0</v>
      </c>
      <c r="Y8" s="125">
        <f>VLOOKUP(A8,'31.12.25'!A:B,2,FALSE)</f>
        <v>17</v>
      </c>
      <c r="Z8" s="119">
        <f t="shared" si="13"/>
        <v>0</v>
      </c>
      <c r="AA8" s="119">
        <f t="shared" si="14"/>
        <v>0</v>
      </c>
    </row>
    <row r="9" spans="1:27" x14ac:dyDescent="0.25">
      <c r="A9" s="124" t="s">
        <v>7</v>
      </c>
      <c r="B9" s="124">
        <f>VLOOKUP(A9,'31.12.24'!A:F,6,FALSE)</f>
        <v>13</v>
      </c>
      <c r="C9" s="124">
        <f>VLOOKUP(A9,'31.01.25'!A:F,6,FALSE)</f>
        <v>13</v>
      </c>
      <c r="D9" s="119">
        <f t="shared" si="2"/>
        <v>0</v>
      </c>
      <c r="E9" s="124">
        <f>VLOOKUP(A9,'28.02.25'!A:F,6,FALSE)</f>
        <v>13</v>
      </c>
      <c r="F9" s="119">
        <f t="shared" si="3"/>
        <v>0</v>
      </c>
      <c r="G9" s="124">
        <f>VLOOKUP(A9,'31.03.25'!A:F,6,FALSE)</f>
        <v>13</v>
      </c>
      <c r="H9" s="119">
        <f t="shared" si="4"/>
        <v>0</v>
      </c>
      <c r="I9" s="124">
        <f>VLOOKUP(A9,'30.04.25'!A:F,6,FALSE)</f>
        <v>13</v>
      </c>
      <c r="J9" s="119">
        <f t="shared" si="5"/>
        <v>0</v>
      </c>
      <c r="K9" s="124">
        <f>VLOOKUP(A9,'31.05.25'!A:F,6,FALSE)</f>
        <v>13</v>
      </c>
      <c r="L9" s="119">
        <f t="shared" si="6"/>
        <v>0</v>
      </c>
      <c r="M9" s="119">
        <f>VLOOKUP(A9,'30.06.25'!A:F,6,FALSE)</f>
        <v>13</v>
      </c>
      <c r="N9" s="119">
        <f t="shared" si="7"/>
        <v>0</v>
      </c>
      <c r="O9" s="124">
        <f>VLOOKUP(A9,'31.07.25'!A:F,6,FALSE)</f>
        <v>13</v>
      </c>
      <c r="P9" s="119">
        <f t="shared" si="8"/>
        <v>0</v>
      </c>
      <c r="Q9" s="119">
        <f>VLOOKUP(A9,'31.08.25'!A:F,6,FALSE)</f>
        <v>13</v>
      </c>
      <c r="R9" s="119">
        <f t="shared" si="9"/>
        <v>0</v>
      </c>
      <c r="S9" s="119">
        <f>VLOOKUP(A9,'30.09.25'!A:F,6,FALSE)</f>
        <v>13</v>
      </c>
      <c r="T9" s="119">
        <f t="shared" si="10"/>
        <v>0</v>
      </c>
      <c r="U9" s="119">
        <f>VLOOKUP(A9,'31.10.25'!A:F,6,FALSE)</f>
        <v>13</v>
      </c>
      <c r="V9" s="119">
        <f t="shared" si="11"/>
        <v>0</v>
      </c>
      <c r="W9" s="119">
        <f>VLOOKUP(A9,'30.11.25'!A:F,6,FALSE)</f>
        <v>13</v>
      </c>
      <c r="X9" s="119">
        <f t="shared" si="12"/>
        <v>0</v>
      </c>
      <c r="Y9" s="125">
        <f>VLOOKUP(A9,'31.12.25'!A:B,2,FALSE)</f>
        <v>13</v>
      </c>
      <c r="Z9" s="119">
        <f t="shared" si="13"/>
        <v>0</v>
      </c>
      <c r="AA9" s="119">
        <f t="shared" si="14"/>
        <v>0</v>
      </c>
    </row>
    <row r="10" spans="1:27" x14ac:dyDescent="0.25">
      <c r="A10" s="124" t="s">
        <v>8</v>
      </c>
      <c r="B10" s="124">
        <f>VLOOKUP(A10,'31.12.24'!A:F,6,FALSE)</f>
        <v>13</v>
      </c>
      <c r="C10" s="124">
        <f>VLOOKUP(A10,'31.01.25'!A:F,6,FALSE)</f>
        <v>13</v>
      </c>
      <c r="D10" s="119">
        <f t="shared" si="2"/>
        <v>0</v>
      </c>
      <c r="E10" s="124">
        <f>VLOOKUP(A10,'28.02.25'!A:F,6,FALSE)</f>
        <v>13</v>
      </c>
      <c r="F10" s="119">
        <f t="shared" si="3"/>
        <v>0</v>
      </c>
      <c r="G10" s="124">
        <f>VLOOKUP(A10,'31.03.25'!A:F,6,FALSE)</f>
        <v>13</v>
      </c>
      <c r="H10" s="119">
        <f t="shared" si="4"/>
        <v>0</v>
      </c>
      <c r="I10" s="124">
        <f>VLOOKUP(A10,'30.04.25'!A:F,6,FALSE)</f>
        <v>13</v>
      </c>
      <c r="J10" s="119">
        <f t="shared" si="5"/>
        <v>0</v>
      </c>
      <c r="K10" s="124">
        <f>VLOOKUP(A10,'31.05.25'!A:F,6,FALSE)</f>
        <v>13</v>
      </c>
      <c r="L10" s="119">
        <f t="shared" si="6"/>
        <v>0</v>
      </c>
      <c r="M10" s="119">
        <f>VLOOKUP(A10,'30.06.25'!A:F,6,FALSE)</f>
        <v>13</v>
      </c>
      <c r="N10" s="119">
        <f t="shared" si="7"/>
        <v>0</v>
      </c>
      <c r="O10" s="124">
        <f>VLOOKUP(A10,'31.07.25'!A:F,6,FALSE)</f>
        <v>13</v>
      </c>
      <c r="P10" s="119">
        <f t="shared" si="8"/>
        <v>0</v>
      </c>
      <c r="Q10" s="119">
        <f>VLOOKUP(A10,'31.08.25'!A:F,6,FALSE)</f>
        <v>13</v>
      </c>
      <c r="R10" s="119">
        <f t="shared" si="9"/>
        <v>0</v>
      </c>
      <c r="S10" s="119">
        <f>VLOOKUP(A10,'30.09.25'!A:F,6,FALSE)</f>
        <v>14</v>
      </c>
      <c r="T10" s="119">
        <f t="shared" si="10"/>
        <v>1</v>
      </c>
      <c r="U10" s="119">
        <f>VLOOKUP(A10,'31.10.25'!A:F,6,FALSE)</f>
        <v>14</v>
      </c>
      <c r="V10" s="119">
        <f t="shared" si="11"/>
        <v>0</v>
      </c>
      <c r="W10" s="119">
        <f>VLOOKUP(A10,'30.11.25'!A:F,6,FALSE)</f>
        <v>14</v>
      </c>
      <c r="X10" s="119">
        <f t="shared" si="12"/>
        <v>0</v>
      </c>
      <c r="Y10" s="125">
        <f>VLOOKUP(A10,'31.12.25'!A:B,2,FALSE)</f>
        <v>14</v>
      </c>
      <c r="Z10" s="119">
        <f t="shared" si="13"/>
        <v>0</v>
      </c>
      <c r="AA10" s="119">
        <f t="shared" si="14"/>
        <v>1</v>
      </c>
    </row>
    <row r="11" spans="1:27" x14ac:dyDescent="0.25">
      <c r="A11" s="124" t="s">
        <v>9</v>
      </c>
      <c r="B11" s="124">
        <f>VLOOKUP(A11,'31.12.24'!A:F,6,FALSE)</f>
        <v>68</v>
      </c>
      <c r="C11" s="124">
        <f>VLOOKUP(A11,'31.01.25'!A:F,6,FALSE)</f>
        <v>70</v>
      </c>
      <c r="D11" s="119">
        <f t="shared" si="2"/>
        <v>2</v>
      </c>
      <c r="E11" s="124">
        <f>VLOOKUP(A11,'28.02.25'!A:F,6,FALSE)</f>
        <v>84</v>
      </c>
      <c r="F11" s="119">
        <f t="shared" si="3"/>
        <v>14</v>
      </c>
      <c r="G11" s="124">
        <f>VLOOKUP(A11,'31.03.25'!A:F,6,FALSE)</f>
        <v>84</v>
      </c>
      <c r="H11" s="119">
        <f t="shared" si="4"/>
        <v>0</v>
      </c>
      <c r="I11" s="124">
        <f>VLOOKUP(A11,'30.04.25'!A:F,6,FALSE)</f>
        <v>87</v>
      </c>
      <c r="J11" s="119">
        <f t="shared" si="5"/>
        <v>3</v>
      </c>
      <c r="K11" s="124">
        <f>VLOOKUP(A11,'31.05.25'!A:F,6,FALSE)</f>
        <v>87</v>
      </c>
      <c r="L11" s="119">
        <f t="shared" si="6"/>
        <v>0</v>
      </c>
      <c r="M11" s="119">
        <f>VLOOKUP(A11,'30.06.25'!A:F,6,FALSE)</f>
        <v>87</v>
      </c>
      <c r="N11" s="119">
        <f t="shared" si="7"/>
        <v>0</v>
      </c>
      <c r="O11" s="124">
        <f>VLOOKUP(A11,'31.07.25'!A:F,6,FALSE)</f>
        <v>107</v>
      </c>
      <c r="P11" s="119">
        <f t="shared" si="8"/>
        <v>20</v>
      </c>
      <c r="Q11" s="119">
        <f>VLOOKUP(A11,'31.08.25'!A:F,6,FALSE)</f>
        <v>131</v>
      </c>
      <c r="R11" s="119">
        <f t="shared" si="9"/>
        <v>24</v>
      </c>
      <c r="S11" s="119">
        <f>VLOOKUP(A11,'30.09.25'!A:F,6,FALSE)</f>
        <v>149</v>
      </c>
      <c r="T11" s="119">
        <f t="shared" si="10"/>
        <v>18</v>
      </c>
      <c r="U11" s="119">
        <f>VLOOKUP(A11,'31.10.25'!A:F,6,FALSE)</f>
        <v>178</v>
      </c>
      <c r="V11" s="119">
        <f t="shared" si="11"/>
        <v>29</v>
      </c>
      <c r="W11" s="119">
        <f>VLOOKUP(A11,'30.11.25'!A:F,6,FALSE)</f>
        <v>184</v>
      </c>
      <c r="X11" s="119">
        <f t="shared" si="12"/>
        <v>6</v>
      </c>
      <c r="Y11" s="125">
        <f>VLOOKUP(A11,'31.12.25'!A:B,2,FALSE)</f>
        <v>200</v>
      </c>
      <c r="Z11" s="119">
        <f t="shared" si="13"/>
        <v>16</v>
      </c>
      <c r="AA11" s="119">
        <f t="shared" si="14"/>
        <v>132</v>
      </c>
    </row>
    <row r="12" spans="1:27" x14ac:dyDescent="0.25">
      <c r="A12" s="124" t="s">
        <v>10</v>
      </c>
      <c r="B12" s="124">
        <f>VLOOKUP(A12,'31.12.24'!A:F,6,FALSE)</f>
        <v>15</v>
      </c>
      <c r="C12" s="124">
        <f>VLOOKUP(A12,'31.01.25'!A:F,6,FALSE)</f>
        <v>15</v>
      </c>
      <c r="D12" s="119">
        <f t="shared" si="2"/>
        <v>0</v>
      </c>
      <c r="E12" s="124">
        <f>VLOOKUP(A12,'28.02.25'!A:F,6,FALSE)</f>
        <v>15</v>
      </c>
      <c r="F12" s="119">
        <f t="shared" si="3"/>
        <v>0</v>
      </c>
      <c r="G12" s="124">
        <f>VLOOKUP(A12,'31.03.25'!A:F,6,FALSE)</f>
        <v>15</v>
      </c>
      <c r="H12" s="119">
        <f t="shared" si="4"/>
        <v>0</v>
      </c>
      <c r="I12" s="124">
        <f>VLOOKUP(A12,'30.04.25'!A:F,6,FALSE)</f>
        <v>15</v>
      </c>
      <c r="J12" s="119">
        <f t="shared" si="5"/>
        <v>0</v>
      </c>
      <c r="K12" s="124">
        <f>VLOOKUP(A12,'31.05.25'!A:F,6,FALSE)</f>
        <v>15</v>
      </c>
      <c r="L12" s="119">
        <f t="shared" si="6"/>
        <v>0</v>
      </c>
      <c r="M12" s="119">
        <f>VLOOKUP(A12,'30.06.25'!A:F,6,FALSE)</f>
        <v>15</v>
      </c>
      <c r="N12" s="119">
        <f t="shared" si="7"/>
        <v>0</v>
      </c>
      <c r="O12" s="124">
        <f>VLOOKUP(A12,'31.07.25'!A:F,6,FALSE)</f>
        <v>15</v>
      </c>
      <c r="P12" s="119">
        <f t="shared" si="8"/>
        <v>0</v>
      </c>
      <c r="Q12" s="119">
        <f>VLOOKUP(A12,'31.08.25'!A:F,6,FALSE)</f>
        <v>15</v>
      </c>
      <c r="R12" s="119">
        <f t="shared" si="9"/>
        <v>0</v>
      </c>
      <c r="S12" s="119">
        <f>VLOOKUP(A12,'30.09.25'!A:F,6,FALSE)</f>
        <v>15</v>
      </c>
      <c r="T12" s="119">
        <f t="shared" si="10"/>
        <v>0</v>
      </c>
      <c r="U12" s="119">
        <f>VLOOKUP(A12,'31.10.25'!A:F,6,FALSE)</f>
        <v>15</v>
      </c>
      <c r="V12" s="119">
        <f t="shared" si="11"/>
        <v>0</v>
      </c>
      <c r="W12" s="119">
        <f>VLOOKUP(A12,'30.11.25'!A:F,6,FALSE)</f>
        <v>15</v>
      </c>
      <c r="X12" s="119">
        <f t="shared" si="12"/>
        <v>0</v>
      </c>
      <c r="Y12" s="125">
        <f>VLOOKUP(A12,'31.12.25'!A:B,2,FALSE)</f>
        <v>15</v>
      </c>
      <c r="Z12" s="119">
        <f t="shared" si="13"/>
        <v>0</v>
      </c>
      <c r="AA12" s="119">
        <f t="shared" si="14"/>
        <v>0</v>
      </c>
    </row>
    <row r="13" spans="1:27" x14ac:dyDescent="0.25">
      <c r="A13" s="124" t="s">
        <v>11</v>
      </c>
      <c r="B13" s="124">
        <f>VLOOKUP(A13,'31.12.24'!A:F,6,FALSE)</f>
        <v>24</v>
      </c>
      <c r="C13" s="124">
        <f>VLOOKUP(A13,'31.01.25'!A:F,6,FALSE)</f>
        <v>24</v>
      </c>
      <c r="D13" s="119">
        <f t="shared" si="2"/>
        <v>0</v>
      </c>
      <c r="E13" s="124">
        <f>VLOOKUP(A13,'28.02.25'!A:F,6,FALSE)</f>
        <v>24</v>
      </c>
      <c r="F13" s="119">
        <f t="shared" si="3"/>
        <v>0</v>
      </c>
      <c r="G13" s="124">
        <f>VLOOKUP(A13,'31.03.25'!A:F,6,FALSE)</f>
        <v>24</v>
      </c>
      <c r="H13" s="119">
        <f t="shared" si="4"/>
        <v>0</v>
      </c>
      <c r="I13" s="124">
        <f>VLOOKUP(A13,'30.04.25'!A:F,6,FALSE)</f>
        <v>24</v>
      </c>
      <c r="J13" s="119">
        <f t="shared" si="5"/>
        <v>0</v>
      </c>
      <c r="K13" s="124">
        <f>VLOOKUP(A13,'31.05.25'!A:F,6,FALSE)</f>
        <v>24</v>
      </c>
      <c r="L13" s="119">
        <f t="shared" si="6"/>
        <v>0</v>
      </c>
      <c r="M13" s="119">
        <f>VLOOKUP(A13,'30.06.25'!A:F,6,FALSE)</f>
        <v>24</v>
      </c>
      <c r="N13" s="119">
        <f t="shared" si="7"/>
        <v>0</v>
      </c>
      <c r="O13" s="124">
        <f>VLOOKUP(A13,'31.07.25'!A:F,6,FALSE)</f>
        <v>24</v>
      </c>
      <c r="P13" s="119">
        <f t="shared" si="8"/>
        <v>0</v>
      </c>
      <c r="Q13" s="119">
        <f>VLOOKUP(A13,'31.08.25'!A:F,6,FALSE)</f>
        <v>27</v>
      </c>
      <c r="R13" s="119">
        <f t="shared" si="9"/>
        <v>3</v>
      </c>
      <c r="S13" s="119">
        <f>VLOOKUP(A13,'30.09.25'!A:F,6,FALSE)</f>
        <v>27</v>
      </c>
      <c r="T13" s="119">
        <f t="shared" si="10"/>
        <v>0</v>
      </c>
      <c r="U13" s="119">
        <f>VLOOKUP(A13,'31.10.25'!A:F,6,FALSE)</f>
        <v>29</v>
      </c>
      <c r="V13" s="119">
        <f t="shared" si="11"/>
        <v>2</v>
      </c>
      <c r="W13" s="119">
        <f>VLOOKUP(A13,'30.11.25'!A:F,6,FALSE)</f>
        <v>29</v>
      </c>
      <c r="X13" s="119">
        <f t="shared" si="12"/>
        <v>0</v>
      </c>
      <c r="Y13" s="125">
        <f>VLOOKUP(A13,'31.12.25'!A:B,2,FALSE)</f>
        <v>29</v>
      </c>
      <c r="Z13" s="119">
        <f t="shared" si="13"/>
        <v>0</v>
      </c>
      <c r="AA13" s="119">
        <f t="shared" si="14"/>
        <v>5</v>
      </c>
    </row>
    <row r="14" spans="1:27" x14ac:dyDescent="0.25">
      <c r="A14" s="124" t="s">
        <v>12</v>
      </c>
      <c r="B14" s="124"/>
      <c r="C14" s="124">
        <f>VLOOKUP(A14,'31.01.25'!A:F,6,FALSE)</f>
        <v>2</v>
      </c>
      <c r="D14" s="119">
        <f t="shared" si="2"/>
        <v>2</v>
      </c>
      <c r="E14" s="124">
        <f>VLOOKUP(A14,'28.02.25'!A:F,6,FALSE)</f>
        <v>10</v>
      </c>
      <c r="F14" s="119">
        <f t="shared" si="3"/>
        <v>8</v>
      </c>
      <c r="G14" s="124">
        <f>VLOOKUP(A14,'31.03.25'!A:F,6,FALSE)</f>
        <v>10</v>
      </c>
      <c r="H14" s="119">
        <f t="shared" si="4"/>
        <v>0</v>
      </c>
      <c r="I14" s="124">
        <f>VLOOKUP(A14,'30.04.25'!A:F,6,FALSE)</f>
        <v>16</v>
      </c>
      <c r="J14" s="119">
        <f t="shared" si="5"/>
        <v>6</v>
      </c>
      <c r="K14" s="124">
        <f>VLOOKUP(A14,'31.05.25'!A:F,6,FALSE)</f>
        <v>16</v>
      </c>
      <c r="L14" s="119">
        <f t="shared" si="6"/>
        <v>0</v>
      </c>
      <c r="M14" s="119">
        <f>VLOOKUP(A14,'30.06.25'!A:F,6,FALSE)</f>
        <v>16</v>
      </c>
      <c r="N14" s="119">
        <f t="shared" si="7"/>
        <v>0</v>
      </c>
      <c r="O14" s="124">
        <f>VLOOKUP(A14,'31.07.25'!A:F,6,FALSE)</f>
        <v>17</v>
      </c>
      <c r="P14" s="119">
        <f t="shared" si="8"/>
        <v>1</v>
      </c>
      <c r="Q14" s="119">
        <f>VLOOKUP(A14,'31.08.25'!A:F,6,FALSE)</f>
        <v>27</v>
      </c>
      <c r="R14" s="119">
        <f t="shared" si="9"/>
        <v>10</v>
      </c>
      <c r="S14" s="119">
        <f>VLOOKUP(A14,'30.09.25'!A:F,6,FALSE)</f>
        <v>30</v>
      </c>
      <c r="T14" s="119">
        <f t="shared" si="10"/>
        <v>3</v>
      </c>
      <c r="U14" s="119">
        <f>VLOOKUP(A14,'31.10.25'!A:F,6,FALSE)</f>
        <v>38</v>
      </c>
      <c r="V14" s="119">
        <f t="shared" si="11"/>
        <v>8</v>
      </c>
      <c r="W14" s="119">
        <f>VLOOKUP(A14,'30.11.25'!A:F,6,FALSE)</f>
        <v>46</v>
      </c>
      <c r="X14" s="119">
        <f t="shared" si="12"/>
        <v>8</v>
      </c>
      <c r="Y14" s="125">
        <f>VLOOKUP(A14,'31.12.25'!A:B,2,FALSE)</f>
        <v>48</v>
      </c>
      <c r="Z14" s="119">
        <f t="shared" si="13"/>
        <v>2</v>
      </c>
      <c r="AA14" s="119">
        <f t="shared" si="14"/>
        <v>48</v>
      </c>
    </row>
    <row r="15" spans="1:27" x14ac:dyDescent="0.25">
      <c r="A15" s="124" t="s">
        <v>13</v>
      </c>
      <c r="B15" s="124">
        <f>VLOOKUP(A15,'31.12.24'!A:F,6,FALSE)</f>
        <v>6</v>
      </c>
      <c r="C15" s="124">
        <f>VLOOKUP(A15,'31.01.25'!A:F,6,FALSE)</f>
        <v>6</v>
      </c>
      <c r="D15" s="119">
        <f t="shared" si="2"/>
        <v>0</v>
      </c>
      <c r="E15" s="124">
        <f>VLOOKUP(A15,'28.02.25'!A:F,6,FALSE)</f>
        <v>6</v>
      </c>
      <c r="F15" s="119">
        <f t="shared" si="3"/>
        <v>0</v>
      </c>
      <c r="G15" s="124">
        <f>VLOOKUP(A15,'31.03.25'!A:F,6,FALSE)</f>
        <v>6</v>
      </c>
      <c r="H15" s="119">
        <f t="shared" si="4"/>
        <v>0</v>
      </c>
      <c r="I15" s="124">
        <f>VLOOKUP(A15,'30.04.25'!A:F,6,FALSE)</f>
        <v>6</v>
      </c>
      <c r="J15" s="119">
        <f t="shared" si="5"/>
        <v>0</v>
      </c>
      <c r="K15" s="124">
        <f>VLOOKUP(A15,'31.05.25'!A:F,6,FALSE)</f>
        <v>6</v>
      </c>
      <c r="L15" s="119">
        <f t="shared" si="6"/>
        <v>0</v>
      </c>
      <c r="M15" s="119">
        <f>VLOOKUP(A15,'30.06.25'!A:F,6,FALSE)</f>
        <v>6</v>
      </c>
      <c r="N15" s="119">
        <f t="shared" si="7"/>
        <v>0</v>
      </c>
      <c r="O15" s="124">
        <f>VLOOKUP(A15,'31.07.25'!A:F,6,FALSE)</f>
        <v>6</v>
      </c>
      <c r="P15" s="119">
        <f t="shared" si="8"/>
        <v>0</v>
      </c>
      <c r="Q15" s="119">
        <f>VLOOKUP(A15,'31.08.25'!A:F,6,FALSE)</f>
        <v>6</v>
      </c>
      <c r="R15" s="119">
        <f t="shared" si="9"/>
        <v>0</v>
      </c>
      <c r="S15" s="119">
        <f>VLOOKUP(A15,'30.09.25'!A:F,6,FALSE)</f>
        <v>8</v>
      </c>
      <c r="T15" s="119">
        <f t="shared" si="10"/>
        <v>2</v>
      </c>
      <c r="U15" s="119">
        <f>VLOOKUP(A15,'31.10.25'!A:F,6,FALSE)</f>
        <v>9</v>
      </c>
      <c r="V15" s="119">
        <f t="shared" si="11"/>
        <v>1</v>
      </c>
      <c r="W15" s="119">
        <f>VLOOKUP(A15,'30.11.25'!A:F,6,FALSE)</f>
        <v>10</v>
      </c>
      <c r="X15" s="119">
        <f t="shared" si="12"/>
        <v>1</v>
      </c>
      <c r="Y15" s="125">
        <f>VLOOKUP(A15,'31.12.25'!A:B,2,FALSE)</f>
        <v>10</v>
      </c>
      <c r="Z15" s="119">
        <f t="shared" si="13"/>
        <v>0</v>
      </c>
      <c r="AA15" s="119">
        <f t="shared" si="14"/>
        <v>4</v>
      </c>
    </row>
    <row r="16" spans="1:27" x14ac:dyDescent="0.25">
      <c r="A16" s="124" t="s">
        <v>14</v>
      </c>
      <c r="B16" s="124">
        <f>VLOOKUP(A16,'31.12.24'!A:F,6,FALSE)</f>
        <v>62</v>
      </c>
      <c r="C16" s="124">
        <f>VLOOKUP(A16,'31.01.25'!A:F,6,FALSE)</f>
        <v>62</v>
      </c>
      <c r="D16" s="119">
        <f t="shared" si="2"/>
        <v>0</v>
      </c>
      <c r="E16" s="124">
        <f>VLOOKUP(A16,'28.02.25'!A:F,6,FALSE)</f>
        <v>62</v>
      </c>
      <c r="F16" s="119">
        <f t="shared" si="3"/>
        <v>0</v>
      </c>
      <c r="G16" s="124">
        <f>VLOOKUP(A16,'31.03.25'!A:F,6,FALSE)</f>
        <v>62</v>
      </c>
      <c r="H16" s="119">
        <f t="shared" si="4"/>
        <v>0</v>
      </c>
      <c r="I16" s="124">
        <f>VLOOKUP(A16,'30.04.25'!A:F,6,FALSE)</f>
        <v>66</v>
      </c>
      <c r="J16" s="119">
        <f t="shared" si="5"/>
        <v>4</v>
      </c>
      <c r="K16" s="124">
        <f>VLOOKUP(A16,'31.05.25'!A:F,6,FALSE)</f>
        <v>66</v>
      </c>
      <c r="L16" s="119">
        <f t="shared" si="6"/>
        <v>0</v>
      </c>
      <c r="M16" s="119">
        <f>VLOOKUP(A16,'30.06.25'!A:F,6,FALSE)</f>
        <v>69</v>
      </c>
      <c r="N16" s="119">
        <f t="shared" si="7"/>
        <v>3</v>
      </c>
      <c r="O16" s="124">
        <f>VLOOKUP(A16,'31.07.25'!A:F,6,FALSE)</f>
        <v>71</v>
      </c>
      <c r="P16" s="119">
        <f t="shared" si="8"/>
        <v>2</v>
      </c>
      <c r="Q16" s="119">
        <f>VLOOKUP(A16,'31.08.25'!A:F,6,FALSE)</f>
        <v>81</v>
      </c>
      <c r="R16" s="119">
        <f t="shared" si="9"/>
        <v>10</v>
      </c>
      <c r="S16" s="119">
        <f>VLOOKUP(A16,'30.09.25'!A:F,6,FALSE)</f>
        <v>84</v>
      </c>
      <c r="T16" s="119">
        <f t="shared" si="10"/>
        <v>3</v>
      </c>
      <c r="U16" s="119">
        <f>VLOOKUP(A16,'31.10.25'!A:F,6,FALSE)</f>
        <v>87</v>
      </c>
      <c r="V16" s="119">
        <f t="shared" si="11"/>
        <v>3</v>
      </c>
      <c r="W16" s="119">
        <f>VLOOKUP(A16,'30.11.25'!A:F,6,FALSE)</f>
        <v>87</v>
      </c>
      <c r="X16" s="119">
        <f t="shared" si="12"/>
        <v>0</v>
      </c>
      <c r="Y16" s="125">
        <f>VLOOKUP(A16,'31.12.25'!A:B,2,FALSE)</f>
        <v>87</v>
      </c>
      <c r="Z16" s="119">
        <f t="shared" si="13"/>
        <v>0</v>
      </c>
      <c r="AA16" s="119">
        <f t="shared" si="14"/>
        <v>25</v>
      </c>
    </row>
    <row r="17" spans="1:27" x14ac:dyDescent="0.25">
      <c r="A17" s="124" t="s">
        <v>15</v>
      </c>
      <c r="B17" s="124"/>
      <c r="C17" s="124"/>
      <c r="D17" s="119">
        <f t="shared" si="2"/>
        <v>0</v>
      </c>
      <c r="E17" s="124"/>
      <c r="F17" s="119">
        <f t="shared" si="3"/>
        <v>0</v>
      </c>
      <c r="G17" s="124"/>
      <c r="H17" s="119">
        <f t="shared" si="4"/>
        <v>0</v>
      </c>
      <c r="I17" s="124">
        <f>VLOOKUP(A17,'30.04.25'!A:F,6,FALSE)</f>
        <v>1</v>
      </c>
      <c r="J17" s="119">
        <f t="shared" si="5"/>
        <v>1</v>
      </c>
      <c r="K17" s="124">
        <f>VLOOKUP(A17,'31.05.25'!A:F,6,FALSE)</f>
        <v>6</v>
      </c>
      <c r="L17" s="119">
        <f t="shared" si="6"/>
        <v>5</v>
      </c>
      <c r="M17" s="119">
        <f>VLOOKUP(A17,'30.06.25'!A:F,6,FALSE)</f>
        <v>12</v>
      </c>
      <c r="N17" s="119">
        <f t="shared" si="7"/>
        <v>6</v>
      </c>
      <c r="O17" s="124">
        <f>VLOOKUP(A17,'31.07.25'!A:F,6,FALSE)</f>
        <v>22</v>
      </c>
      <c r="P17" s="119">
        <f t="shared" si="8"/>
        <v>10</v>
      </c>
      <c r="Q17" s="119">
        <f>VLOOKUP(A17,'31.08.25'!A:F,6,FALSE)</f>
        <v>24</v>
      </c>
      <c r="R17" s="119">
        <f t="shared" si="9"/>
        <v>2</v>
      </c>
      <c r="S17" s="119">
        <f>VLOOKUP(A17,'30.09.25'!A:F,6,FALSE)</f>
        <v>28</v>
      </c>
      <c r="T17" s="119">
        <f t="shared" si="10"/>
        <v>4</v>
      </c>
      <c r="U17" s="119">
        <f>VLOOKUP(A17,'31.10.25'!A:F,6,FALSE)</f>
        <v>28</v>
      </c>
      <c r="V17" s="119">
        <f t="shared" si="11"/>
        <v>0</v>
      </c>
      <c r="W17" s="119">
        <f>VLOOKUP(A17,'30.11.25'!A:F,6,FALSE)</f>
        <v>28</v>
      </c>
      <c r="X17" s="119">
        <f t="shared" si="12"/>
        <v>0</v>
      </c>
      <c r="Y17" s="125">
        <f>VLOOKUP(A17,'31.12.25'!A:B,2,FALSE)</f>
        <v>32</v>
      </c>
      <c r="Z17" s="119">
        <f t="shared" si="13"/>
        <v>4</v>
      </c>
      <c r="AA17" s="119">
        <f t="shared" si="14"/>
        <v>32</v>
      </c>
    </row>
    <row r="18" spans="1:27" x14ac:dyDescent="0.25">
      <c r="A18" s="124" t="s">
        <v>16</v>
      </c>
      <c r="B18" s="124">
        <f>VLOOKUP(A18,'31.12.24'!A:F,6,FALSE)</f>
        <v>9</v>
      </c>
      <c r="C18" s="124">
        <f>VLOOKUP(A18,'31.01.25'!A:F,6,FALSE)</f>
        <v>9</v>
      </c>
      <c r="D18" s="119">
        <f t="shared" si="2"/>
        <v>0</v>
      </c>
      <c r="E18" s="124">
        <f>VLOOKUP(A18,'28.02.25'!A:F,6,FALSE)</f>
        <v>9</v>
      </c>
      <c r="F18" s="119">
        <f t="shared" si="3"/>
        <v>0</v>
      </c>
      <c r="G18" s="124">
        <f>VLOOKUP(A18,'31.03.25'!A:F,6,FALSE)</f>
        <v>9</v>
      </c>
      <c r="H18" s="119">
        <f t="shared" si="4"/>
        <v>0</v>
      </c>
      <c r="I18" s="124">
        <f>VLOOKUP(A18,'30.04.25'!A:F,6,FALSE)</f>
        <v>9</v>
      </c>
      <c r="J18" s="119">
        <f t="shared" si="5"/>
        <v>0</v>
      </c>
      <c r="K18" s="124">
        <f>VLOOKUP(A18,'31.05.25'!A:F,6,FALSE)</f>
        <v>9</v>
      </c>
      <c r="L18" s="119">
        <f t="shared" si="6"/>
        <v>0</v>
      </c>
      <c r="M18" s="119">
        <f>VLOOKUP(A18,'30.06.25'!A:F,6,FALSE)</f>
        <v>9</v>
      </c>
      <c r="N18" s="119">
        <f t="shared" si="7"/>
        <v>0</v>
      </c>
      <c r="O18" s="124">
        <f>VLOOKUP(A18,'31.07.25'!A:F,6,FALSE)</f>
        <v>9</v>
      </c>
      <c r="P18" s="119">
        <f t="shared" si="8"/>
        <v>0</v>
      </c>
      <c r="Q18" s="119">
        <f>VLOOKUP(A18,'31.08.25'!A:F,6,FALSE)</f>
        <v>18</v>
      </c>
      <c r="R18" s="119">
        <f t="shared" si="9"/>
        <v>9</v>
      </c>
      <c r="S18" s="119">
        <f>VLOOKUP(A18,'30.09.25'!A:F,6,FALSE)</f>
        <v>18</v>
      </c>
      <c r="T18" s="119">
        <f t="shared" si="10"/>
        <v>0</v>
      </c>
      <c r="U18" s="119">
        <f>VLOOKUP(A18,'31.10.25'!A:F,6,FALSE)</f>
        <v>22</v>
      </c>
      <c r="V18" s="119">
        <f t="shared" si="11"/>
        <v>4</v>
      </c>
      <c r="W18" s="119">
        <f>VLOOKUP(A18,'30.11.25'!A:F,6,FALSE)</f>
        <v>22</v>
      </c>
      <c r="X18" s="119">
        <f t="shared" si="12"/>
        <v>0</v>
      </c>
      <c r="Y18" s="125">
        <f>VLOOKUP(A18,'31.12.25'!A:B,2,FALSE)</f>
        <v>22</v>
      </c>
      <c r="Z18" s="119">
        <f t="shared" si="13"/>
        <v>0</v>
      </c>
      <c r="AA18" s="119">
        <f t="shared" si="14"/>
        <v>13</v>
      </c>
    </row>
    <row r="19" spans="1:27" x14ac:dyDescent="0.25">
      <c r="A19" s="124" t="s">
        <v>17</v>
      </c>
      <c r="B19" s="124">
        <f>VLOOKUP(A19,'31.12.24'!A:F,6,FALSE)</f>
        <v>2</v>
      </c>
      <c r="C19" s="124">
        <f>VLOOKUP(A19,'31.01.25'!A:F,6,FALSE)</f>
        <v>2</v>
      </c>
      <c r="D19" s="119">
        <f t="shared" si="2"/>
        <v>0</v>
      </c>
      <c r="E19" s="124">
        <f>VLOOKUP(A19,'28.02.25'!A:F,6,FALSE)</f>
        <v>6</v>
      </c>
      <c r="F19" s="119">
        <f t="shared" si="3"/>
        <v>4</v>
      </c>
      <c r="G19" s="124">
        <f>VLOOKUP(A19,'31.03.25'!A:F,6,FALSE)</f>
        <v>7</v>
      </c>
      <c r="H19" s="119">
        <f t="shared" si="4"/>
        <v>1</v>
      </c>
      <c r="I19" s="124">
        <f>VLOOKUP(A19,'30.04.25'!A:F,6,FALSE)</f>
        <v>16</v>
      </c>
      <c r="J19" s="119">
        <f t="shared" si="5"/>
        <v>9</v>
      </c>
      <c r="K19" s="124">
        <f>VLOOKUP(A19,'31.05.25'!A:F,6,FALSE)</f>
        <v>35</v>
      </c>
      <c r="L19" s="119">
        <f t="shared" si="6"/>
        <v>19</v>
      </c>
      <c r="M19" s="119">
        <f>VLOOKUP(A19,'30.06.25'!A:F,6,FALSE)</f>
        <v>53</v>
      </c>
      <c r="N19" s="119">
        <f t="shared" si="7"/>
        <v>18</v>
      </c>
      <c r="O19" s="124">
        <f>VLOOKUP(A19,'31.07.25'!A:F,6,FALSE)</f>
        <v>64</v>
      </c>
      <c r="P19" s="119">
        <f t="shared" si="8"/>
        <v>11</v>
      </c>
      <c r="Q19" s="119">
        <f>VLOOKUP(A19,'31.08.25'!A:F,6,FALSE)</f>
        <v>79</v>
      </c>
      <c r="R19" s="119">
        <f t="shared" si="9"/>
        <v>15</v>
      </c>
      <c r="S19" s="119">
        <f>VLOOKUP(A19,'30.09.25'!A:F,6,FALSE)</f>
        <v>82</v>
      </c>
      <c r="T19" s="119">
        <f t="shared" si="10"/>
        <v>3</v>
      </c>
      <c r="U19" s="119">
        <f>VLOOKUP(A19,'31.10.25'!A:F,6,FALSE)</f>
        <v>85</v>
      </c>
      <c r="V19" s="119">
        <f t="shared" si="11"/>
        <v>3</v>
      </c>
      <c r="W19" s="119">
        <f>VLOOKUP(A19,'30.11.25'!A:F,6,FALSE)</f>
        <v>86</v>
      </c>
      <c r="X19" s="119">
        <f t="shared" si="12"/>
        <v>1</v>
      </c>
      <c r="Y19" s="125">
        <f>VLOOKUP(A19,'31.12.25'!A:B,2,FALSE)</f>
        <v>94</v>
      </c>
      <c r="Z19" s="119">
        <f t="shared" si="13"/>
        <v>8</v>
      </c>
      <c r="AA19" s="119">
        <f t="shared" si="14"/>
        <v>92</v>
      </c>
    </row>
    <row r="20" spans="1:27" x14ac:dyDescent="0.25">
      <c r="A20" s="124" t="s">
        <v>177</v>
      </c>
      <c r="B20" s="124">
        <f>VLOOKUP(A20,'31.12.24'!A:F,6,FALSE)</f>
        <v>1</v>
      </c>
      <c r="C20" s="124">
        <f>VLOOKUP(A20,'31.01.25'!A:F,6,FALSE)</f>
        <v>1</v>
      </c>
      <c r="D20" s="119">
        <f t="shared" ref="D20:D47" si="15">C20-B20</f>
        <v>0</v>
      </c>
      <c r="E20" s="124">
        <f>VLOOKUP(A20,'28.02.25'!A:F,6,FALSE)</f>
        <v>1</v>
      </c>
      <c r="F20" s="119">
        <f t="shared" ref="F20:F47" si="16">E20-C20</f>
        <v>0</v>
      </c>
      <c r="G20" s="124">
        <f>VLOOKUP(A20,'31.03.25'!A:F,6,FALSE)</f>
        <v>1</v>
      </c>
      <c r="H20" s="119">
        <f t="shared" ref="H20:H47" si="17">G20-E20</f>
        <v>0</v>
      </c>
      <c r="I20" s="124">
        <f>VLOOKUP(A20,'30.04.25'!A:F,6,FALSE)</f>
        <v>1</v>
      </c>
      <c r="J20" s="119">
        <f t="shared" ref="J20:J47" si="18">I20-G20</f>
        <v>0</v>
      </c>
      <c r="K20" s="124">
        <f>VLOOKUP(A20,'31.05.25'!A:F,6,FALSE)</f>
        <v>1</v>
      </c>
      <c r="L20" s="119">
        <f t="shared" ref="L20:L47" si="19">K20-I20</f>
        <v>0</v>
      </c>
      <c r="M20" s="119">
        <f>VLOOKUP(A20,'30.06.25'!A:F,6,FALSE)</f>
        <v>1</v>
      </c>
      <c r="N20" s="119">
        <f t="shared" ref="N20:N47" si="20">M20-K20</f>
        <v>0</v>
      </c>
      <c r="O20" s="124">
        <f>VLOOKUP(A20,'31.07.25'!A:F,6,FALSE)</f>
        <v>1</v>
      </c>
      <c r="P20" s="119">
        <f t="shared" ref="P20:P47" si="21">O20-M20</f>
        <v>0</v>
      </c>
      <c r="Q20" s="119">
        <f>VLOOKUP(A20,'31.08.25'!A:F,6,FALSE)</f>
        <v>1</v>
      </c>
      <c r="R20" s="119">
        <f t="shared" ref="R20:R47" si="22">Q20-O20</f>
        <v>0</v>
      </c>
      <c r="S20" s="119">
        <f>VLOOKUP(A20,'30.09.25'!A:F,6,FALSE)</f>
        <v>1</v>
      </c>
      <c r="T20" s="119">
        <f t="shared" ref="T20:T47" si="23">S20-Q20</f>
        <v>0</v>
      </c>
      <c r="U20" s="119">
        <f>VLOOKUP(A20,'31.10.25'!A:F,6,FALSE)</f>
        <v>1</v>
      </c>
      <c r="V20" s="119">
        <f t="shared" ref="V20:V47" si="24">U20-S20</f>
        <v>0</v>
      </c>
      <c r="W20" s="119">
        <f>VLOOKUP(A20,'30.11.25'!A:F,6,FALSE)</f>
        <v>1</v>
      </c>
      <c r="X20" s="119">
        <f t="shared" ref="X20:X47" si="25">W20-U20</f>
        <v>0</v>
      </c>
      <c r="Y20" s="125">
        <f>VLOOKUP(A20,'31.12.25'!A:B,2,FALSE)</f>
        <v>1</v>
      </c>
      <c r="Z20" s="119">
        <f t="shared" ref="Z20:Z47" si="26">Y20-W20</f>
        <v>0</v>
      </c>
      <c r="AA20" s="119">
        <f t="shared" si="14"/>
        <v>0</v>
      </c>
    </row>
    <row r="21" spans="1:27" x14ac:dyDescent="0.25">
      <c r="A21" s="124" t="s">
        <v>178</v>
      </c>
      <c r="B21" s="124">
        <f>VLOOKUP(A21,'31.12.24'!A:F,6,FALSE)</f>
        <v>6</v>
      </c>
      <c r="C21" s="124">
        <f>VLOOKUP(A21,'31.01.25'!A:F,6,FALSE)</f>
        <v>6</v>
      </c>
      <c r="D21" s="119">
        <f t="shared" si="15"/>
        <v>0</v>
      </c>
      <c r="E21" s="124">
        <f>VLOOKUP(A21,'28.02.25'!A:F,6,FALSE)</f>
        <v>6</v>
      </c>
      <c r="F21" s="119">
        <f t="shared" si="16"/>
        <v>0</v>
      </c>
      <c r="G21" s="124">
        <f>VLOOKUP(A21,'31.03.25'!A:F,6,FALSE)</f>
        <v>6</v>
      </c>
      <c r="H21" s="119">
        <f t="shared" si="17"/>
        <v>0</v>
      </c>
      <c r="I21" s="124">
        <f>VLOOKUP(A21,'30.04.25'!A:F,6,FALSE)</f>
        <v>6</v>
      </c>
      <c r="J21" s="119">
        <f t="shared" si="18"/>
        <v>0</v>
      </c>
      <c r="K21" s="124">
        <f>VLOOKUP(A21,'31.05.25'!A:F,6,FALSE)</f>
        <v>6</v>
      </c>
      <c r="L21" s="119">
        <f t="shared" si="19"/>
        <v>0</v>
      </c>
      <c r="M21" s="119">
        <f>VLOOKUP(A21,'30.06.25'!A:F,6,FALSE)</f>
        <v>6</v>
      </c>
      <c r="N21" s="119">
        <f t="shared" si="20"/>
        <v>0</v>
      </c>
      <c r="O21" s="124">
        <f>VLOOKUP(A21,'31.07.25'!A:F,6,FALSE)</f>
        <v>6</v>
      </c>
      <c r="P21" s="119">
        <f t="shared" si="21"/>
        <v>0</v>
      </c>
      <c r="Q21" s="119">
        <f>VLOOKUP(A21,'31.08.25'!A:F,6,FALSE)</f>
        <v>6</v>
      </c>
      <c r="R21" s="119">
        <f t="shared" si="22"/>
        <v>0</v>
      </c>
      <c r="S21" s="119">
        <f>VLOOKUP(A21,'30.09.25'!A:F,6,FALSE)</f>
        <v>6</v>
      </c>
      <c r="T21" s="119">
        <f t="shared" si="23"/>
        <v>0</v>
      </c>
      <c r="U21" s="119">
        <f>VLOOKUP(A21,'31.10.25'!A:F,6,FALSE)</f>
        <v>6</v>
      </c>
      <c r="V21" s="119">
        <f t="shared" si="24"/>
        <v>0</v>
      </c>
      <c r="W21" s="119">
        <f>VLOOKUP(A21,'30.11.25'!A:F,6,FALSE)</f>
        <v>6</v>
      </c>
      <c r="X21" s="119">
        <f t="shared" si="25"/>
        <v>0</v>
      </c>
      <c r="Y21" s="125">
        <f>VLOOKUP(A21,'31.12.25'!A:B,2,FALSE)</f>
        <v>6</v>
      </c>
      <c r="Z21" s="119">
        <f t="shared" si="26"/>
        <v>0</v>
      </c>
      <c r="AA21" s="119">
        <f t="shared" si="14"/>
        <v>0</v>
      </c>
    </row>
    <row r="22" spans="1:27" x14ac:dyDescent="0.25">
      <c r="A22" s="124" t="s">
        <v>179</v>
      </c>
      <c r="B22" s="124">
        <f>VLOOKUP(A22,'31.12.24'!A:F,6,FALSE)</f>
        <v>2</v>
      </c>
      <c r="C22" s="124">
        <f>VLOOKUP(A22,'31.01.25'!A:F,6,FALSE)</f>
        <v>2</v>
      </c>
      <c r="D22" s="119">
        <f t="shared" si="15"/>
        <v>0</v>
      </c>
      <c r="E22" s="124">
        <f>VLOOKUP(A22,'28.02.25'!A:F,6,FALSE)</f>
        <v>2</v>
      </c>
      <c r="F22" s="119">
        <f t="shared" si="16"/>
        <v>0</v>
      </c>
      <c r="G22" s="124">
        <f>VLOOKUP(A22,'31.03.25'!A:F,6,FALSE)</f>
        <v>2</v>
      </c>
      <c r="H22" s="119">
        <f t="shared" si="17"/>
        <v>0</v>
      </c>
      <c r="I22" s="124">
        <f>VLOOKUP(A22,'30.04.25'!A:F,6,FALSE)</f>
        <v>2</v>
      </c>
      <c r="J22" s="119">
        <f t="shared" si="18"/>
        <v>0</v>
      </c>
      <c r="K22" s="124">
        <f>VLOOKUP(A22,'31.05.25'!A:F,6,FALSE)</f>
        <v>2</v>
      </c>
      <c r="L22" s="119">
        <f t="shared" si="19"/>
        <v>0</v>
      </c>
      <c r="M22" s="119">
        <f>VLOOKUP(A22,'30.06.25'!A:F,6,FALSE)</f>
        <v>2</v>
      </c>
      <c r="N22" s="119">
        <f t="shared" si="20"/>
        <v>0</v>
      </c>
      <c r="O22" s="124">
        <f>VLOOKUP(A22,'31.07.25'!A:F,6,FALSE)</f>
        <v>2</v>
      </c>
      <c r="P22" s="119">
        <f t="shared" si="21"/>
        <v>0</v>
      </c>
      <c r="Q22" s="119">
        <f>VLOOKUP(A22,'31.08.25'!A:F,6,FALSE)</f>
        <v>2</v>
      </c>
      <c r="R22" s="119">
        <f t="shared" si="22"/>
        <v>0</v>
      </c>
      <c r="S22" s="119">
        <f>VLOOKUP(A22,'30.09.25'!A:F,6,FALSE)</f>
        <v>2</v>
      </c>
      <c r="T22" s="119">
        <f t="shared" si="23"/>
        <v>0</v>
      </c>
      <c r="U22" s="119">
        <f>VLOOKUP(A22,'31.10.25'!A:F,6,FALSE)</f>
        <v>2</v>
      </c>
      <c r="V22" s="119">
        <f t="shared" si="24"/>
        <v>0</v>
      </c>
      <c r="W22" s="119">
        <f>VLOOKUP(A22,'30.11.25'!A:F,6,FALSE)</f>
        <v>2</v>
      </c>
      <c r="X22" s="119">
        <f t="shared" si="25"/>
        <v>0</v>
      </c>
      <c r="Y22" s="125">
        <f>VLOOKUP(A22,'31.12.25'!A:B,2,FALSE)</f>
        <v>2</v>
      </c>
      <c r="Z22" s="119">
        <f t="shared" si="26"/>
        <v>0</v>
      </c>
      <c r="AA22" s="119">
        <f t="shared" si="14"/>
        <v>0</v>
      </c>
    </row>
    <row r="23" spans="1:27" x14ac:dyDescent="0.25">
      <c r="A23" s="124" t="s">
        <v>180</v>
      </c>
      <c r="B23" s="124">
        <f>VLOOKUP(A23,'31.12.24'!A:F,6,FALSE)</f>
        <v>2</v>
      </c>
      <c r="C23" s="124">
        <f>VLOOKUP(A23,'31.01.25'!A:F,6,FALSE)</f>
        <v>2</v>
      </c>
      <c r="D23" s="119">
        <f t="shared" si="15"/>
        <v>0</v>
      </c>
      <c r="E23" s="124">
        <f>VLOOKUP(A23,'28.02.25'!A:F,6,FALSE)</f>
        <v>2</v>
      </c>
      <c r="F23" s="119">
        <f t="shared" si="16"/>
        <v>0</v>
      </c>
      <c r="G23" s="124">
        <f>VLOOKUP(A23,'31.03.25'!A:F,6,FALSE)</f>
        <v>2</v>
      </c>
      <c r="H23" s="119">
        <f t="shared" si="17"/>
        <v>0</v>
      </c>
      <c r="I23" s="124">
        <f>VLOOKUP(A23,'30.04.25'!A:F,6,FALSE)</f>
        <v>2</v>
      </c>
      <c r="J23" s="119">
        <f t="shared" si="18"/>
        <v>0</v>
      </c>
      <c r="K23" s="124">
        <f>VLOOKUP(A23,'31.05.25'!A:F,6,FALSE)</f>
        <v>2</v>
      </c>
      <c r="L23" s="119">
        <f t="shared" si="19"/>
        <v>0</v>
      </c>
      <c r="M23" s="119">
        <f>VLOOKUP(A23,'30.06.25'!A:F,6,FALSE)</f>
        <v>2</v>
      </c>
      <c r="N23" s="119">
        <f t="shared" si="20"/>
        <v>0</v>
      </c>
      <c r="O23" s="124">
        <f>VLOOKUP(A23,'31.07.25'!A:F,6,FALSE)</f>
        <v>2</v>
      </c>
      <c r="P23" s="119">
        <f t="shared" si="21"/>
        <v>0</v>
      </c>
      <c r="Q23" s="119">
        <f>VLOOKUP(A23,'31.08.25'!A:F,6,FALSE)</f>
        <v>2</v>
      </c>
      <c r="R23" s="119">
        <f t="shared" si="22"/>
        <v>0</v>
      </c>
      <c r="S23" s="119">
        <f>VLOOKUP(A23,'30.09.25'!A:F,6,FALSE)</f>
        <v>2</v>
      </c>
      <c r="T23" s="119">
        <f t="shared" si="23"/>
        <v>0</v>
      </c>
      <c r="U23" s="119">
        <f>VLOOKUP(A23,'31.10.25'!A:F,6,FALSE)</f>
        <v>2</v>
      </c>
      <c r="V23" s="119">
        <f t="shared" si="24"/>
        <v>0</v>
      </c>
      <c r="W23" s="119">
        <f>VLOOKUP(A23,'30.11.25'!A:F,6,FALSE)</f>
        <v>2</v>
      </c>
      <c r="X23" s="119">
        <f t="shared" si="25"/>
        <v>0</v>
      </c>
      <c r="Y23" s="125">
        <f>VLOOKUP(A23,'31.12.25'!A:B,2,FALSE)</f>
        <v>2</v>
      </c>
      <c r="Z23" s="119">
        <f t="shared" si="26"/>
        <v>0</v>
      </c>
      <c r="AA23" s="119">
        <f t="shared" si="14"/>
        <v>0</v>
      </c>
    </row>
    <row r="24" spans="1:27" x14ac:dyDescent="0.25">
      <c r="A24" s="124" t="s">
        <v>181</v>
      </c>
      <c r="B24" s="124">
        <f>VLOOKUP(A24,'31.12.24'!A:F,6,FALSE)</f>
        <v>7</v>
      </c>
      <c r="C24" s="124">
        <f>VLOOKUP(A24,'31.01.25'!A:F,6,FALSE)</f>
        <v>7</v>
      </c>
      <c r="D24" s="119">
        <f t="shared" si="15"/>
        <v>0</v>
      </c>
      <c r="E24" s="124">
        <f>VLOOKUP(A24,'28.02.25'!A:F,6,FALSE)</f>
        <v>7</v>
      </c>
      <c r="F24" s="119">
        <f t="shared" si="16"/>
        <v>0</v>
      </c>
      <c r="G24" s="124">
        <f>VLOOKUP(A24,'31.03.25'!A:F,6,FALSE)</f>
        <v>7</v>
      </c>
      <c r="H24" s="119">
        <f t="shared" si="17"/>
        <v>0</v>
      </c>
      <c r="I24" s="124">
        <f>VLOOKUP(A24,'30.04.25'!A:F,6,FALSE)</f>
        <v>7</v>
      </c>
      <c r="J24" s="119">
        <f t="shared" si="18"/>
        <v>0</v>
      </c>
      <c r="K24" s="124">
        <f>VLOOKUP(A24,'31.05.25'!A:F,6,FALSE)</f>
        <v>7</v>
      </c>
      <c r="L24" s="119">
        <f t="shared" si="19"/>
        <v>0</v>
      </c>
      <c r="M24" s="119">
        <f>VLOOKUP(A24,'30.06.25'!A:F,6,FALSE)</f>
        <v>7</v>
      </c>
      <c r="N24" s="119">
        <f t="shared" si="20"/>
        <v>0</v>
      </c>
      <c r="O24" s="124">
        <f>VLOOKUP(A24,'31.07.25'!A:F,6,FALSE)</f>
        <v>7</v>
      </c>
      <c r="P24" s="119">
        <f t="shared" si="21"/>
        <v>0</v>
      </c>
      <c r="Q24" s="119">
        <f>VLOOKUP(A24,'31.08.25'!A:F,6,FALSE)</f>
        <v>7</v>
      </c>
      <c r="R24" s="119">
        <f t="shared" si="22"/>
        <v>0</v>
      </c>
      <c r="S24" s="119">
        <f>VLOOKUP(A24,'30.09.25'!A:F,6,FALSE)</f>
        <v>7</v>
      </c>
      <c r="T24" s="119">
        <f t="shared" si="23"/>
        <v>0</v>
      </c>
      <c r="U24" s="119">
        <f>VLOOKUP(A24,'31.10.25'!A:F,6,FALSE)</f>
        <v>7</v>
      </c>
      <c r="V24" s="119">
        <f t="shared" si="24"/>
        <v>0</v>
      </c>
      <c r="W24" s="119">
        <f>VLOOKUP(A24,'30.11.25'!A:F,6,FALSE)</f>
        <v>7</v>
      </c>
      <c r="X24" s="119">
        <f t="shared" si="25"/>
        <v>0</v>
      </c>
      <c r="Y24" s="125">
        <f>VLOOKUP(A24,'31.12.25'!A:B,2,FALSE)</f>
        <v>7</v>
      </c>
      <c r="Z24" s="119">
        <f t="shared" si="26"/>
        <v>0</v>
      </c>
      <c r="AA24" s="119">
        <f t="shared" si="14"/>
        <v>0</v>
      </c>
    </row>
    <row r="25" spans="1:27" x14ac:dyDescent="0.25">
      <c r="A25" s="124" t="s">
        <v>182</v>
      </c>
      <c r="B25" s="124">
        <f>VLOOKUP(A25,'31.12.24'!A:F,6,FALSE)</f>
        <v>6</v>
      </c>
      <c r="C25" s="124">
        <f>VLOOKUP(A25,'31.01.25'!A:F,6,FALSE)</f>
        <v>6</v>
      </c>
      <c r="D25" s="119">
        <f t="shared" si="15"/>
        <v>0</v>
      </c>
      <c r="E25" s="124">
        <f>VLOOKUP(A25,'28.02.25'!A:F,6,FALSE)</f>
        <v>6</v>
      </c>
      <c r="F25" s="119">
        <f t="shared" si="16"/>
        <v>0</v>
      </c>
      <c r="G25" s="124">
        <f>VLOOKUP(A25,'31.03.25'!A:F,6,FALSE)</f>
        <v>6</v>
      </c>
      <c r="H25" s="119">
        <f t="shared" si="17"/>
        <v>0</v>
      </c>
      <c r="I25" s="124">
        <f>VLOOKUP(A25,'30.04.25'!A:F,6,FALSE)</f>
        <v>6</v>
      </c>
      <c r="J25" s="119">
        <f t="shared" si="18"/>
        <v>0</v>
      </c>
      <c r="K25" s="124">
        <f>VLOOKUP(A25,'31.05.25'!A:F,6,FALSE)</f>
        <v>6</v>
      </c>
      <c r="L25" s="119">
        <f t="shared" si="19"/>
        <v>0</v>
      </c>
      <c r="M25" s="119">
        <f>VLOOKUP(A25,'30.06.25'!A:F,6,FALSE)</f>
        <v>6</v>
      </c>
      <c r="N25" s="119">
        <f t="shared" si="20"/>
        <v>0</v>
      </c>
      <c r="O25" s="124">
        <f>VLOOKUP(A25,'31.07.25'!A:F,6,FALSE)</f>
        <v>6</v>
      </c>
      <c r="P25" s="119">
        <f t="shared" si="21"/>
        <v>0</v>
      </c>
      <c r="Q25" s="119">
        <f>VLOOKUP(A25,'31.08.25'!A:F,6,FALSE)</f>
        <v>6</v>
      </c>
      <c r="R25" s="119">
        <f t="shared" si="22"/>
        <v>0</v>
      </c>
      <c r="S25" s="119">
        <f>VLOOKUP(A25,'30.09.25'!A:F,6,FALSE)</f>
        <v>6</v>
      </c>
      <c r="T25" s="119">
        <f t="shared" si="23"/>
        <v>0</v>
      </c>
      <c r="U25" s="119">
        <f>VLOOKUP(A25,'31.10.25'!A:F,6,FALSE)</f>
        <v>6</v>
      </c>
      <c r="V25" s="119">
        <f t="shared" si="24"/>
        <v>0</v>
      </c>
      <c r="W25" s="119">
        <f>VLOOKUP(A25,'30.11.25'!A:F,6,FALSE)</f>
        <v>6</v>
      </c>
      <c r="X25" s="119">
        <f t="shared" si="25"/>
        <v>0</v>
      </c>
      <c r="Y25" s="125">
        <f>VLOOKUP(A25,'31.12.25'!A:B,2,FALSE)</f>
        <v>6</v>
      </c>
      <c r="Z25" s="119">
        <f t="shared" si="26"/>
        <v>0</v>
      </c>
      <c r="AA25" s="119">
        <f t="shared" si="14"/>
        <v>0</v>
      </c>
    </row>
    <row r="26" spans="1:27" x14ac:dyDescent="0.25">
      <c r="A26" s="124" t="s">
        <v>213</v>
      </c>
      <c r="B26" s="124">
        <f>VLOOKUP(A26,'31.12.24'!A:F,6,FALSE)</f>
        <v>9</v>
      </c>
      <c r="C26" s="124">
        <f>VLOOKUP(A26,'31.01.25'!A:F,6,FALSE)</f>
        <v>9</v>
      </c>
      <c r="D26" s="119">
        <f t="shared" si="15"/>
        <v>0</v>
      </c>
      <c r="E26" s="124">
        <f>VLOOKUP(A26,'28.02.25'!A:F,6,FALSE)</f>
        <v>9</v>
      </c>
      <c r="F26" s="119">
        <f t="shared" si="16"/>
        <v>0</v>
      </c>
      <c r="G26" s="124">
        <f>VLOOKUP(A26,'31.03.25'!A:F,6,FALSE)</f>
        <v>9</v>
      </c>
      <c r="H26" s="119">
        <f t="shared" si="17"/>
        <v>0</v>
      </c>
      <c r="I26" s="124">
        <f>VLOOKUP(A26,'30.04.25'!A:F,6,FALSE)</f>
        <v>9</v>
      </c>
      <c r="J26" s="119">
        <f t="shared" si="18"/>
        <v>0</v>
      </c>
      <c r="K26" s="124">
        <f>VLOOKUP(A26,'31.05.25'!A:F,6,FALSE)</f>
        <v>9</v>
      </c>
      <c r="L26" s="119">
        <f t="shared" si="19"/>
        <v>0</v>
      </c>
      <c r="M26" s="119">
        <f>VLOOKUP(A26,'30.06.25'!A:F,6,FALSE)</f>
        <v>9</v>
      </c>
      <c r="N26" s="119">
        <f t="shared" si="20"/>
        <v>0</v>
      </c>
      <c r="O26" s="124">
        <f>VLOOKUP(A26,'31.07.25'!A:F,6,FALSE)</f>
        <v>9</v>
      </c>
      <c r="P26" s="119">
        <f t="shared" si="21"/>
        <v>0</v>
      </c>
      <c r="Q26" s="119">
        <f>VLOOKUP(A26,'31.08.25'!A:F,6,FALSE)</f>
        <v>9</v>
      </c>
      <c r="R26" s="119">
        <f t="shared" si="22"/>
        <v>0</v>
      </c>
      <c r="S26" s="119">
        <f>VLOOKUP(A26,'30.09.25'!A:F,6,FALSE)</f>
        <v>9</v>
      </c>
      <c r="T26" s="119">
        <f t="shared" si="23"/>
        <v>0</v>
      </c>
      <c r="U26" s="119">
        <f>VLOOKUP(A26,'31.10.25'!A:F,6,FALSE)</f>
        <v>9</v>
      </c>
      <c r="V26" s="119">
        <f t="shared" si="24"/>
        <v>0</v>
      </c>
      <c r="W26" s="119">
        <f>VLOOKUP(A26,'30.11.25'!A:F,6,FALSE)</f>
        <v>9</v>
      </c>
      <c r="X26" s="119">
        <f t="shared" si="25"/>
        <v>0</v>
      </c>
      <c r="Y26" s="125">
        <f>VLOOKUP(A26,'31.12.25'!A:B,2,FALSE)</f>
        <v>9</v>
      </c>
      <c r="Z26" s="119">
        <f t="shared" si="26"/>
        <v>0</v>
      </c>
      <c r="AA26" s="119">
        <f t="shared" si="14"/>
        <v>0</v>
      </c>
    </row>
    <row r="27" spans="1:27" x14ac:dyDescent="0.25">
      <c r="A27" s="124" t="s">
        <v>214</v>
      </c>
      <c r="B27" s="124">
        <f>VLOOKUP(A27,'31.12.24'!A:F,6,FALSE)</f>
        <v>3</v>
      </c>
      <c r="C27" s="124">
        <f>VLOOKUP(A27,'31.01.25'!A:F,6,FALSE)</f>
        <v>3</v>
      </c>
      <c r="D27" s="119">
        <f t="shared" si="15"/>
        <v>0</v>
      </c>
      <c r="E27" s="124">
        <f>VLOOKUP(A27,'28.02.25'!A:F,6,FALSE)</f>
        <v>3</v>
      </c>
      <c r="F27" s="119">
        <f t="shared" si="16"/>
        <v>0</v>
      </c>
      <c r="G27" s="124">
        <f>VLOOKUP(A27,'31.03.25'!A:F,6,FALSE)</f>
        <v>3</v>
      </c>
      <c r="H27" s="119">
        <f t="shared" si="17"/>
        <v>0</v>
      </c>
      <c r="I27" s="124">
        <f>VLOOKUP(A27,'30.04.25'!A:F,6,FALSE)</f>
        <v>3</v>
      </c>
      <c r="J27" s="119">
        <f t="shared" si="18"/>
        <v>0</v>
      </c>
      <c r="K27" s="124">
        <f>VLOOKUP(A27,'31.05.25'!A:F,6,FALSE)</f>
        <v>3</v>
      </c>
      <c r="L27" s="119">
        <f t="shared" si="19"/>
        <v>0</v>
      </c>
      <c r="M27" s="119">
        <f>VLOOKUP(A27,'30.06.25'!A:F,6,FALSE)</f>
        <v>3</v>
      </c>
      <c r="N27" s="119">
        <f t="shared" si="20"/>
        <v>0</v>
      </c>
      <c r="O27" s="124">
        <f>VLOOKUP(A27,'31.07.25'!A:F,6,FALSE)</f>
        <v>3</v>
      </c>
      <c r="P27" s="119">
        <f t="shared" si="21"/>
        <v>0</v>
      </c>
      <c r="Q27" s="119">
        <f>VLOOKUP(A27,'31.08.25'!A:F,6,FALSE)</f>
        <v>3</v>
      </c>
      <c r="R27" s="119">
        <f t="shared" si="22"/>
        <v>0</v>
      </c>
      <c r="S27" s="119">
        <f>VLOOKUP(A27,'30.09.25'!A:F,6,FALSE)</f>
        <v>3</v>
      </c>
      <c r="T27" s="119">
        <f t="shared" si="23"/>
        <v>0</v>
      </c>
      <c r="U27" s="119">
        <f>VLOOKUP(A27,'31.10.25'!A:F,6,FALSE)</f>
        <v>3</v>
      </c>
      <c r="V27" s="119">
        <f t="shared" si="24"/>
        <v>0</v>
      </c>
      <c r="W27" s="119">
        <f>VLOOKUP(A27,'30.11.25'!A:F,6,FALSE)</f>
        <v>3</v>
      </c>
      <c r="X27" s="119">
        <f t="shared" si="25"/>
        <v>0</v>
      </c>
      <c r="Y27" s="125">
        <f>VLOOKUP(A27,'31.12.25'!A:B,2,FALSE)</f>
        <v>3</v>
      </c>
      <c r="Z27" s="119">
        <f t="shared" si="26"/>
        <v>0</v>
      </c>
      <c r="AA27" s="119">
        <f t="shared" si="14"/>
        <v>0</v>
      </c>
    </row>
    <row r="28" spans="1:27" x14ac:dyDescent="0.25">
      <c r="A28" s="124" t="s">
        <v>18</v>
      </c>
      <c r="B28" s="124">
        <f>VLOOKUP(A28,'31.12.24'!A:F,6,FALSE)</f>
        <v>13</v>
      </c>
      <c r="C28" s="124">
        <f>VLOOKUP(A28,'31.01.25'!A:F,6,FALSE)</f>
        <v>13</v>
      </c>
      <c r="D28" s="119">
        <f t="shared" si="15"/>
        <v>0</v>
      </c>
      <c r="E28" s="124">
        <f>VLOOKUP(A28,'28.02.25'!A:F,6,FALSE)</f>
        <v>13</v>
      </c>
      <c r="F28" s="119">
        <f t="shared" si="16"/>
        <v>0</v>
      </c>
      <c r="G28" s="124">
        <f>VLOOKUP(A28,'31.03.25'!A:F,6,FALSE)</f>
        <v>13</v>
      </c>
      <c r="H28" s="119">
        <f t="shared" si="17"/>
        <v>0</v>
      </c>
      <c r="I28" s="124">
        <f>VLOOKUP(A28,'30.04.25'!A:F,6,FALSE)</f>
        <v>13</v>
      </c>
      <c r="J28" s="119">
        <f t="shared" si="18"/>
        <v>0</v>
      </c>
      <c r="K28" s="124">
        <f>VLOOKUP(A28,'31.05.25'!A:F,6,FALSE)</f>
        <v>13</v>
      </c>
      <c r="L28" s="119">
        <f t="shared" si="19"/>
        <v>0</v>
      </c>
      <c r="M28" s="119">
        <f>VLOOKUP(A28,'30.06.25'!A:F,6,FALSE)</f>
        <v>13</v>
      </c>
      <c r="N28" s="119">
        <f t="shared" si="20"/>
        <v>0</v>
      </c>
      <c r="O28" s="124">
        <f>VLOOKUP(A28,'31.07.25'!A:F,6,FALSE)</f>
        <v>13</v>
      </c>
      <c r="P28" s="119">
        <f t="shared" si="21"/>
        <v>0</v>
      </c>
      <c r="Q28" s="119">
        <f>VLOOKUP(A28,'31.08.25'!A:F,6,FALSE)</f>
        <v>13</v>
      </c>
      <c r="R28" s="119">
        <f t="shared" si="22"/>
        <v>0</v>
      </c>
      <c r="S28" s="119">
        <f>VLOOKUP(A28,'30.09.25'!A:F,6,FALSE)</f>
        <v>13</v>
      </c>
      <c r="T28" s="119">
        <f t="shared" si="23"/>
        <v>0</v>
      </c>
      <c r="U28" s="119">
        <f>VLOOKUP(A28,'31.10.25'!A:F,6,FALSE)</f>
        <v>13</v>
      </c>
      <c r="V28" s="119">
        <f t="shared" si="24"/>
        <v>0</v>
      </c>
      <c r="W28" s="119">
        <f>VLOOKUP(A28,'30.11.25'!A:F,6,FALSE)</f>
        <v>13</v>
      </c>
      <c r="X28" s="119">
        <f t="shared" si="25"/>
        <v>0</v>
      </c>
      <c r="Y28" s="125">
        <f>VLOOKUP(A28,'31.12.25'!A:B,2,FALSE)</f>
        <v>13</v>
      </c>
      <c r="Z28" s="119">
        <f t="shared" si="26"/>
        <v>0</v>
      </c>
      <c r="AA28" s="119">
        <f t="shared" si="14"/>
        <v>0</v>
      </c>
    </row>
    <row r="29" spans="1:27" x14ac:dyDescent="0.25">
      <c r="A29" s="124" t="s">
        <v>19</v>
      </c>
      <c r="B29" s="124">
        <f>VLOOKUP(A29,'31.12.24'!A:F,6,FALSE)</f>
        <v>22</v>
      </c>
      <c r="C29" s="124">
        <f>VLOOKUP(A29,'31.01.25'!A:F,6,FALSE)</f>
        <v>22</v>
      </c>
      <c r="D29" s="119">
        <f t="shared" si="15"/>
        <v>0</v>
      </c>
      <c r="E29" s="124">
        <f>VLOOKUP(A29,'28.02.25'!A:F,6,FALSE)</f>
        <v>22</v>
      </c>
      <c r="F29" s="119">
        <f t="shared" si="16"/>
        <v>0</v>
      </c>
      <c r="G29" s="124">
        <f>VLOOKUP(A29,'31.03.25'!A:F,6,FALSE)</f>
        <v>22</v>
      </c>
      <c r="H29" s="119">
        <f t="shared" si="17"/>
        <v>0</v>
      </c>
      <c r="I29" s="124">
        <f>VLOOKUP(A29,'30.04.25'!A:F,6,FALSE)</f>
        <v>22</v>
      </c>
      <c r="J29" s="119">
        <f t="shared" si="18"/>
        <v>0</v>
      </c>
      <c r="K29" s="124">
        <f>VLOOKUP(A29,'31.05.25'!A:F,6,FALSE)</f>
        <v>22</v>
      </c>
      <c r="L29" s="119">
        <f t="shared" si="19"/>
        <v>0</v>
      </c>
      <c r="M29" s="119">
        <f>VLOOKUP(A29,'30.06.25'!A:F,6,FALSE)</f>
        <v>22</v>
      </c>
      <c r="N29" s="119">
        <f t="shared" si="20"/>
        <v>0</v>
      </c>
      <c r="O29" s="124">
        <f>VLOOKUP(A29,'31.07.25'!A:F,6,FALSE)</f>
        <v>22</v>
      </c>
      <c r="P29" s="119">
        <f t="shared" si="21"/>
        <v>0</v>
      </c>
      <c r="Q29" s="119">
        <f>VLOOKUP(A29,'31.08.25'!A:F,6,FALSE)</f>
        <v>22</v>
      </c>
      <c r="R29" s="119">
        <f t="shared" si="22"/>
        <v>0</v>
      </c>
      <c r="S29" s="119">
        <f>VLOOKUP(A29,'30.09.25'!A:F,6,FALSE)</f>
        <v>22</v>
      </c>
      <c r="T29" s="119">
        <f t="shared" si="23"/>
        <v>0</v>
      </c>
      <c r="U29" s="119">
        <f>VLOOKUP(A29,'31.10.25'!A:F,6,FALSE)</f>
        <v>22</v>
      </c>
      <c r="V29" s="119">
        <f t="shared" si="24"/>
        <v>0</v>
      </c>
      <c r="W29" s="119">
        <f>VLOOKUP(A29,'30.11.25'!A:F,6,FALSE)</f>
        <v>22</v>
      </c>
      <c r="X29" s="119">
        <f t="shared" si="25"/>
        <v>0</v>
      </c>
      <c r="Y29" s="125">
        <f>VLOOKUP(A29,'31.12.25'!A:B,2,FALSE)</f>
        <v>22</v>
      </c>
      <c r="Z29" s="119">
        <f t="shared" si="26"/>
        <v>0</v>
      </c>
      <c r="AA29" s="119">
        <f t="shared" si="14"/>
        <v>0</v>
      </c>
    </row>
    <row r="30" spans="1:27" x14ac:dyDescent="0.25">
      <c r="A30" s="124" t="s">
        <v>183</v>
      </c>
      <c r="B30" s="124">
        <f>VLOOKUP(A30,'31.12.24'!A:F,6,FALSE)</f>
        <v>1</v>
      </c>
      <c r="C30" s="124">
        <f>VLOOKUP(A30,'31.01.25'!A:F,6,FALSE)</f>
        <v>1</v>
      </c>
      <c r="D30" s="119">
        <f t="shared" si="15"/>
        <v>0</v>
      </c>
      <c r="E30" s="124">
        <f>VLOOKUP(A30,'28.02.25'!A:F,6,FALSE)</f>
        <v>1</v>
      </c>
      <c r="F30" s="119">
        <f t="shared" si="16"/>
        <v>0</v>
      </c>
      <c r="G30" s="124">
        <f>VLOOKUP(A30,'31.03.25'!A:F,6,FALSE)</f>
        <v>1</v>
      </c>
      <c r="H30" s="119">
        <f t="shared" si="17"/>
        <v>0</v>
      </c>
      <c r="I30" s="124">
        <f>VLOOKUP(A30,'30.04.25'!A:F,6,FALSE)</f>
        <v>1</v>
      </c>
      <c r="J30" s="119">
        <f t="shared" si="18"/>
        <v>0</v>
      </c>
      <c r="K30" s="124">
        <f>VLOOKUP(A30,'31.05.25'!A:F,6,FALSE)</f>
        <v>1</v>
      </c>
      <c r="L30" s="119">
        <f t="shared" si="19"/>
        <v>0</v>
      </c>
      <c r="M30" s="119">
        <f>VLOOKUP(A30,'30.06.25'!A:F,6,FALSE)</f>
        <v>1</v>
      </c>
      <c r="N30" s="119">
        <f t="shared" si="20"/>
        <v>0</v>
      </c>
      <c r="O30" s="124">
        <f>VLOOKUP(A30,'31.07.25'!A:F,6,FALSE)</f>
        <v>1</v>
      </c>
      <c r="P30" s="119">
        <f t="shared" si="21"/>
        <v>0</v>
      </c>
      <c r="Q30" s="119">
        <f>VLOOKUP(A30,'31.08.25'!A:F,6,FALSE)</f>
        <v>1</v>
      </c>
      <c r="R30" s="119">
        <f t="shared" si="22"/>
        <v>0</v>
      </c>
      <c r="S30" s="119">
        <f>VLOOKUP(A30,'30.09.25'!A:F,6,FALSE)</f>
        <v>1</v>
      </c>
      <c r="T30" s="119">
        <f t="shared" si="23"/>
        <v>0</v>
      </c>
      <c r="U30" s="119">
        <f>VLOOKUP(A30,'31.10.25'!A:F,6,FALSE)</f>
        <v>1</v>
      </c>
      <c r="V30" s="119">
        <f t="shared" si="24"/>
        <v>0</v>
      </c>
      <c r="W30" s="119">
        <f>VLOOKUP(A30,'30.11.25'!A:F,6,FALSE)</f>
        <v>1</v>
      </c>
      <c r="X30" s="119">
        <f t="shared" si="25"/>
        <v>0</v>
      </c>
      <c r="Y30" s="125">
        <f>VLOOKUP(A30,'31.12.25'!A:B,2,FALSE)</f>
        <v>1</v>
      </c>
      <c r="Z30" s="119">
        <f t="shared" si="26"/>
        <v>0</v>
      </c>
      <c r="AA30" s="119">
        <f t="shared" si="14"/>
        <v>0</v>
      </c>
    </row>
    <row r="31" spans="1:27" x14ac:dyDescent="0.25">
      <c r="A31" s="124" t="s">
        <v>184</v>
      </c>
      <c r="B31" s="124">
        <f>VLOOKUP(A31,'31.12.24'!A:F,6,FALSE)</f>
        <v>3</v>
      </c>
      <c r="C31" s="124">
        <f>VLOOKUP(A31,'31.01.25'!A:F,6,FALSE)</f>
        <v>3</v>
      </c>
      <c r="D31" s="119">
        <f t="shared" si="15"/>
        <v>0</v>
      </c>
      <c r="E31" s="124">
        <f>VLOOKUP(A31,'28.02.25'!A:F,6,FALSE)</f>
        <v>3</v>
      </c>
      <c r="F31" s="119">
        <f t="shared" si="16"/>
        <v>0</v>
      </c>
      <c r="G31" s="124">
        <f>VLOOKUP(A31,'31.03.25'!A:F,6,FALSE)</f>
        <v>3</v>
      </c>
      <c r="H31" s="119">
        <f t="shared" si="17"/>
        <v>0</v>
      </c>
      <c r="I31" s="124">
        <f>VLOOKUP(A31,'30.04.25'!A:F,6,FALSE)</f>
        <v>3</v>
      </c>
      <c r="J31" s="119">
        <f t="shared" si="18"/>
        <v>0</v>
      </c>
      <c r="K31" s="124">
        <f>VLOOKUP(A31,'31.05.25'!A:F,6,FALSE)</f>
        <v>3</v>
      </c>
      <c r="L31" s="119">
        <f t="shared" si="19"/>
        <v>0</v>
      </c>
      <c r="M31" s="119">
        <f>VLOOKUP(A31,'30.06.25'!A:F,6,FALSE)</f>
        <v>3</v>
      </c>
      <c r="N31" s="119">
        <f t="shared" si="20"/>
        <v>0</v>
      </c>
      <c r="O31" s="124">
        <f>VLOOKUP(A31,'31.07.25'!A:F,6,FALSE)</f>
        <v>3</v>
      </c>
      <c r="P31" s="119">
        <f t="shared" si="21"/>
        <v>0</v>
      </c>
      <c r="Q31" s="119">
        <f>VLOOKUP(A31,'31.08.25'!A:F,6,FALSE)</f>
        <v>3</v>
      </c>
      <c r="R31" s="119">
        <f t="shared" si="22"/>
        <v>0</v>
      </c>
      <c r="S31" s="119">
        <f>VLOOKUP(A31,'30.09.25'!A:F,6,FALSE)</f>
        <v>3</v>
      </c>
      <c r="T31" s="119">
        <f t="shared" si="23"/>
        <v>0</v>
      </c>
      <c r="U31" s="119">
        <f>VLOOKUP(A31,'31.10.25'!A:F,6,FALSE)</f>
        <v>3</v>
      </c>
      <c r="V31" s="119">
        <f t="shared" si="24"/>
        <v>0</v>
      </c>
      <c r="W31" s="119">
        <f>VLOOKUP(A31,'30.11.25'!A:F,6,FALSE)</f>
        <v>3</v>
      </c>
      <c r="X31" s="119">
        <f t="shared" si="25"/>
        <v>0</v>
      </c>
      <c r="Y31" s="125">
        <f>VLOOKUP(A31,'31.12.25'!A:B,2,FALSE)</f>
        <v>3</v>
      </c>
      <c r="Z31" s="119">
        <f t="shared" si="26"/>
        <v>0</v>
      </c>
      <c r="AA31" s="119">
        <f t="shared" si="14"/>
        <v>0</v>
      </c>
    </row>
    <row r="32" spans="1:27" x14ac:dyDescent="0.25">
      <c r="A32" s="124" t="s">
        <v>20</v>
      </c>
      <c r="B32" s="124">
        <f>VLOOKUP(A32,'31.12.24'!A:F,6,FALSE)</f>
        <v>35</v>
      </c>
      <c r="C32" s="124">
        <f>VLOOKUP(A32,'31.01.25'!A:F,6,FALSE)</f>
        <v>50</v>
      </c>
      <c r="D32" s="119">
        <f t="shared" si="15"/>
        <v>15</v>
      </c>
      <c r="E32" s="124">
        <f>VLOOKUP(A32,'28.02.25'!A:F,6,FALSE)</f>
        <v>70</v>
      </c>
      <c r="F32" s="119">
        <f t="shared" si="16"/>
        <v>20</v>
      </c>
      <c r="G32" s="124">
        <f>VLOOKUP(A32,'31.03.25'!A:F,6,FALSE)</f>
        <v>70</v>
      </c>
      <c r="H32" s="119">
        <f t="shared" si="17"/>
        <v>0</v>
      </c>
      <c r="I32" s="124">
        <f>VLOOKUP(A32,'30.04.25'!A:F,6,FALSE)</f>
        <v>70</v>
      </c>
      <c r="J32" s="119">
        <f t="shared" si="18"/>
        <v>0</v>
      </c>
      <c r="K32" s="124">
        <f>VLOOKUP(A32,'31.05.25'!A:F,6,FALSE)</f>
        <v>70</v>
      </c>
      <c r="L32" s="119">
        <f t="shared" si="19"/>
        <v>0</v>
      </c>
      <c r="M32" s="119">
        <f>VLOOKUP(A32,'30.06.25'!A:F,6,FALSE)</f>
        <v>70</v>
      </c>
      <c r="N32" s="119">
        <f t="shared" si="20"/>
        <v>0</v>
      </c>
      <c r="O32" s="124">
        <f>VLOOKUP(A32,'31.07.25'!A:F,6,FALSE)</f>
        <v>70</v>
      </c>
      <c r="P32" s="119">
        <f t="shared" si="21"/>
        <v>0</v>
      </c>
      <c r="Q32" s="119">
        <f>VLOOKUP(A32,'31.08.25'!A:F,6,FALSE)</f>
        <v>78</v>
      </c>
      <c r="R32" s="119">
        <f t="shared" si="22"/>
        <v>8</v>
      </c>
      <c r="S32" s="119">
        <f>VLOOKUP(A32,'30.09.25'!A:F,6,FALSE)</f>
        <v>78</v>
      </c>
      <c r="T32" s="119">
        <f t="shared" si="23"/>
        <v>0</v>
      </c>
      <c r="U32" s="119">
        <f>VLOOKUP(A32,'31.10.25'!A:F,6,FALSE)</f>
        <v>98</v>
      </c>
      <c r="V32" s="119">
        <f t="shared" si="24"/>
        <v>20</v>
      </c>
      <c r="W32" s="119">
        <f>VLOOKUP(A32,'30.11.25'!A:F,6,FALSE)</f>
        <v>98</v>
      </c>
      <c r="X32" s="119">
        <f t="shared" si="25"/>
        <v>0</v>
      </c>
      <c r="Y32" s="125">
        <f>VLOOKUP(A32,'31.12.25'!A:B,2,FALSE)</f>
        <v>98</v>
      </c>
      <c r="Z32" s="119">
        <f t="shared" si="26"/>
        <v>0</v>
      </c>
      <c r="AA32" s="119">
        <f t="shared" si="14"/>
        <v>63</v>
      </c>
    </row>
    <row r="33" spans="1:27" x14ac:dyDescent="0.25">
      <c r="A33" s="124" t="s">
        <v>21</v>
      </c>
      <c r="B33" s="124">
        <f>VLOOKUP(A33,'31.12.24'!A:F,6,FALSE)</f>
        <v>52</v>
      </c>
      <c r="C33" s="124">
        <f>VLOOKUP(A33,'31.01.25'!A:F,6,FALSE)</f>
        <v>85</v>
      </c>
      <c r="D33" s="119">
        <f t="shared" si="15"/>
        <v>33</v>
      </c>
      <c r="E33" s="124">
        <f>VLOOKUP(A33,'28.02.25'!A:F,6,FALSE)</f>
        <v>89</v>
      </c>
      <c r="F33" s="119">
        <f t="shared" si="16"/>
        <v>4</v>
      </c>
      <c r="G33" s="124">
        <f>VLOOKUP(A33,'31.03.25'!A:F,6,FALSE)</f>
        <v>99</v>
      </c>
      <c r="H33" s="119">
        <f t="shared" si="17"/>
        <v>10</v>
      </c>
      <c r="I33" s="124">
        <f>VLOOKUP(A33,'30.04.25'!A:F,6,FALSE)</f>
        <v>109</v>
      </c>
      <c r="J33" s="119">
        <f t="shared" si="18"/>
        <v>10</v>
      </c>
      <c r="K33" s="124">
        <f>VLOOKUP(A33,'31.05.25'!A:F,6,FALSE)</f>
        <v>109</v>
      </c>
      <c r="L33" s="119">
        <f t="shared" si="19"/>
        <v>0</v>
      </c>
      <c r="M33" s="119">
        <f>VLOOKUP(A33,'30.06.25'!A:F,6,FALSE)</f>
        <v>114</v>
      </c>
      <c r="N33" s="119">
        <f t="shared" si="20"/>
        <v>5</v>
      </c>
      <c r="O33" s="124">
        <f>VLOOKUP(A33,'31.07.25'!A:F,6,FALSE)</f>
        <v>118</v>
      </c>
      <c r="P33" s="119">
        <f t="shared" si="21"/>
        <v>4</v>
      </c>
      <c r="Q33" s="119">
        <f>VLOOKUP(A33,'31.08.25'!A:F,6,FALSE)</f>
        <v>141</v>
      </c>
      <c r="R33" s="119">
        <f t="shared" si="22"/>
        <v>23</v>
      </c>
      <c r="S33" s="119">
        <f>VLOOKUP(A33,'30.09.25'!A:F,6,FALSE)</f>
        <v>150</v>
      </c>
      <c r="T33" s="119">
        <f t="shared" si="23"/>
        <v>9</v>
      </c>
      <c r="U33" s="119">
        <f>VLOOKUP(A33,'31.10.25'!A:F,6,FALSE)</f>
        <v>150</v>
      </c>
      <c r="V33" s="119">
        <f t="shared" si="24"/>
        <v>0</v>
      </c>
      <c r="W33" s="119">
        <f>VLOOKUP(A33,'30.11.25'!A:F,6,FALSE)</f>
        <v>150</v>
      </c>
      <c r="X33" s="119">
        <f t="shared" si="25"/>
        <v>0</v>
      </c>
      <c r="Y33" s="125">
        <f>VLOOKUP(A33,'31.12.25'!A:B,2,FALSE)</f>
        <v>150</v>
      </c>
      <c r="Z33" s="119">
        <f t="shared" si="26"/>
        <v>0</v>
      </c>
      <c r="AA33" s="119">
        <f t="shared" si="14"/>
        <v>98</v>
      </c>
    </row>
    <row r="34" spans="1:27" x14ac:dyDescent="0.25">
      <c r="A34" s="124" t="s">
        <v>22</v>
      </c>
      <c r="B34" s="124"/>
      <c r="C34" s="124"/>
      <c r="D34" s="119">
        <f t="shared" si="15"/>
        <v>0</v>
      </c>
      <c r="E34" s="124"/>
      <c r="F34" s="119">
        <f t="shared" si="16"/>
        <v>0</v>
      </c>
      <c r="G34" s="124"/>
      <c r="H34" s="119">
        <f t="shared" si="17"/>
        <v>0</v>
      </c>
      <c r="I34" s="124"/>
      <c r="J34" s="119">
        <f t="shared" si="18"/>
        <v>0</v>
      </c>
      <c r="K34" s="124"/>
      <c r="L34" s="119">
        <f t="shared" si="19"/>
        <v>0</v>
      </c>
      <c r="M34" s="119"/>
      <c r="N34" s="119">
        <f t="shared" si="20"/>
        <v>0</v>
      </c>
      <c r="O34" s="124"/>
      <c r="P34" s="119">
        <f t="shared" si="21"/>
        <v>0</v>
      </c>
      <c r="Q34" s="119">
        <f>VLOOKUP(A34,'31.08.25'!A:F,6,FALSE)</f>
        <v>19</v>
      </c>
      <c r="R34" s="119">
        <f t="shared" si="22"/>
        <v>19</v>
      </c>
      <c r="S34" s="119">
        <f>VLOOKUP(A34,'30.09.25'!A:F,6,FALSE)</f>
        <v>20</v>
      </c>
      <c r="T34" s="119">
        <f t="shared" si="23"/>
        <v>1</v>
      </c>
      <c r="U34" s="119">
        <f>VLOOKUP(A34,'31.10.25'!A:F,6,FALSE)</f>
        <v>43</v>
      </c>
      <c r="V34" s="119">
        <f t="shared" si="24"/>
        <v>23</v>
      </c>
      <c r="W34" s="119">
        <f>VLOOKUP(A34,'30.11.25'!A:F,6,FALSE)</f>
        <v>49</v>
      </c>
      <c r="X34" s="119">
        <f t="shared" si="25"/>
        <v>6</v>
      </c>
      <c r="Y34" s="125">
        <f>VLOOKUP(A34,'31.12.25'!A:B,2,FALSE)</f>
        <v>49</v>
      </c>
      <c r="Z34" s="119">
        <f t="shared" si="26"/>
        <v>0</v>
      </c>
      <c r="AA34" s="119">
        <f t="shared" si="14"/>
        <v>49</v>
      </c>
    </row>
    <row r="35" spans="1:27" x14ac:dyDescent="0.25">
      <c r="A35" s="124" t="s">
        <v>23</v>
      </c>
      <c r="B35" s="124"/>
      <c r="C35" s="124"/>
      <c r="D35" s="119">
        <f t="shared" si="15"/>
        <v>0</v>
      </c>
      <c r="E35" s="124"/>
      <c r="F35" s="119">
        <f t="shared" si="16"/>
        <v>0</v>
      </c>
      <c r="G35" s="124"/>
      <c r="H35" s="119">
        <f t="shared" si="17"/>
        <v>0</v>
      </c>
      <c r="I35" s="124"/>
      <c r="J35" s="119">
        <f t="shared" si="18"/>
        <v>0</v>
      </c>
      <c r="K35" s="124">
        <f>VLOOKUP(A35,'31.05.25'!A:F,6,FALSE)</f>
        <v>5</v>
      </c>
      <c r="L35" s="119">
        <f t="shared" si="19"/>
        <v>5</v>
      </c>
      <c r="M35" s="119">
        <f>VLOOKUP(A35,'30.06.25'!A:F,6,FALSE)</f>
        <v>5</v>
      </c>
      <c r="N35" s="119">
        <f t="shared" si="20"/>
        <v>0</v>
      </c>
      <c r="O35" s="124">
        <f>VLOOKUP(A35,'31.07.25'!A:F,6,FALSE)</f>
        <v>5</v>
      </c>
      <c r="P35" s="119">
        <f t="shared" si="21"/>
        <v>0</v>
      </c>
      <c r="Q35" s="119">
        <f>VLOOKUP(A35,'31.08.25'!A:F,6,FALSE)</f>
        <v>5</v>
      </c>
      <c r="R35" s="119">
        <f t="shared" si="22"/>
        <v>0</v>
      </c>
      <c r="S35" s="119">
        <f>VLOOKUP(A35,'30.09.25'!A:F,6,FALSE)</f>
        <v>5</v>
      </c>
      <c r="T35" s="119">
        <f t="shared" si="23"/>
        <v>0</v>
      </c>
      <c r="U35" s="119">
        <f>VLOOKUP(A35,'31.10.25'!A:F,6,FALSE)</f>
        <v>5</v>
      </c>
      <c r="V35" s="119">
        <f t="shared" si="24"/>
        <v>0</v>
      </c>
      <c r="W35" s="119">
        <f>VLOOKUP(A35,'30.11.25'!A:F,6,FALSE)</f>
        <v>5</v>
      </c>
      <c r="X35" s="119">
        <f t="shared" si="25"/>
        <v>0</v>
      </c>
      <c r="Y35" s="125">
        <f>VLOOKUP(A35,'31.12.25'!A:B,2,FALSE)</f>
        <v>5</v>
      </c>
      <c r="Z35" s="119">
        <f t="shared" si="26"/>
        <v>0</v>
      </c>
      <c r="AA35" s="119">
        <f t="shared" si="14"/>
        <v>5</v>
      </c>
    </row>
    <row r="36" spans="1:27" x14ac:dyDescent="0.25">
      <c r="A36" s="124" t="s">
        <v>24</v>
      </c>
      <c r="B36" s="124">
        <f>VLOOKUP(A36,'31.12.24'!A:F,6,FALSE)</f>
        <v>16</v>
      </c>
      <c r="C36" s="124">
        <f>VLOOKUP(A36,'31.01.25'!A:F,6,FALSE)</f>
        <v>16</v>
      </c>
      <c r="D36" s="119">
        <f t="shared" si="15"/>
        <v>0</v>
      </c>
      <c r="E36" s="124">
        <f>VLOOKUP(A36,'28.02.25'!A:F,6,FALSE)</f>
        <v>40</v>
      </c>
      <c r="F36" s="119">
        <f t="shared" si="16"/>
        <v>24</v>
      </c>
      <c r="G36" s="124">
        <f>VLOOKUP(A36,'31.03.25'!A:F,6,FALSE)</f>
        <v>41</v>
      </c>
      <c r="H36" s="119">
        <f t="shared" si="17"/>
        <v>1</v>
      </c>
      <c r="I36" s="124">
        <f>VLOOKUP(A36,'30.04.25'!A:F,6,FALSE)</f>
        <v>41</v>
      </c>
      <c r="J36" s="119">
        <f t="shared" si="18"/>
        <v>0</v>
      </c>
      <c r="K36" s="124">
        <f>VLOOKUP(A36,'31.05.25'!A:F,6,FALSE)</f>
        <v>51</v>
      </c>
      <c r="L36" s="119">
        <f t="shared" si="19"/>
        <v>10</v>
      </c>
      <c r="M36" s="119">
        <f>VLOOKUP(A36,'30.06.25'!A:F,6,FALSE)</f>
        <v>51</v>
      </c>
      <c r="N36" s="119">
        <f t="shared" si="20"/>
        <v>0</v>
      </c>
      <c r="O36" s="124">
        <f>VLOOKUP(A36,'31.07.25'!A:F,6,FALSE)</f>
        <v>60</v>
      </c>
      <c r="P36" s="119">
        <f t="shared" si="21"/>
        <v>9</v>
      </c>
      <c r="Q36" s="119">
        <f>VLOOKUP(A36,'31.08.25'!A:F,6,FALSE)</f>
        <v>84</v>
      </c>
      <c r="R36" s="119">
        <f t="shared" si="22"/>
        <v>24</v>
      </c>
      <c r="S36" s="119">
        <f>VLOOKUP(A36,'30.09.25'!A:F,6,FALSE)</f>
        <v>100</v>
      </c>
      <c r="T36" s="119">
        <f t="shared" si="23"/>
        <v>16</v>
      </c>
      <c r="U36" s="119">
        <f>VLOOKUP(A36,'31.10.25'!A:F,6,FALSE)</f>
        <v>104</v>
      </c>
      <c r="V36" s="119">
        <f t="shared" si="24"/>
        <v>4</v>
      </c>
      <c r="W36" s="119">
        <f>VLOOKUP(A36,'30.11.25'!A:F,6,FALSE)</f>
        <v>114</v>
      </c>
      <c r="X36" s="119">
        <f t="shared" si="25"/>
        <v>10</v>
      </c>
      <c r="Y36" s="125">
        <f>VLOOKUP(A36,'31.12.25'!A:B,2,FALSE)</f>
        <v>114</v>
      </c>
      <c r="Z36" s="119">
        <f t="shared" si="26"/>
        <v>0</v>
      </c>
      <c r="AA36" s="119">
        <f t="shared" si="14"/>
        <v>98</v>
      </c>
    </row>
    <row r="37" spans="1:27" x14ac:dyDescent="0.25">
      <c r="A37" s="124" t="s">
        <v>25</v>
      </c>
      <c r="B37" s="124"/>
      <c r="C37" s="124"/>
      <c r="D37" s="119">
        <f t="shared" si="15"/>
        <v>0</v>
      </c>
      <c r="E37" s="124"/>
      <c r="F37" s="119">
        <f t="shared" si="16"/>
        <v>0</v>
      </c>
      <c r="G37" s="124">
        <f>VLOOKUP(A37,'31.03.25'!A:F,6,FALSE)</f>
        <v>1</v>
      </c>
      <c r="H37" s="119">
        <f t="shared" si="17"/>
        <v>1</v>
      </c>
      <c r="I37" s="124">
        <f>VLOOKUP(A37,'30.04.25'!A:F,6,FALSE)</f>
        <v>1</v>
      </c>
      <c r="J37" s="119">
        <f t="shared" si="18"/>
        <v>0</v>
      </c>
      <c r="K37" s="124">
        <f>VLOOKUP(A37,'31.05.25'!A:F,6,FALSE)</f>
        <v>1</v>
      </c>
      <c r="L37" s="119">
        <f t="shared" si="19"/>
        <v>0</v>
      </c>
      <c r="M37" s="119">
        <f>VLOOKUP(A37,'30.06.25'!A:F,6,FALSE)</f>
        <v>1</v>
      </c>
      <c r="N37" s="119">
        <f t="shared" si="20"/>
        <v>0</v>
      </c>
      <c r="O37" s="124">
        <f>VLOOKUP(A37,'31.07.25'!A:F,6,FALSE)</f>
        <v>4</v>
      </c>
      <c r="P37" s="119">
        <f t="shared" si="21"/>
        <v>3</v>
      </c>
      <c r="Q37" s="119">
        <f>VLOOKUP(A37,'31.08.25'!A:F,6,FALSE)</f>
        <v>14</v>
      </c>
      <c r="R37" s="119">
        <f t="shared" si="22"/>
        <v>10</v>
      </c>
      <c r="S37" s="119">
        <f>VLOOKUP(A37,'30.09.25'!A:F,6,FALSE)</f>
        <v>16</v>
      </c>
      <c r="T37" s="119">
        <f t="shared" si="23"/>
        <v>2</v>
      </c>
      <c r="U37" s="119">
        <f>VLOOKUP(A37,'31.10.25'!A:F,6,FALSE)</f>
        <v>25</v>
      </c>
      <c r="V37" s="119">
        <f t="shared" si="24"/>
        <v>9</v>
      </c>
      <c r="W37" s="119">
        <f>VLOOKUP(A37,'30.11.25'!A:F,6,FALSE)</f>
        <v>31</v>
      </c>
      <c r="X37" s="119">
        <f t="shared" si="25"/>
        <v>6</v>
      </c>
      <c r="Y37" s="125">
        <f>VLOOKUP(A37,'31.12.25'!A:B,2,FALSE)</f>
        <v>35</v>
      </c>
      <c r="Z37" s="119">
        <f t="shared" si="26"/>
        <v>4</v>
      </c>
      <c r="AA37" s="119">
        <f t="shared" si="14"/>
        <v>35</v>
      </c>
    </row>
    <row r="38" spans="1:27" x14ac:dyDescent="0.25">
      <c r="A38" s="124" t="s">
        <v>26</v>
      </c>
      <c r="B38" s="124">
        <f>VLOOKUP(A38,'31.12.24'!A:F,6,FALSE)</f>
        <v>127</v>
      </c>
      <c r="C38" s="124">
        <f>VLOOKUP(A38,'31.01.25'!A:F,6,FALSE)</f>
        <v>127</v>
      </c>
      <c r="D38" s="119">
        <f t="shared" si="15"/>
        <v>0</v>
      </c>
      <c r="E38" s="124">
        <f>VLOOKUP(A38,'28.02.25'!A:F,6,FALSE)</f>
        <v>131</v>
      </c>
      <c r="F38" s="119">
        <f t="shared" si="16"/>
        <v>4</v>
      </c>
      <c r="G38" s="124">
        <f>VLOOKUP(A38,'31.03.25'!A:F,6,FALSE)</f>
        <v>147</v>
      </c>
      <c r="H38" s="119">
        <f t="shared" si="17"/>
        <v>16</v>
      </c>
      <c r="I38" s="124">
        <f>VLOOKUP(A38,'30.04.25'!A:F,6,FALSE)</f>
        <v>159</v>
      </c>
      <c r="J38" s="119">
        <f t="shared" si="18"/>
        <v>12</v>
      </c>
      <c r="K38" s="124">
        <f>VLOOKUP(A38,'31.05.25'!A:F,6,FALSE)</f>
        <v>160</v>
      </c>
      <c r="L38" s="119">
        <f t="shared" si="19"/>
        <v>1</v>
      </c>
      <c r="M38" s="119">
        <f>VLOOKUP(A38,'30.06.25'!A:F,6,FALSE)</f>
        <v>179</v>
      </c>
      <c r="N38" s="119">
        <f t="shared" si="20"/>
        <v>19</v>
      </c>
      <c r="O38" s="124">
        <f>VLOOKUP(A38,'31.07.25'!A:F,6,FALSE)</f>
        <v>183</v>
      </c>
      <c r="P38" s="119">
        <f t="shared" si="21"/>
        <v>4</v>
      </c>
      <c r="Q38" s="119">
        <f>VLOOKUP(A38,'31.08.25'!A:F,6,FALSE)</f>
        <v>196</v>
      </c>
      <c r="R38" s="119">
        <f t="shared" si="22"/>
        <v>13</v>
      </c>
      <c r="S38" s="119">
        <f>VLOOKUP(A38,'30.09.25'!A:F,6,FALSE)</f>
        <v>207</v>
      </c>
      <c r="T38" s="119">
        <f t="shared" si="23"/>
        <v>11</v>
      </c>
      <c r="U38" s="119">
        <f>VLOOKUP(A38,'31.10.25'!A:F,6,FALSE)</f>
        <v>226</v>
      </c>
      <c r="V38" s="119">
        <f t="shared" si="24"/>
        <v>19</v>
      </c>
      <c r="W38" s="119">
        <f>VLOOKUP(A38,'30.11.25'!A:F,6,FALSE)</f>
        <v>226</v>
      </c>
      <c r="X38" s="119">
        <f t="shared" si="25"/>
        <v>0</v>
      </c>
      <c r="Y38" s="125">
        <f>VLOOKUP(A38,'31.12.25'!A:B,2,FALSE)</f>
        <v>226</v>
      </c>
      <c r="Z38" s="119">
        <f t="shared" si="26"/>
        <v>0</v>
      </c>
      <c r="AA38" s="119">
        <f t="shared" si="14"/>
        <v>99</v>
      </c>
    </row>
    <row r="39" spans="1:27" x14ac:dyDescent="0.25">
      <c r="A39" s="124" t="s">
        <v>132</v>
      </c>
      <c r="B39" s="124"/>
      <c r="C39" s="124"/>
      <c r="D39" s="119">
        <f t="shared" si="15"/>
        <v>0</v>
      </c>
      <c r="E39" s="124"/>
      <c r="F39" s="119">
        <f t="shared" si="16"/>
        <v>0</v>
      </c>
      <c r="G39" s="124"/>
      <c r="H39" s="119">
        <f t="shared" si="17"/>
        <v>0</v>
      </c>
      <c r="I39" s="124"/>
      <c r="J39" s="119">
        <f t="shared" si="18"/>
        <v>0</v>
      </c>
      <c r="K39" s="124"/>
      <c r="L39" s="119">
        <f t="shared" si="19"/>
        <v>0</v>
      </c>
      <c r="M39" s="119"/>
      <c r="N39" s="119">
        <f t="shared" si="20"/>
        <v>0</v>
      </c>
      <c r="O39" s="124"/>
      <c r="P39" s="119">
        <f t="shared" si="21"/>
        <v>0</v>
      </c>
      <c r="Q39" s="119"/>
      <c r="R39" s="119">
        <f t="shared" si="22"/>
        <v>0</v>
      </c>
      <c r="S39" s="119"/>
      <c r="T39" s="119">
        <f t="shared" si="23"/>
        <v>0</v>
      </c>
      <c r="U39" s="119">
        <f>VLOOKUP(A39,'31.10.25'!A:F,6,FALSE)</f>
        <v>10</v>
      </c>
      <c r="V39" s="119">
        <f t="shared" si="24"/>
        <v>10</v>
      </c>
      <c r="W39" s="119">
        <f>VLOOKUP(A39,'30.11.25'!A:F,6,FALSE)</f>
        <v>15</v>
      </c>
      <c r="X39" s="119">
        <f t="shared" si="25"/>
        <v>5</v>
      </c>
      <c r="Y39" s="125">
        <f>VLOOKUP(A39,'31.12.25'!A:B,2,FALSE)</f>
        <v>20</v>
      </c>
      <c r="Z39" s="119">
        <f t="shared" si="26"/>
        <v>5</v>
      </c>
      <c r="AA39" s="119">
        <f t="shared" si="14"/>
        <v>20</v>
      </c>
    </row>
    <row r="40" spans="1:27" x14ac:dyDescent="0.25">
      <c r="A40" s="124" t="s">
        <v>27</v>
      </c>
      <c r="B40" s="124">
        <f>VLOOKUP(A40,'31.12.24'!A:F,6,FALSE)</f>
        <v>133</v>
      </c>
      <c r="C40" s="124">
        <f>VLOOKUP(A40,'31.01.25'!A:F,6,FALSE)</f>
        <v>133</v>
      </c>
      <c r="D40" s="119">
        <f t="shared" si="15"/>
        <v>0</v>
      </c>
      <c r="E40" s="124">
        <f>VLOOKUP(A40,'28.02.25'!A:F,6,FALSE)</f>
        <v>159</v>
      </c>
      <c r="F40" s="119">
        <f t="shared" si="16"/>
        <v>26</v>
      </c>
      <c r="G40" s="124">
        <f>VLOOKUP(A40,'31.03.25'!A:F,6,FALSE)</f>
        <v>177</v>
      </c>
      <c r="H40" s="119">
        <f t="shared" si="17"/>
        <v>18</v>
      </c>
      <c r="I40" s="124">
        <f>VLOOKUP(A40,'30.04.25'!A:F,6,FALSE)</f>
        <v>197</v>
      </c>
      <c r="J40" s="119">
        <f t="shared" si="18"/>
        <v>20</v>
      </c>
      <c r="K40" s="124">
        <f>VLOOKUP(A40,'31.05.25'!A:F,6,FALSE)</f>
        <v>205</v>
      </c>
      <c r="L40" s="119">
        <f t="shared" si="19"/>
        <v>8</v>
      </c>
      <c r="M40" s="119">
        <f>VLOOKUP(A40,'30.06.25'!A:F,6,FALSE)</f>
        <v>211</v>
      </c>
      <c r="N40" s="119">
        <f t="shared" si="20"/>
        <v>6</v>
      </c>
      <c r="O40" s="124">
        <f>VLOOKUP(A40,'31.07.25'!A:F,6,FALSE)</f>
        <v>225</v>
      </c>
      <c r="P40" s="119">
        <f t="shared" si="21"/>
        <v>14</v>
      </c>
      <c r="Q40" s="119">
        <f>VLOOKUP(A40,'31.08.25'!A:F,6,FALSE)</f>
        <v>230</v>
      </c>
      <c r="R40" s="119">
        <f t="shared" si="22"/>
        <v>5</v>
      </c>
      <c r="S40" s="119">
        <f>VLOOKUP(A40,'30.09.25'!A:F,6,FALSE)</f>
        <v>245</v>
      </c>
      <c r="T40" s="119">
        <f t="shared" si="23"/>
        <v>15</v>
      </c>
      <c r="U40" s="119">
        <f>VLOOKUP(A40,'31.10.25'!A:F,6,FALSE)</f>
        <v>245</v>
      </c>
      <c r="V40" s="119">
        <f t="shared" si="24"/>
        <v>0</v>
      </c>
      <c r="W40" s="119">
        <f>VLOOKUP(A40,'30.11.25'!A:F,6,FALSE)</f>
        <v>246</v>
      </c>
      <c r="X40" s="119">
        <f t="shared" si="25"/>
        <v>1</v>
      </c>
      <c r="Y40" s="125">
        <f>VLOOKUP(A40,'31.12.25'!A:B,2,FALSE)</f>
        <v>251</v>
      </c>
      <c r="Z40" s="119">
        <f t="shared" si="26"/>
        <v>5</v>
      </c>
      <c r="AA40" s="119">
        <f t="shared" si="14"/>
        <v>118</v>
      </c>
    </row>
    <row r="41" spans="1:27" x14ac:dyDescent="0.25">
      <c r="A41" s="124" t="s">
        <v>28</v>
      </c>
      <c r="B41" s="124">
        <f>VLOOKUP(A41,'31.12.24'!A:F,6,FALSE)</f>
        <v>124</v>
      </c>
      <c r="C41" s="124">
        <f>VLOOKUP(A41,'31.01.25'!A:F,6,FALSE)</f>
        <v>124</v>
      </c>
      <c r="D41" s="119">
        <f t="shared" si="15"/>
        <v>0</v>
      </c>
      <c r="E41" s="124">
        <f>VLOOKUP(A41,'28.02.25'!A:F,6,FALSE)</f>
        <v>128</v>
      </c>
      <c r="F41" s="119">
        <f t="shared" si="16"/>
        <v>4</v>
      </c>
      <c r="G41" s="124">
        <f>VLOOKUP(A41,'31.03.25'!A:F,6,FALSE)</f>
        <v>132</v>
      </c>
      <c r="H41" s="119">
        <f t="shared" si="17"/>
        <v>4</v>
      </c>
      <c r="I41" s="124">
        <f>VLOOKUP(A41,'30.04.25'!A:F,6,FALSE)</f>
        <v>133</v>
      </c>
      <c r="J41" s="119">
        <f t="shared" si="18"/>
        <v>1</v>
      </c>
      <c r="K41" s="124">
        <f>VLOOKUP(A41,'31.05.25'!A:F,6,FALSE)</f>
        <v>136</v>
      </c>
      <c r="L41" s="119">
        <f t="shared" si="19"/>
        <v>3</v>
      </c>
      <c r="M41" s="119">
        <f>VLOOKUP(A41,'30.06.25'!A:F,6,FALSE)</f>
        <v>139</v>
      </c>
      <c r="N41" s="119">
        <f t="shared" si="20"/>
        <v>3</v>
      </c>
      <c r="O41" s="124">
        <f>VLOOKUP(A41,'31.07.25'!A:F,6,FALSE)</f>
        <v>143</v>
      </c>
      <c r="P41" s="119">
        <f t="shared" si="21"/>
        <v>4</v>
      </c>
      <c r="Q41" s="119">
        <f>VLOOKUP(A41,'31.08.25'!A:F,6,FALSE)</f>
        <v>148</v>
      </c>
      <c r="R41" s="119">
        <f t="shared" si="22"/>
        <v>5</v>
      </c>
      <c r="S41" s="119">
        <f>VLOOKUP(A41,'30.09.25'!A:F,6,FALSE)</f>
        <v>161</v>
      </c>
      <c r="T41" s="119">
        <f t="shared" si="23"/>
        <v>13</v>
      </c>
      <c r="U41" s="119">
        <f>VLOOKUP(A41,'31.10.25'!A:F,6,FALSE)</f>
        <v>178</v>
      </c>
      <c r="V41" s="119">
        <f t="shared" si="24"/>
        <v>17</v>
      </c>
      <c r="W41" s="119">
        <f>VLOOKUP(A41,'30.11.25'!A:F,6,FALSE)</f>
        <v>178</v>
      </c>
      <c r="X41" s="119">
        <f t="shared" si="25"/>
        <v>0</v>
      </c>
      <c r="Y41" s="125">
        <f>VLOOKUP(A41,'31.12.25'!A:B,2,FALSE)</f>
        <v>178</v>
      </c>
      <c r="Z41" s="119">
        <f t="shared" si="26"/>
        <v>0</v>
      </c>
      <c r="AA41" s="119">
        <f t="shared" si="14"/>
        <v>54</v>
      </c>
    </row>
    <row r="42" spans="1:27" x14ac:dyDescent="0.25">
      <c r="A42" s="124" t="s">
        <v>29</v>
      </c>
      <c r="B42" s="124">
        <f>VLOOKUP(A42,'31.12.24'!A:F,6,FALSE)</f>
        <v>63</v>
      </c>
      <c r="C42" s="124">
        <f>VLOOKUP(A42,'31.01.25'!A:F,6,FALSE)</f>
        <v>64</v>
      </c>
      <c r="D42" s="119">
        <f t="shared" si="15"/>
        <v>1</v>
      </c>
      <c r="E42" s="124">
        <f>VLOOKUP(A42,'28.02.25'!A:F,6,FALSE)</f>
        <v>72</v>
      </c>
      <c r="F42" s="119">
        <f t="shared" si="16"/>
        <v>8</v>
      </c>
      <c r="G42" s="124">
        <f>VLOOKUP(A42,'31.03.25'!A:F,6,FALSE)</f>
        <v>85</v>
      </c>
      <c r="H42" s="119">
        <f t="shared" si="17"/>
        <v>13</v>
      </c>
      <c r="I42" s="124">
        <f>VLOOKUP(A42,'30.04.25'!A:F,6,FALSE)</f>
        <v>104</v>
      </c>
      <c r="J42" s="119">
        <f t="shared" si="18"/>
        <v>19</v>
      </c>
      <c r="K42" s="124">
        <f>VLOOKUP(A42,'31.05.25'!A:F,6,FALSE)</f>
        <v>121</v>
      </c>
      <c r="L42" s="119">
        <f t="shared" si="19"/>
        <v>17</v>
      </c>
      <c r="M42" s="119">
        <f>VLOOKUP(A42,'30.06.25'!A:F,6,FALSE)</f>
        <v>140</v>
      </c>
      <c r="N42" s="119">
        <f t="shared" si="20"/>
        <v>19</v>
      </c>
      <c r="O42" s="124">
        <f>VLOOKUP(A42,'31.07.25'!A:F,6,FALSE)</f>
        <v>144</v>
      </c>
      <c r="P42" s="119">
        <f t="shared" si="21"/>
        <v>4</v>
      </c>
      <c r="Q42" s="119">
        <f>VLOOKUP(A42,'31.08.25'!A:F,6,FALSE)</f>
        <v>150</v>
      </c>
      <c r="R42" s="119">
        <f t="shared" si="22"/>
        <v>6</v>
      </c>
      <c r="S42" s="119">
        <f>VLOOKUP(A42,'30.09.25'!A:F,6,FALSE)</f>
        <v>167</v>
      </c>
      <c r="T42" s="119">
        <f t="shared" si="23"/>
        <v>17</v>
      </c>
      <c r="U42" s="119">
        <f>VLOOKUP(A42,'31.10.25'!A:F,6,FALSE)</f>
        <v>176</v>
      </c>
      <c r="V42" s="119">
        <f t="shared" si="24"/>
        <v>9</v>
      </c>
      <c r="W42" s="119">
        <f>VLOOKUP(A42,'30.11.25'!A:F,6,FALSE)</f>
        <v>182</v>
      </c>
      <c r="X42" s="119">
        <f t="shared" si="25"/>
        <v>6</v>
      </c>
      <c r="Y42" s="125">
        <f>VLOOKUP(A42,'31.12.25'!A:B,2,FALSE)</f>
        <v>186</v>
      </c>
      <c r="Z42" s="119">
        <f t="shared" si="26"/>
        <v>4</v>
      </c>
      <c r="AA42" s="119">
        <f t="shared" si="14"/>
        <v>123</v>
      </c>
    </row>
    <row r="43" spans="1:27" x14ac:dyDescent="0.25">
      <c r="A43" s="124" t="s">
        <v>121</v>
      </c>
      <c r="B43" s="124"/>
      <c r="C43" s="124"/>
      <c r="D43" s="119">
        <f t="shared" si="15"/>
        <v>0</v>
      </c>
      <c r="E43" s="124"/>
      <c r="F43" s="119">
        <f t="shared" si="16"/>
        <v>0</v>
      </c>
      <c r="G43" s="124"/>
      <c r="H43" s="119">
        <f t="shared" si="17"/>
        <v>0</v>
      </c>
      <c r="I43" s="124"/>
      <c r="J43" s="119">
        <f t="shared" si="18"/>
        <v>0</v>
      </c>
      <c r="K43" s="124"/>
      <c r="L43" s="119">
        <f t="shared" si="19"/>
        <v>0</v>
      </c>
      <c r="M43" s="119"/>
      <c r="N43" s="119">
        <f t="shared" si="20"/>
        <v>0</v>
      </c>
      <c r="O43" s="124"/>
      <c r="P43" s="119">
        <f t="shared" si="21"/>
        <v>0</v>
      </c>
      <c r="Q43" s="119"/>
      <c r="R43" s="119">
        <f t="shared" si="22"/>
        <v>0</v>
      </c>
      <c r="S43" s="119">
        <f>VLOOKUP(A43,'30.09.25'!A:F,6,FALSE)</f>
        <v>7</v>
      </c>
      <c r="T43" s="119">
        <f t="shared" si="23"/>
        <v>7</v>
      </c>
      <c r="U43" s="119">
        <f>VLOOKUP(A43,'31.10.25'!A:F,6,FALSE)</f>
        <v>7</v>
      </c>
      <c r="V43" s="119">
        <f t="shared" si="24"/>
        <v>0</v>
      </c>
      <c r="W43" s="119">
        <f>VLOOKUP(A43,'30.11.25'!A:F,6,FALSE)</f>
        <v>8</v>
      </c>
      <c r="X43" s="119">
        <f t="shared" si="25"/>
        <v>1</v>
      </c>
      <c r="Y43" s="125">
        <f>VLOOKUP(A43,'31.12.25'!A:B,2,FALSE)</f>
        <v>8</v>
      </c>
      <c r="Z43" s="119">
        <f t="shared" si="26"/>
        <v>0</v>
      </c>
      <c r="AA43" s="119">
        <f t="shared" si="14"/>
        <v>8</v>
      </c>
    </row>
    <row r="44" spans="1:27" x14ac:dyDescent="0.25">
      <c r="A44" s="124" t="s">
        <v>185</v>
      </c>
      <c r="B44" s="124">
        <f>VLOOKUP(A44,'31.12.24'!A:F,6,FALSE)</f>
        <v>17</v>
      </c>
      <c r="C44" s="124">
        <f>VLOOKUP(A44,'31.01.25'!A:F,6,FALSE)</f>
        <v>17</v>
      </c>
      <c r="D44" s="119">
        <f t="shared" si="15"/>
        <v>0</v>
      </c>
      <c r="E44" s="124">
        <f>VLOOKUP(A44,'28.02.25'!A:F,6,FALSE)</f>
        <v>17</v>
      </c>
      <c r="F44" s="119">
        <f t="shared" si="16"/>
        <v>0</v>
      </c>
      <c r="G44" s="124">
        <f>VLOOKUP(A44,'31.03.25'!A:F,6,FALSE)</f>
        <v>17</v>
      </c>
      <c r="H44" s="119">
        <f t="shared" si="17"/>
        <v>0</v>
      </c>
      <c r="I44" s="124">
        <f>VLOOKUP(A44,'30.04.25'!A:F,6,FALSE)</f>
        <v>17</v>
      </c>
      <c r="J44" s="119">
        <f t="shared" si="18"/>
        <v>0</v>
      </c>
      <c r="K44" s="124">
        <f>VLOOKUP(A44,'31.05.25'!A:F,6,FALSE)</f>
        <v>21</v>
      </c>
      <c r="L44" s="119">
        <f t="shared" si="19"/>
        <v>4</v>
      </c>
      <c r="M44" s="119">
        <f>VLOOKUP(A44,'30.06.25'!A:F,6,FALSE)</f>
        <v>23</v>
      </c>
      <c r="N44" s="119">
        <f t="shared" si="20"/>
        <v>2</v>
      </c>
      <c r="O44" s="124">
        <f>VLOOKUP(A44,'31.07.25'!A:F,6,FALSE)</f>
        <v>23</v>
      </c>
      <c r="P44" s="119">
        <f t="shared" si="21"/>
        <v>0</v>
      </c>
      <c r="Q44" s="119">
        <f>VLOOKUP(A44,'31.08.25'!A:F,6,FALSE)</f>
        <v>23</v>
      </c>
      <c r="R44" s="119">
        <f t="shared" si="22"/>
        <v>0</v>
      </c>
      <c r="S44" s="119">
        <f>VLOOKUP(A44,'30.09.25'!A:F,6,FALSE)</f>
        <v>40</v>
      </c>
      <c r="T44" s="119">
        <f t="shared" si="23"/>
        <v>17</v>
      </c>
      <c r="U44" s="119">
        <f>VLOOKUP(A44,'31.10.25'!A:F,6,FALSE)</f>
        <v>46</v>
      </c>
      <c r="V44" s="119">
        <f t="shared" si="24"/>
        <v>6</v>
      </c>
      <c r="W44" s="119">
        <f>VLOOKUP(A44,'30.11.25'!A:F,6,FALSE)</f>
        <v>60</v>
      </c>
      <c r="X44" s="119">
        <f t="shared" si="25"/>
        <v>14</v>
      </c>
      <c r="Y44" s="125">
        <f>VLOOKUP(A44,'31.12.25'!A:B,2,FALSE)</f>
        <v>75</v>
      </c>
      <c r="Z44" s="119">
        <f t="shared" si="26"/>
        <v>15</v>
      </c>
      <c r="AA44" s="119">
        <f t="shared" si="14"/>
        <v>58</v>
      </c>
    </row>
    <row r="45" spans="1:27" x14ac:dyDescent="0.25">
      <c r="A45" s="124" t="s">
        <v>30</v>
      </c>
      <c r="B45" s="124">
        <f>VLOOKUP(A45,'31.12.24'!A:F,6,FALSE)</f>
        <v>23</v>
      </c>
      <c r="C45" s="124">
        <f>VLOOKUP(A45,'31.01.25'!A:F,6,FALSE)</f>
        <v>23</v>
      </c>
      <c r="D45" s="119">
        <f t="shared" si="15"/>
        <v>0</v>
      </c>
      <c r="E45" s="124">
        <f>VLOOKUP(A45,'28.02.25'!A:F,6,FALSE)</f>
        <v>23</v>
      </c>
      <c r="F45" s="119">
        <f t="shared" si="16"/>
        <v>0</v>
      </c>
      <c r="G45" s="124">
        <f>VLOOKUP(A45,'31.03.25'!A:F,6,FALSE)</f>
        <v>23</v>
      </c>
      <c r="H45" s="119">
        <f t="shared" si="17"/>
        <v>0</v>
      </c>
      <c r="I45" s="124">
        <f>VLOOKUP(A45,'30.04.25'!A:F,6,FALSE)</f>
        <v>23</v>
      </c>
      <c r="J45" s="119">
        <f t="shared" si="18"/>
        <v>0</v>
      </c>
      <c r="K45" s="124">
        <f>VLOOKUP(A45,'31.05.25'!A:F,6,FALSE)</f>
        <v>23</v>
      </c>
      <c r="L45" s="119">
        <f t="shared" si="19"/>
        <v>0</v>
      </c>
      <c r="M45" s="119">
        <f>VLOOKUP(A45,'30.06.25'!A:F,6,FALSE)</f>
        <v>23</v>
      </c>
      <c r="N45" s="119">
        <f t="shared" si="20"/>
        <v>0</v>
      </c>
      <c r="O45" s="124">
        <f>VLOOKUP(A45,'31.07.25'!A:F,6,FALSE)</f>
        <v>23</v>
      </c>
      <c r="P45" s="119">
        <f t="shared" si="21"/>
        <v>0</v>
      </c>
      <c r="Q45" s="119">
        <f>VLOOKUP(A45,'31.08.25'!A:F,6,FALSE)</f>
        <v>23</v>
      </c>
      <c r="R45" s="119">
        <f t="shared" si="22"/>
        <v>0</v>
      </c>
      <c r="S45" s="119">
        <f>VLOOKUP(A45,'30.09.25'!A:F,6,FALSE)</f>
        <v>23</v>
      </c>
      <c r="T45" s="119">
        <f t="shared" si="23"/>
        <v>0</v>
      </c>
      <c r="U45" s="119">
        <f>VLOOKUP(A45,'31.10.25'!A:F,6,FALSE)</f>
        <v>23</v>
      </c>
      <c r="V45" s="119">
        <f t="shared" si="24"/>
        <v>0</v>
      </c>
      <c r="W45" s="119">
        <f>VLOOKUP(A45,'30.11.25'!A:F,6,FALSE)</f>
        <v>23</v>
      </c>
      <c r="X45" s="119">
        <f t="shared" si="25"/>
        <v>0</v>
      </c>
      <c r="Y45" s="125">
        <f>VLOOKUP(A45,'31.12.25'!A:B,2,FALSE)</f>
        <v>23</v>
      </c>
      <c r="Z45" s="119">
        <f t="shared" si="26"/>
        <v>0</v>
      </c>
      <c r="AA45" s="119">
        <f t="shared" si="14"/>
        <v>0</v>
      </c>
    </row>
    <row r="46" spans="1:27" x14ac:dyDescent="0.25">
      <c r="A46" s="124" t="s">
        <v>31</v>
      </c>
      <c r="B46" s="124">
        <f>VLOOKUP(A46,'31.12.24'!A:F,6,FALSE)</f>
        <v>13</v>
      </c>
      <c r="C46" s="124">
        <f>VLOOKUP(A46,'31.01.25'!A:F,6,FALSE)</f>
        <v>13</v>
      </c>
      <c r="D46" s="119">
        <f t="shared" si="15"/>
        <v>0</v>
      </c>
      <c r="E46" s="124">
        <f>VLOOKUP(A46,'28.02.25'!A:F,6,FALSE)</f>
        <v>13</v>
      </c>
      <c r="F46" s="119">
        <f t="shared" si="16"/>
        <v>0</v>
      </c>
      <c r="G46" s="124">
        <f>VLOOKUP(A46,'31.03.25'!A:F,6,FALSE)</f>
        <v>13</v>
      </c>
      <c r="H46" s="119">
        <f t="shared" si="17"/>
        <v>0</v>
      </c>
      <c r="I46" s="124">
        <f>VLOOKUP(A46,'30.04.25'!A:F,6,FALSE)</f>
        <v>13</v>
      </c>
      <c r="J46" s="119">
        <f t="shared" si="18"/>
        <v>0</v>
      </c>
      <c r="K46" s="124">
        <f>VLOOKUP(A46,'31.05.25'!A:F,6,FALSE)</f>
        <v>13</v>
      </c>
      <c r="L46" s="119">
        <f t="shared" si="19"/>
        <v>0</v>
      </c>
      <c r="M46" s="119">
        <f>VLOOKUP(A46,'30.06.25'!A:F,6,FALSE)</f>
        <v>13</v>
      </c>
      <c r="N46" s="119">
        <f t="shared" si="20"/>
        <v>0</v>
      </c>
      <c r="O46" s="124">
        <f>VLOOKUP(A46,'31.07.25'!A:F,6,FALSE)</f>
        <v>13</v>
      </c>
      <c r="P46" s="119">
        <f t="shared" si="21"/>
        <v>0</v>
      </c>
      <c r="Q46" s="119">
        <f>VLOOKUP(A46,'31.08.25'!A:F,6,FALSE)</f>
        <v>13</v>
      </c>
      <c r="R46" s="119">
        <f t="shared" si="22"/>
        <v>0</v>
      </c>
      <c r="S46" s="119">
        <f>VLOOKUP(A46,'30.09.25'!A:F,6,FALSE)</f>
        <v>13</v>
      </c>
      <c r="T46" s="119">
        <f t="shared" si="23"/>
        <v>0</v>
      </c>
      <c r="U46" s="119">
        <f>VLOOKUP(A46,'31.10.25'!A:F,6,FALSE)</f>
        <v>13</v>
      </c>
      <c r="V46" s="119">
        <f t="shared" si="24"/>
        <v>0</v>
      </c>
      <c r="W46" s="119">
        <f>VLOOKUP(A46,'30.11.25'!A:F,6,FALSE)</f>
        <v>13</v>
      </c>
      <c r="X46" s="119">
        <f t="shared" si="25"/>
        <v>0</v>
      </c>
      <c r="Y46" s="125">
        <f>VLOOKUP(A46,'31.12.25'!A:B,2,FALSE)</f>
        <v>13</v>
      </c>
      <c r="Z46" s="119">
        <f t="shared" si="26"/>
        <v>0</v>
      </c>
      <c r="AA46" s="119">
        <f t="shared" si="14"/>
        <v>0</v>
      </c>
    </row>
    <row r="47" spans="1:27" x14ac:dyDescent="0.25">
      <c r="A47" s="124" t="s">
        <v>32</v>
      </c>
      <c r="B47" s="124">
        <f>VLOOKUP(A47,'31.12.24'!A:F,6,FALSE)</f>
        <v>7</v>
      </c>
      <c r="C47" s="124">
        <f>VLOOKUP(A47,'31.01.25'!A:F,6,FALSE)</f>
        <v>7</v>
      </c>
      <c r="D47" s="119">
        <f t="shared" si="15"/>
        <v>0</v>
      </c>
      <c r="E47" s="124">
        <f>VLOOKUP(A47,'28.02.25'!A:F,6,FALSE)</f>
        <v>7</v>
      </c>
      <c r="F47" s="119">
        <f t="shared" si="16"/>
        <v>0</v>
      </c>
      <c r="G47" s="124">
        <f>VLOOKUP(A47,'31.03.25'!A:F,6,FALSE)</f>
        <v>7</v>
      </c>
      <c r="H47" s="119">
        <f t="shared" si="17"/>
        <v>0</v>
      </c>
      <c r="I47" s="124">
        <f>VLOOKUP(A47,'30.04.25'!A:F,6,FALSE)</f>
        <v>7</v>
      </c>
      <c r="J47" s="119">
        <f t="shared" si="18"/>
        <v>0</v>
      </c>
      <c r="K47" s="124">
        <f>VLOOKUP(A47,'31.05.25'!A:F,6,FALSE)</f>
        <v>7</v>
      </c>
      <c r="L47" s="119">
        <f t="shared" si="19"/>
        <v>0</v>
      </c>
      <c r="M47" s="119">
        <f>VLOOKUP(A47,'30.06.25'!A:F,6,FALSE)</f>
        <v>7</v>
      </c>
      <c r="N47" s="119">
        <f t="shared" si="20"/>
        <v>0</v>
      </c>
      <c r="O47" s="124">
        <f>VLOOKUP(A47,'31.07.25'!A:F,6,FALSE)</f>
        <v>7</v>
      </c>
      <c r="P47" s="119">
        <f t="shared" si="21"/>
        <v>0</v>
      </c>
      <c r="Q47" s="119">
        <f>VLOOKUP(A47,'31.08.25'!A:F,6,FALSE)</f>
        <v>7</v>
      </c>
      <c r="R47" s="119">
        <f t="shared" si="22"/>
        <v>0</v>
      </c>
      <c r="S47" s="119">
        <f>VLOOKUP(A47,'30.09.25'!A:F,6,FALSE)</f>
        <v>7</v>
      </c>
      <c r="T47" s="119">
        <f t="shared" si="23"/>
        <v>0</v>
      </c>
      <c r="U47" s="119">
        <f>VLOOKUP(A47,'31.10.25'!A:F,6,FALSE)</f>
        <v>7</v>
      </c>
      <c r="V47" s="119">
        <f t="shared" si="24"/>
        <v>0</v>
      </c>
      <c r="W47" s="119">
        <f>VLOOKUP(A47,'30.11.25'!A:F,6,FALSE)</f>
        <v>7</v>
      </c>
      <c r="X47" s="119">
        <f t="shared" si="25"/>
        <v>0</v>
      </c>
      <c r="Y47" s="125">
        <f>VLOOKUP(A47,'31.12.25'!A:B,2,FALSE)</f>
        <v>7</v>
      </c>
      <c r="Z47" s="119">
        <f t="shared" si="26"/>
        <v>0</v>
      </c>
      <c r="AA47" s="119">
        <f t="shared" si="14"/>
        <v>0</v>
      </c>
    </row>
    <row r="48" spans="1:27" x14ac:dyDescent="0.25">
      <c r="A48" s="124" t="s">
        <v>186</v>
      </c>
      <c r="B48" s="124">
        <f>VLOOKUP(A48,'31.12.24'!A:F,6,FALSE)</f>
        <v>16</v>
      </c>
      <c r="C48" s="124">
        <f>VLOOKUP(A48,'31.01.25'!A:F,6,FALSE)</f>
        <v>16</v>
      </c>
      <c r="D48" s="119">
        <f t="shared" si="2"/>
        <v>0</v>
      </c>
      <c r="E48" s="124">
        <f>VLOOKUP(A48,'28.02.25'!A:F,6,FALSE)</f>
        <v>16</v>
      </c>
      <c r="F48" s="119">
        <f t="shared" ref="F48:P172" si="27">E48-C48</f>
        <v>0</v>
      </c>
      <c r="G48" s="124">
        <f>VLOOKUP(A48,'31.03.25'!A:F,6,FALSE)</f>
        <v>16</v>
      </c>
      <c r="H48" s="119">
        <f t="shared" si="27"/>
        <v>0</v>
      </c>
      <c r="I48" s="124">
        <f>VLOOKUP(A48,'30.04.25'!A:F,6,FALSE)</f>
        <v>16</v>
      </c>
      <c r="J48" s="119">
        <f t="shared" si="27"/>
        <v>0</v>
      </c>
      <c r="K48" s="124">
        <f>VLOOKUP(A48,'31.05.25'!A:F,6,FALSE)</f>
        <v>16</v>
      </c>
      <c r="L48" s="119">
        <f t="shared" si="27"/>
        <v>0</v>
      </c>
      <c r="M48" s="119">
        <f>VLOOKUP(A48,'30.06.25'!A:F,6,FALSE)</f>
        <v>16</v>
      </c>
      <c r="N48" s="119">
        <f t="shared" si="27"/>
        <v>0</v>
      </c>
      <c r="O48" s="124">
        <f>VLOOKUP(A48,'31.07.25'!A:F,6,FALSE)</f>
        <v>16</v>
      </c>
      <c r="P48" s="119">
        <f t="shared" si="27"/>
        <v>0</v>
      </c>
      <c r="Q48" s="119">
        <f>VLOOKUP(A48,'31.08.25'!A:F,6,FALSE)</f>
        <v>16</v>
      </c>
      <c r="R48" s="119">
        <f t="shared" si="9"/>
        <v>0</v>
      </c>
      <c r="S48" s="119">
        <f>VLOOKUP(A48,'30.09.25'!A:F,6,FALSE)</f>
        <v>16</v>
      </c>
      <c r="T48" s="119">
        <f t="shared" ref="T48:T121" si="28">S48-Q48</f>
        <v>0</v>
      </c>
      <c r="U48" s="119">
        <f>VLOOKUP(A48,'31.10.25'!A:F,6,FALSE)</f>
        <v>16</v>
      </c>
      <c r="V48" s="119">
        <f t="shared" si="11"/>
        <v>0</v>
      </c>
      <c r="W48" s="119">
        <f>VLOOKUP(A48,'30.11.25'!A:F,6,FALSE)</f>
        <v>16</v>
      </c>
      <c r="X48" s="119">
        <f t="shared" si="12"/>
        <v>0</v>
      </c>
      <c r="Y48" s="125">
        <f>VLOOKUP(A48,'31.12.25'!A:B,2,FALSE)</f>
        <v>16</v>
      </c>
      <c r="Z48" s="119">
        <f t="shared" si="13"/>
        <v>0</v>
      </c>
      <c r="AA48" s="119">
        <f t="shared" si="14"/>
        <v>0</v>
      </c>
    </row>
    <row r="49" spans="1:27" x14ac:dyDescent="0.25">
      <c r="A49" s="124" t="s">
        <v>187</v>
      </c>
      <c r="B49" s="124">
        <f>VLOOKUP(A49,'31.12.24'!A:F,6,FALSE)</f>
        <v>13</v>
      </c>
      <c r="C49" s="124">
        <f>VLOOKUP(A49,'31.01.25'!A:F,6,FALSE)</f>
        <v>13</v>
      </c>
      <c r="D49" s="119">
        <f t="shared" ref="D49:D172" si="29">C49-B49</f>
        <v>0</v>
      </c>
      <c r="E49" s="124">
        <f>VLOOKUP(A49,'28.02.25'!A:F,6,FALSE)</f>
        <v>13</v>
      </c>
      <c r="F49" s="119">
        <f t="shared" si="27"/>
        <v>0</v>
      </c>
      <c r="G49" s="124">
        <f>VLOOKUP(A49,'31.03.25'!A:F,6,FALSE)</f>
        <v>13</v>
      </c>
      <c r="H49" s="119">
        <f t="shared" ref="H49:H172" si="30">G49-E49</f>
        <v>0</v>
      </c>
      <c r="I49" s="124">
        <f>VLOOKUP(A49,'30.04.25'!A:F,6,FALSE)</f>
        <v>13</v>
      </c>
      <c r="J49" s="119">
        <f t="shared" ref="J49:J172" si="31">I49-G49</f>
        <v>0</v>
      </c>
      <c r="K49" s="124">
        <f>VLOOKUP(A49,'31.05.25'!A:F,6,FALSE)</f>
        <v>13</v>
      </c>
      <c r="L49" s="119">
        <f t="shared" ref="L49:L172" si="32">K49-I49</f>
        <v>0</v>
      </c>
      <c r="M49" s="119">
        <f>VLOOKUP(A49,'30.06.25'!A:F,6,FALSE)</f>
        <v>13</v>
      </c>
      <c r="N49" s="119">
        <f t="shared" ref="N49:N172" si="33">M49-K49</f>
        <v>0</v>
      </c>
      <c r="O49" s="124">
        <f>VLOOKUP(A49,'31.07.25'!A:F,6,FALSE)</f>
        <v>13</v>
      </c>
      <c r="P49" s="119">
        <f t="shared" si="27"/>
        <v>0</v>
      </c>
      <c r="Q49" s="119">
        <f>VLOOKUP(A49,'31.08.25'!A:F,6,FALSE)</f>
        <v>13</v>
      </c>
      <c r="R49" s="119">
        <f t="shared" ref="R49:R172" si="34">Q49-O49</f>
        <v>0</v>
      </c>
      <c r="S49" s="119">
        <f>VLOOKUP(A49,'30.09.25'!A:F,6,FALSE)</f>
        <v>13</v>
      </c>
      <c r="T49" s="119">
        <f t="shared" si="28"/>
        <v>0</v>
      </c>
      <c r="U49" s="119">
        <f>VLOOKUP(A49,'31.10.25'!A:F,6,FALSE)</f>
        <v>13</v>
      </c>
      <c r="V49" s="119">
        <f t="shared" ref="V49:V172" si="35">U49-S49</f>
        <v>0</v>
      </c>
      <c r="W49" s="119">
        <f>VLOOKUP(A49,'30.11.25'!A:F,6,FALSE)</f>
        <v>13</v>
      </c>
      <c r="X49" s="119">
        <f t="shared" ref="X49:Z172" si="36">W49-U49</f>
        <v>0</v>
      </c>
      <c r="Y49" s="125">
        <f>VLOOKUP(A49,'31.12.25'!A:B,2,FALSE)</f>
        <v>13</v>
      </c>
      <c r="Z49" s="119">
        <f t="shared" si="36"/>
        <v>0</v>
      </c>
      <c r="AA49" s="119">
        <f t="shared" si="14"/>
        <v>0</v>
      </c>
    </row>
    <row r="50" spans="1:27" x14ac:dyDescent="0.25">
      <c r="A50" s="124" t="s">
        <v>188</v>
      </c>
      <c r="B50" s="124">
        <f>VLOOKUP(A50,'31.12.24'!A:F,6,FALSE)</f>
        <v>1</v>
      </c>
      <c r="C50" s="124">
        <f>VLOOKUP(A50,'31.01.25'!A:F,6,FALSE)</f>
        <v>1</v>
      </c>
      <c r="D50" s="119">
        <f t="shared" si="29"/>
        <v>0</v>
      </c>
      <c r="E50" s="124">
        <f>VLOOKUP(A50,'28.02.25'!A:F,6,FALSE)</f>
        <v>1</v>
      </c>
      <c r="F50" s="119">
        <f t="shared" si="27"/>
        <v>0</v>
      </c>
      <c r="G50" s="124">
        <f>VLOOKUP(A50,'31.03.25'!A:F,6,FALSE)</f>
        <v>1</v>
      </c>
      <c r="H50" s="119">
        <f t="shared" si="30"/>
        <v>0</v>
      </c>
      <c r="I50" s="124">
        <f>VLOOKUP(A50,'30.04.25'!A:F,6,FALSE)</f>
        <v>1</v>
      </c>
      <c r="J50" s="119">
        <f t="shared" si="31"/>
        <v>0</v>
      </c>
      <c r="K50" s="124">
        <f>VLOOKUP(A50,'31.05.25'!A:F,6,FALSE)</f>
        <v>1</v>
      </c>
      <c r="L50" s="119">
        <f t="shared" si="32"/>
        <v>0</v>
      </c>
      <c r="M50" s="119">
        <f>VLOOKUP(A50,'30.06.25'!A:F,6,FALSE)</f>
        <v>1</v>
      </c>
      <c r="N50" s="119">
        <f t="shared" si="33"/>
        <v>0</v>
      </c>
      <c r="O50" s="124">
        <f>VLOOKUP(A50,'31.07.25'!A:F,6,FALSE)</f>
        <v>1</v>
      </c>
      <c r="P50" s="119">
        <f t="shared" si="27"/>
        <v>0</v>
      </c>
      <c r="Q50" s="119">
        <f>VLOOKUP(A50,'31.08.25'!A:F,6,FALSE)</f>
        <v>1</v>
      </c>
      <c r="R50" s="119">
        <f t="shared" si="34"/>
        <v>0</v>
      </c>
      <c r="S50" s="119">
        <f>VLOOKUP(A50,'30.09.25'!A:F,6,FALSE)</f>
        <v>1</v>
      </c>
      <c r="T50" s="119">
        <f t="shared" si="28"/>
        <v>0</v>
      </c>
      <c r="U50" s="119">
        <f>VLOOKUP(A50,'31.10.25'!A:F,6,FALSE)</f>
        <v>1</v>
      </c>
      <c r="V50" s="119">
        <f t="shared" si="35"/>
        <v>0</v>
      </c>
      <c r="W50" s="119">
        <f>VLOOKUP(A50,'30.11.25'!A:F,6,FALSE)</f>
        <v>1</v>
      </c>
      <c r="X50" s="119">
        <f t="shared" si="36"/>
        <v>0</v>
      </c>
      <c r="Y50" s="125">
        <f>VLOOKUP(A50,'31.12.25'!A:B,2,FALSE)</f>
        <v>1</v>
      </c>
      <c r="Z50" s="119">
        <f t="shared" si="36"/>
        <v>0</v>
      </c>
      <c r="AA50" s="119">
        <f t="shared" si="14"/>
        <v>0</v>
      </c>
    </row>
    <row r="51" spans="1:27" x14ac:dyDescent="0.25">
      <c r="A51" s="124" t="s">
        <v>189</v>
      </c>
      <c r="B51" s="124">
        <f>VLOOKUP(A51,'31.12.24'!A:F,6,FALSE)</f>
        <v>7</v>
      </c>
      <c r="C51" s="124">
        <f>VLOOKUP(A51,'31.01.25'!A:F,6,FALSE)</f>
        <v>7</v>
      </c>
      <c r="D51" s="119">
        <f t="shared" si="29"/>
        <v>0</v>
      </c>
      <c r="E51" s="124">
        <f>VLOOKUP(A51,'28.02.25'!A:F,6,FALSE)</f>
        <v>7</v>
      </c>
      <c r="F51" s="119">
        <f t="shared" si="27"/>
        <v>0</v>
      </c>
      <c r="G51" s="124">
        <f>VLOOKUP(A51,'31.03.25'!A:F,6,FALSE)</f>
        <v>7</v>
      </c>
      <c r="H51" s="119">
        <f t="shared" si="30"/>
        <v>0</v>
      </c>
      <c r="I51" s="124">
        <f>VLOOKUP(A51,'30.04.25'!A:F,6,FALSE)</f>
        <v>7</v>
      </c>
      <c r="J51" s="119">
        <f t="shared" si="31"/>
        <v>0</v>
      </c>
      <c r="K51" s="124">
        <f>VLOOKUP(A51,'31.05.25'!A:F,6,FALSE)</f>
        <v>7</v>
      </c>
      <c r="L51" s="119">
        <f t="shared" si="32"/>
        <v>0</v>
      </c>
      <c r="M51" s="119">
        <f>VLOOKUP(A51,'30.06.25'!A:F,6,FALSE)</f>
        <v>7</v>
      </c>
      <c r="N51" s="119">
        <f t="shared" si="33"/>
        <v>0</v>
      </c>
      <c r="O51" s="124">
        <f>VLOOKUP(A51,'31.07.25'!A:F,6,FALSE)</f>
        <v>7</v>
      </c>
      <c r="P51" s="119">
        <f t="shared" si="27"/>
        <v>0</v>
      </c>
      <c r="Q51" s="119">
        <f>VLOOKUP(A51,'31.08.25'!A:F,6,FALSE)</f>
        <v>7</v>
      </c>
      <c r="R51" s="119">
        <f t="shared" si="34"/>
        <v>0</v>
      </c>
      <c r="S51" s="119">
        <f>VLOOKUP(A51,'30.09.25'!A:F,6,FALSE)</f>
        <v>7</v>
      </c>
      <c r="T51" s="119">
        <f t="shared" si="28"/>
        <v>0</v>
      </c>
      <c r="U51" s="119">
        <f>VLOOKUP(A51,'31.10.25'!A:F,6,FALSE)</f>
        <v>7</v>
      </c>
      <c r="V51" s="119">
        <f t="shared" si="35"/>
        <v>0</v>
      </c>
      <c r="W51" s="119">
        <f>VLOOKUP(A51,'30.11.25'!A:F,6,FALSE)</f>
        <v>7</v>
      </c>
      <c r="X51" s="119">
        <f t="shared" si="36"/>
        <v>0</v>
      </c>
      <c r="Y51" s="125">
        <f>VLOOKUP(A51,'31.12.25'!A:B,2,FALSE)</f>
        <v>7</v>
      </c>
      <c r="Z51" s="119">
        <f t="shared" si="36"/>
        <v>0</v>
      </c>
      <c r="AA51" s="119">
        <f t="shared" si="14"/>
        <v>0</v>
      </c>
    </row>
    <row r="52" spans="1:27" x14ac:dyDescent="0.25">
      <c r="A52" s="124" t="s">
        <v>190</v>
      </c>
      <c r="B52" s="124">
        <f>VLOOKUP(A52,'31.12.24'!A:F,6,FALSE)</f>
        <v>2</v>
      </c>
      <c r="C52" s="124">
        <f>VLOOKUP(A52,'31.01.25'!A:F,6,FALSE)</f>
        <v>2</v>
      </c>
      <c r="D52" s="119">
        <f t="shared" si="29"/>
        <v>0</v>
      </c>
      <c r="E52" s="124">
        <f>VLOOKUP(A52,'28.02.25'!A:F,6,FALSE)</f>
        <v>2</v>
      </c>
      <c r="F52" s="119">
        <f t="shared" si="27"/>
        <v>0</v>
      </c>
      <c r="G52" s="124">
        <f>VLOOKUP(A52,'31.03.25'!A:F,6,FALSE)</f>
        <v>2</v>
      </c>
      <c r="H52" s="119">
        <f t="shared" si="30"/>
        <v>0</v>
      </c>
      <c r="I52" s="124">
        <f>VLOOKUP(A52,'30.04.25'!A:F,6,FALSE)</f>
        <v>2</v>
      </c>
      <c r="J52" s="119">
        <f t="shared" si="31"/>
        <v>0</v>
      </c>
      <c r="K52" s="124">
        <f>VLOOKUP(A52,'31.05.25'!A:F,6,FALSE)</f>
        <v>2</v>
      </c>
      <c r="L52" s="119">
        <f t="shared" si="32"/>
        <v>0</v>
      </c>
      <c r="M52" s="119">
        <f>VLOOKUP(A52,'30.06.25'!A:F,6,FALSE)</f>
        <v>2</v>
      </c>
      <c r="N52" s="119">
        <f t="shared" si="33"/>
        <v>0</v>
      </c>
      <c r="O52" s="124">
        <f>VLOOKUP(A52,'31.07.25'!A:F,6,FALSE)</f>
        <v>2</v>
      </c>
      <c r="P52" s="119">
        <f t="shared" si="27"/>
        <v>0</v>
      </c>
      <c r="Q52" s="119">
        <f>VLOOKUP(A52,'31.08.25'!A:F,6,FALSE)</f>
        <v>2</v>
      </c>
      <c r="R52" s="119">
        <f t="shared" si="34"/>
        <v>0</v>
      </c>
      <c r="S52" s="119">
        <f>VLOOKUP(A52,'30.09.25'!A:F,6,FALSE)</f>
        <v>2</v>
      </c>
      <c r="T52" s="119">
        <f t="shared" si="28"/>
        <v>0</v>
      </c>
      <c r="U52" s="119">
        <f>VLOOKUP(A52,'31.10.25'!A:F,6,FALSE)</f>
        <v>2</v>
      </c>
      <c r="V52" s="119">
        <f t="shared" si="35"/>
        <v>0</v>
      </c>
      <c r="W52" s="119">
        <f>VLOOKUP(A52,'30.11.25'!A:F,6,FALSE)</f>
        <v>2</v>
      </c>
      <c r="X52" s="119">
        <f t="shared" si="36"/>
        <v>0</v>
      </c>
      <c r="Y52" s="125">
        <f>VLOOKUP(A52,'31.12.25'!A:B,2,FALSE)</f>
        <v>2</v>
      </c>
      <c r="Z52" s="119">
        <f t="shared" si="36"/>
        <v>0</v>
      </c>
      <c r="AA52" s="119">
        <f t="shared" si="14"/>
        <v>0</v>
      </c>
    </row>
    <row r="53" spans="1:27" x14ac:dyDescent="0.25">
      <c r="A53" s="124" t="s">
        <v>33</v>
      </c>
      <c r="B53" s="124">
        <f>VLOOKUP(A53,'31.12.24'!A:F,6,FALSE)</f>
        <v>15</v>
      </c>
      <c r="C53" s="124">
        <f>VLOOKUP(A53,'31.01.25'!A:F,6,FALSE)</f>
        <v>15</v>
      </c>
      <c r="D53" s="119">
        <f>C53-B53</f>
        <v>0</v>
      </c>
      <c r="E53" s="124">
        <f>VLOOKUP(A53,'28.02.25'!A:F,6,FALSE)</f>
        <v>15</v>
      </c>
      <c r="F53" s="119">
        <f>E53-C53</f>
        <v>0</v>
      </c>
      <c r="G53" s="124">
        <f>VLOOKUP(A53,'31.03.25'!A:F,6,FALSE)</f>
        <v>15</v>
      </c>
      <c r="H53" s="119">
        <f>G53-E53</f>
        <v>0</v>
      </c>
      <c r="I53" s="124">
        <f>VLOOKUP(A53,'30.04.25'!A:F,6,FALSE)</f>
        <v>15</v>
      </c>
      <c r="J53" s="119">
        <f>I53-G53</f>
        <v>0</v>
      </c>
      <c r="K53" s="124">
        <f>VLOOKUP(A53,'31.05.25'!A:F,6,FALSE)</f>
        <v>15</v>
      </c>
      <c r="L53" s="119">
        <f>K53-I53</f>
        <v>0</v>
      </c>
      <c r="M53" s="119">
        <f>VLOOKUP(A53,'30.06.25'!A:F,6,FALSE)</f>
        <v>15</v>
      </c>
      <c r="N53" s="119">
        <f>M53-K53</f>
        <v>0</v>
      </c>
      <c r="O53" s="124">
        <f>VLOOKUP(A53,'31.07.25'!A:F,6,FALSE)</f>
        <v>15</v>
      </c>
      <c r="P53" s="119">
        <f>O53-M53</f>
        <v>0</v>
      </c>
      <c r="Q53" s="119">
        <f>VLOOKUP(A53,'31.08.25'!A:F,6,FALSE)</f>
        <v>15</v>
      </c>
      <c r="R53" s="119">
        <f>Q53-O53</f>
        <v>0</v>
      </c>
      <c r="S53" s="119">
        <f>VLOOKUP(A53,'30.09.25'!A:F,6,FALSE)</f>
        <v>15</v>
      </c>
      <c r="T53" s="119">
        <f>S53-Q53</f>
        <v>0</v>
      </c>
      <c r="U53" s="119">
        <f>VLOOKUP(A53,'31.10.25'!A:F,6,FALSE)</f>
        <v>15</v>
      </c>
      <c r="V53" s="119">
        <f>U53-S53</f>
        <v>0</v>
      </c>
      <c r="W53" s="119">
        <f>VLOOKUP(A53,'30.11.25'!A:F,6,FALSE)</f>
        <v>15</v>
      </c>
      <c r="X53" s="119">
        <f>W53-U53</f>
        <v>0</v>
      </c>
      <c r="Y53" s="125">
        <f>VLOOKUP(A53,'31.12.25'!A:B,2,FALSE)</f>
        <v>15</v>
      </c>
      <c r="Z53" s="119">
        <f t="shared" ref="Z53:Z85" si="37">Y53-W53</f>
        <v>0</v>
      </c>
      <c r="AA53" s="119">
        <f t="shared" si="14"/>
        <v>0</v>
      </c>
    </row>
    <row r="54" spans="1:27" x14ac:dyDescent="0.25">
      <c r="A54" s="124" t="s">
        <v>34</v>
      </c>
      <c r="B54" s="124">
        <f>VLOOKUP(A54,'31.12.24'!A:F,6,FALSE)</f>
        <v>10</v>
      </c>
      <c r="C54" s="124">
        <f>VLOOKUP(A54,'31.01.25'!A:F,6,FALSE)</f>
        <v>10</v>
      </c>
      <c r="D54" s="119">
        <f>C54-B54</f>
        <v>0</v>
      </c>
      <c r="E54" s="124">
        <f>VLOOKUP(A54,'28.02.25'!A:F,6,FALSE)</f>
        <v>10</v>
      </c>
      <c r="F54" s="119">
        <f>E54-C54</f>
        <v>0</v>
      </c>
      <c r="G54" s="124">
        <f>VLOOKUP(A54,'31.03.25'!A:F,6,FALSE)</f>
        <v>10</v>
      </c>
      <c r="H54" s="119">
        <f>G54-E54</f>
        <v>0</v>
      </c>
      <c r="I54" s="124">
        <f>VLOOKUP(A54,'30.04.25'!A:F,6,FALSE)</f>
        <v>10</v>
      </c>
      <c r="J54" s="119">
        <f>I54-G54</f>
        <v>0</v>
      </c>
      <c r="K54" s="124">
        <f>VLOOKUP(A54,'31.05.25'!A:F,6,FALSE)</f>
        <v>20</v>
      </c>
      <c r="L54" s="119">
        <f>K54-I54</f>
        <v>10</v>
      </c>
      <c r="M54" s="119">
        <f>VLOOKUP(A54,'30.06.25'!A:F,6,FALSE)</f>
        <v>28</v>
      </c>
      <c r="N54" s="119">
        <f>M54-K54</f>
        <v>8</v>
      </c>
      <c r="O54" s="124">
        <f>VLOOKUP(A54,'31.07.25'!A:F,6,FALSE)</f>
        <v>31</v>
      </c>
      <c r="P54" s="119">
        <f>O54-M54</f>
        <v>3</v>
      </c>
      <c r="Q54" s="119">
        <f>VLOOKUP(A54,'31.08.25'!A:F,6,FALSE)</f>
        <v>48</v>
      </c>
      <c r="R54" s="119">
        <f>Q54-O54</f>
        <v>17</v>
      </c>
      <c r="S54" s="119">
        <f>VLOOKUP(A54,'30.09.25'!A:F,6,FALSE)</f>
        <v>50</v>
      </c>
      <c r="T54" s="119">
        <f>S54-Q54</f>
        <v>2</v>
      </c>
      <c r="U54" s="119">
        <f>VLOOKUP(A54,'31.10.25'!A:F,6,FALSE)</f>
        <v>51</v>
      </c>
      <c r="V54" s="119">
        <f>U54-S54</f>
        <v>1</v>
      </c>
      <c r="W54" s="119">
        <f>VLOOKUP(A54,'30.11.25'!A:F,6,FALSE)</f>
        <v>51</v>
      </c>
      <c r="X54" s="119">
        <f>W54-U54</f>
        <v>0</v>
      </c>
      <c r="Y54" s="125">
        <f>VLOOKUP(A54,'31.12.25'!A:B,2,FALSE)</f>
        <v>61</v>
      </c>
      <c r="Z54" s="119">
        <f t="shared" si="37"/>
        <v>10</v>
      </c>
      <c r="AA54" s="119">
        <f t="shared" si="14"/>
        <v>51</v>
      </c>
    </row>
    <row r="55" spans="1:27" x14ac:dyDescent="0.25">
      <c r="A55" s="124" t="s">
        <v>35</v>
      </c>
      <c r="B55" s="124">
        <f>VLOOKUP(A55,'31.12.24'!A:F,6,FALSE)</f>
        <v>33</v>
      </c>
      <c r="C55" s="124">
        <f>VLOOKUP(A55,'31.01.25'!A:F,6,FALSE)</f>
        <v>33</v>
      </c>
      <c r="D55" s="119">
        <f>C55-B55</f>
        <v>0</v>
      </c>
      <c r="E55" s="124">
        <f>VLOOKUP(A55,'28.02.25'!A:F,6,FALSE)</f>
        <v>48</v>
      </c>
      <c r="F55" s="119">
        <f>E55-C55</f>
        <v>15</v>
      </c>
      <c r="G55" s="124">
        <f>VLOOKUP(A55,'31.03.25'!A:F,6,FALSE)</f>
        <v>48</v>
      </c>
      <c r="H55" s="119">
        <f>G55-E55</f>
        <v>0</v>
      </c>
      <c r="I55" s="124">
        <f>VLOOKUP(A55,'30.04.25'!A:F,6,FALSE)</f>
        <v>47</v>
      </c>
      <c r="J55" s="119">
        <f>I55-G55</f>
        <v>-1</v>
      </c>
      <c r="K55" s="124">
        <f>VLOOKUP(A55,'31.05.25'!A:F,6,FALSE)</f>
        <v>47</v>
      </c>
      <c r="L55" s="119">
        <f>K55-I55</f>
        <v>0</v>
      </c>
      <c r="M55" s="119">
        <f>VLOOKUP(A55,'30.06.25'!A:F,6,FALSE)</f>
        <v>47</v>
      </c>
      <c r="N55" s="119">
        <f>M55-K55</f>
        <v>0</v>
      </c>
      <c r="O55" s="124">
        <f>VLOOKUP(A55,'31.07.25'!A:F,6,FALSE)</f>
        <v>52</v>
      </c>
      <c r="P55" s="119">
        <f>O55-M55</f>
        <v>5</v>
      </c>
      <c r="Q55" s="119">
        <f>VLOOKUP(A55,'31.08.25'!A:F,6,FALSE)</f>
        <v>78</v>
      </c>
      <c r="R55" s="119">
        <f>Q55-O55</f>
        <v>26</v>
      </c>
      <c r="S55" s="119">
        <f>VLOOKUP(A55,'30.09.25'!A:F,6,FALSE)</f>
        <v>78</v>
      </c>
      <c r="T55" s="119">
        <f>S55-Q55</f>
        <v>0</v>
      </c>
      <c r="U55" s="119">
        <f>VLOOKUP(A55,'31.10.25'!A:F,6,FALSE)</f>
        <v>78</v>
      </c>
      <c r="V55" s="119">
        <f>U55-S55</f>
        <v>0</v>
      </c>
      <c r="W55" s="119">
        <f>VLOOKUP(A55,'30.11.25'!A:F,6,FALSE)</f>
        <v>83</v>
      </c>
      <c r="X55" s="119">
        <f>W55-U55</f>
        <v>5</v>
      </c>
      <c r="Y55" s="125">
        <f>VLOOKUP(A55,'31.12.25'!A:B,2,FALSE)</f>
        <v>88</v>
      </c>
      <c r="Z55" s="119">
        <f t="shared" si="37"/>
        <v>5</v>
      </c>
      <c r="AA55" s="119">
        <f t="shared" si="14"/>
        <v>55</v>
      </c>
    </row>
    <row r="56" spans="1:27" x14ac:dyDescent="0.25">
      <c r="A56" s="124" t="s">
        <v>212</v>
      </c>
      <c r="B56" s="124"/>
      <c r="C56" s="124"/>
      <c r="D56" s="119"/>
      <c r="E56" s="124"/>
      <c r="F56" s="119"/>
      <c r="G56" s="124"/>
      <c r="H56" s="119"/>
      <c r="I56" s="124"/>
      <c r="J56" s="119"/>
      <c r="K56" s="124"/>
      <c r="L56" s="119"/>
      <c r="M56" s="119"/>
      <c r="N56" s="119"/>
      <c r="O56" s="124"/>
      <c r="P56" s="119"/>
      <c r="Q56" s="119"/>
      <c r="R56" s="119"/>
      <c r="S56" s="119"/>
      <c r="T56" s="119"/>
      <c r="U56" s="119"/>
      <c r="V56" s="119"/>
      <c r="W56" s="119"/>
      <c r="X56" s="119"/>
      <c r="Y56" s="125">
        <f>VLOOKUP(A56,'31.12.25'!A:B,2,FALSE)</f>
        <v>2</v>
      </c>
      <c r="Z56" s="119">
        <f t="shared" ref="Z56" si="38">Y56-W56</f>
        <v>2</v>
      </c>
      <c r="AA56" s="119">
        <f t="shared" si="14"/>
        <v>2</v>
      </c>
    </row>
    <row r="57" spans="1:27" x14ac:dyDescent="0.25">
      <c r="A57" s="124" t="s">
        <v>176</v>
      </c>
      <c r="B57" s="124"/>
      <c r="C57" s="124"/>
      <c r="D57" s="119"/>
      <c r="E57" s="124"/>
      <c r="F57" s="119"/>
      <c r="G57" s="124"/>
      <c r="H57" s="119"/>
      <c r="I57" s="124"/>
      <c r="J57" s="119"/>
      <c r="K57" s="124"/>
      <c r="L57" s="119"/>
      <c r="M57" s="119"/>
      <c r="N57" s="119"/>
      <c r="O57" s="124"/>
      <c r="P57" s="119"/>
      <c r="Q57" s="119"/>
      <c r="R57" s="119"/>
      <c r="S57" s="119"/>
      <c r="T57" s="119"/>
      <c r="U57" s="119"/>
      <c r="V57" s="119"/>
      <c r="W57" s="119"/>
      <c r="X57" s="119"/>
      <c r="Y57" s="125">
        <f>VLOOKUP(A57,'31.12.25'!A:B,2,FALSE)</f>
        <v>4</v>
      </c>
      <c r="Z57" s="119">
        <f t="shared" si="37"/>
        <v>4</v>
      </c>
      <c r="AA57" s="119">
        <f t="shared" si="14"/>
        <v>4</v>
      </c>
    </row>
    <row r="58" spans="1:27" x14ac:dyDescent="0.25">
      <c r="A58" s="124" t="s">
        <v>36</v>
      </c>
      <c r="B58" s="124"/>
      <c r="C58" s="124"/>
      <c r="D58" s="119">
        <f t="shared" ref="D58:D85" si="39">C58-B58</f>
        <v>0</v>
      </c>
      <c r="E58" s="124"/>
      <c r="F58" s="119">
        <f t="shared" ref="F58:F85" si="40">E58-C58</f>
        <v>0</v>
      </c>
      <c r="G58" s="124"/>
      <c r="H58" s="119">
        <f t="shared" ref="H58:H85" si="41">G58-E58</f>
        <v>0</v>
      </c>
      <c r="I58" s="124"/>
      <c r="J58" s="119">
        <f t="shared" ref="J58:J85" si="42">I58-G58</f>
        <v>0</v>
      </c>
      <c r="K58" s="124">
        <f>VLOOKUP(A58,'31.05.25'!A:F,6,FALSE)</f>
        <v>2</v>
      </c>
      <c r="L58" s="119">
        <f t="shared" ref="L58:L85" si="43">K58-I58</f>
        <v>2</v>
      </c>
      <c r="M58" s="119">
        <f>VLOOKUP(A58,'30.06.25'!A:F,6,FALSE)</f>
        <v>2</v>
      </c>
      <c r="N58" s="119">
        <f t="shared" ref="N58:N85" si="44">M58-K58</f>
        <v>0</v>
      </c>
      <c r="O58" s="124">
        <f>VLOOKUP(A58,'31.07.25'!A:F,6,FALSE)</f>
        <v>2</v>
      </c>
      <c r="P58" s="119">
        <f t="shared" ref="P58:P85" si="45">O58-M58</f>
        <v>0</v>
      </c>
      <c r="Q58" s="119">
        <f>VLOOKUP(A58,'31.08.25'!A:F,6,FALSE)</f>
        <v>2</v>
      </c>
      <c r="R58" s="119">
        <f t="shared" ref="R58:R85" si="46">Q58-O58</f>
        <v>0</v>
      </c>
      <c r="S58" s="119">
        <f>VLOOKUP(A58,'30.09.25'!A:F,6,FALSE)</f>
        <v>2</v>
      </c>
      <c r="T58" s="119">
        <f t="shared" ref="T58:T85" si="47">S58-Q58</f>
        <v>0</v>
      </c>
      <c r="U58" s="119">
        <f>VLOOKUP(A58,'31.10.25'!A:F,6,FALSE)</f>
        <v>2</v>
      </c>
      <c r="V58" s="119">
        <f t="shared" ref="V58:V85" si="48">U58-S58</f>
        <v>0</v>
      </c>
      <c r="W58" s="119">
        <f>VLOOKUP(A58,'30.11.25'!A:F,6,FALSE)</f>
        <v>2</v>
      </c>
      <c r="X58" s="119">
        <f t="shared" ref="X58:X85" si="49">W58-U58</f>
        <v>0</v>
      </c>
      <c r="Y58" s="125">
        <f>VLOOKUP(A58,'31.12.25'!A:B,2,FALSE)</f>
        <v>2</v>
      </c>
      <c r="Z58" s="119">
        <f t="shared" si="37"/>
        <v>0</v>
      </c>
      <c r="AA58" s="119">
        <f t="shared" si="14"/>
        <v>2</v>
      </c>
    </row>
    <row r="59" spans="1:27" x14ac:dyDescent="0.25">
      <c r="A59" s="124" t="s">
        <v>37</v>
      </c>
      <c r="B59" s="124">
        <f>VLOOKUP(A59,'31.12.24'!A:F,6,FALSE)</f>
        <v>37</v>
      </c>
      <c r="C59" s="124">
        <f>VLOOKUP(A59,'31.01.25'!A:F,6,FALSE)</f>
        <v>37</v>
      </c>
      <c r="D59" s="119">
        <f t="shared" si="39"/>
        <v>0</v>
      </c>
      <c r="E59" s="124">
        <f>VLOOKUP(A59,'28.02.25'!A:F,6,FALSE)</f>
        <v>37</v>
      </c>
      <c r="F59" s="119">
        <f t="shared" si="40"/>
        <v>0</v>
      </c>
      <c r="G59" s="124">
        <f>VLOOKUP(A59,'31.03.25'!A:F,6,FALSE)</f>
        <v>37</v>
      </c>
      <c r="H59" s="119">
        <f t="shared" si="41"/>
        <v>0</v>
      </c>
      <c r="I59" s="124">
        <f>VLOOKUP(A59,'30.04.25'!A:F,6,FALSE)</f>
        <v>37</v>
      </c>
      <c r="J59" s="119">
        <f t="shared" si="42"/>
        <v>0</v>
      </c>
      <c r="K59" s="124">
        <f>VLOOKUP(A59,'31.05.25'!A:F,6,FALSE)</f>
        <v>37</v>
      </c>
      <c r="L59" s="119">
        <f t="shared" si="43"/>
        <v>0</v>
      </c>
      <c r="M59" s="119">
        <f>VLOOKUP(A59,'30.06.25'!A:F,6,FALSE)</f>
        <v>37</v>
      </c>
      <c r="N59" s="119">
        <f t="shared" si="44"/>
        <v>0</v>
      </c>
      <c r="O59" s="124">
        <f>VLOOKUP(A59,'31.07.25'!A:F,6,FALSE)</f>
        <v>37</v>
      </c>
      <c r="P59" s="119">
        <f t="shared" si="45"/>
        <v>0</v>
      </c>
      <c r="Q59" s="119">
        <f>VLOOKUP(A59,'31.08.25'!A:F,6,FALSE)</f>
        <v>37</v>
      </c>
      <c r="R59" s="119">
        <f t="shared" si="46"/>
        <v>0</v>
      </c>
      <c r="S59" s="119">
        <f>VLOOKUP(A59,'30.09.25'!A:F,6,FALSE)</f>
        <v>37</v>
      </c>
      <c r="T59" s="119">
        <f t="shared" si="47"/>
        <v>0</v>
      </c>
      <c r="U59" s="119">
        <f>VLOOKUP(A59,'31.10.25'!A:F,6,FALSE)</f>
        <v>37</v>
      </c>
      <c r="V59" s="119">
        <f t="shared" si="48"/>
        <v>0</v>
      </c>
      <c r="W59" s="119">
        <f>VLOOKUP(A59,'30.11.25'!A:F,6,FALSE)</f>
        <v>37</v>
      </c>
      <c r="X59" s="119">
        <f t="shared" si="49"/>
        <v>0</v>
      </c>
      <c r="Y59" s="125">
        <f>VLOOKUP(A59,'31.12.25'!A:B,2,FALSE)</f>
        <v>37</v>
      </c>
      <c r="Z59" s="119">
        <f t="shared" si="37"/>
        <v>0</v>
      </c>
      <c r="AA59" s="119">
        <f t="shared" si="14"/>
        <v>0</v>
      </c>
    </row>
    <row r="60" spans="1:27" x14ac:dyDescent="0.25">
      <c r="A60" s="124" t="s">
        <v>38</v>
      </c>
      <c r="B60" s="124">
        <f>VLOOKUP(A60,'31.12.24'!A:F,6,FALSE)</f>
        <v>27</v>
      </c>
      <c r="C60" s="124">
        <f>VLOOKUP(A60,'31.01.25'!A:F,6,FALSE)</f>
        <v>27</v>
      </c>
      <c r="D60" s="119">
        <f t="shared" si="39"/>
        <v>0</v>
      </c>
      <c r="E60" s="124">
        <f>VLOOKUP(A60,'28.02.25'!A:F,6,FALSE)</f>
        <v>27</v>
      </c>
      <c r="F60" s="119">
        <f t="shared" si="40"/>
        <v>0</v>
      </c>
      <c r="G60" s="124">
        <f>VLOOKUP(A60,'31.03.25'!A:F,6,FALSE)</f>
        <v>27</v>
      </c>
      <c r="H60" s="119">
        <f t="shared" si="41"/>
        <v>0</v>
      </c>
      <c r="I60" s="124">
        <f>VLOOKUP(A60,'30.04.25'!A:F,6,FALSE)</f>
        <v>27</v>
      </c>
      <c r="J60" s="119">
        <f t="shared" si="42"/>
        <v>0</v>
      </c>
      <c r="K60" s="124">
        <f>VLOOKUP(A60,'31.05.25'!A:F,6,FALSE)</f>
        <v>27</v>
      </c>
      <c r="L60" s="119">
        <f t="shared" si="43"/>
        <v>0</v>
      </c>
      <c r="M60" s="119">
        <f>VLOOKUP(A60,'30.06.25'!A:F,6,FALSE)</f>
        <v>27</v>
      </c>
      <c r="N60" s="119">
        <f t="shared" si="44"/>
        <v>0</v>
      </c>
      <c r="O60" s="124">
        <f>VLOOKUP(A60,'31.07.25'!A:F,6,FALSE)</f>
        <v>27</v>
      </c>
      <c r="P60" s="119">
        <f t="shared" si="45"/>
        <v>0</v>
      </c>
      <c r="Q60" s="119">
        <f>VLOOKUP(A60,'31.08.25'!A:F,6,FALSE)</f>
        <v>27</v>
      </c>
      <c r="R60" s="119">
        <f t="shared" si="46"/>
        <v>0</v>
      </c>
      <c r="S60" s="119">
        <f>VLOOKUP(A60,'30.09.25'!A:F,6,FALSE)</f>
        <v>27</v>
      </c>
      <c r="T60" s="119">
        <f t="shared" si="47"/>
        <v>0</v>
      </c>
      <c r="U60" s="119">
        <f>VLOOKUP(A60,'31.10.25'!A:F,6,FALSE)</f>
        <v>27</v>
      </c>
      <c r="V60" s="119">
        <f t="shared" si="48"/>
        <v>0</v>
      </c>
      <c r="W60" s="119">
        <f>VLOOKUP(A60,'30.11.25'!A:F,6,FALSE)</f>
        <v>27</v>
      </c>
      <c r="X60" s="119">
        <f t="shared" si="49"/>
        <v>0</v>
      </c>
      <c r="Y60" s="125">
        <f>VLOOKUP(A60,'31.12.25'!A:B,2,FALSE)</f>
        <v>27</v>
      </c>
      <c r="Z60" s="119">
        <f t="shared" si="37"/>
        <v>0</v>
      </c>
      <c r="AA60" s="119">
        <f t="shared" si="14"/>
        <v>0</v>
      </c>
    </row>
    <row r="61" spans="1:27" x14ac:dyDescent="0.25">
      <c r="A61" s="124" t="s">
        <v>39</v>
      </c>
      <c r="B61" s="124">
        <f>VLOOKUP(A61,'31.12.24'!A:F,6,FALSE)</f>
        <v>7</v>
      </c>
      <c r="C61" s="124">
        <f>VLOOKUP(A61,'31.01.25'!A:F,6,FALSE)</f>
        <v>7</v>
      </c>
      <c r="D61" s="119">
        <f t="shared" si="39"/>
        <v>0</v>
      </c>
      <c r="E61" s="124">
        <f>VLOOKUP(A61,'28.02.25'!A:F,6,FALSE)</f>
        <v>7</v>
      </c>
      <c r="F61" s="119">
        <f t="shared" si="40"/>
        <v>0</v>
      </c>
      <c r="G61" s="124">
        <f>VLOOKUP(A61,'31.03.25'!A:F,6,FALSE)</f>
        <v>7</v>
      </c>
      <c r="H61" s="119">
        <f t="shared" si="41"/>
        <v>0</v>
      </c>
      <c r="I61" s="124">
        <f>VLOOKUP(A61,'30.04.25'!A:F,6,FALSE)</f>
        <v>7</v>
      </c>
      <c r="J61" s="119">
        <f t="shared" si="42"/>
        <v>0</v>
      </c>
      <c r="K61" s="124">
        <f>VLOOKUP(A61,'31.05.25'!A:F,6,FALSE)</f>
        <v>7</v>
      </c>
      <c r="L61" s="119">
        <f t="shared" si="43"/>
        <v>0</v>
      </c>
      <c r="M61" s="119">
        <f>VLOOKUP(A61,'30.06.25'!A:F,6,FALSE)</f>
        <v>7</v>
      </c>
      <c r="N61" s="119">
        <f t="shared" si="44"/>
        <v>0</v>
      </c>
      <c r="O61" s="124">
        <f>VLOOKUP(A61,'31.07.25'!A:F,6,FALSE)</f>
        <v>7</v>
      </c>
      <c r="P61" s="119">
        <f t="shared" si="45"/>
        <v>0</v>
      </c>
      <c r="Q61" s="119">
        <f>VLOOKUP(A61,'31.08.25'!A:F,6,FALSE)</f>
        <v>7</v>
      </c>
      <c r="R61" s="119">
        <f t="shared" si="46"/>
        <v>0</v>
      </c>
      <c r="S61" s="119">
        <f>VLOOKUP(A61,'30.09.25'!A:F,6,FALSE)</f>
        <v>7</v>
      </c>
      <c r="T61" s="119">
        <f t="shared" si="47"/>
        <v>0</v>
      </c>
      <c r="U61" s="119">
        <f>VLOOKUP(A61,'31.10.25'!A:F,6,FALSE)</f>
        <v>7</v>
      </c>
      <c r="V61" s="119">
        <f t="shared" si="48"/>
        <v>0</v>
      </c>
      <c r="W61" s="119">
        <f>VLOOKUP(A61,'30.11.25'!A:F,6,FALSE)</f>
        <v>7</v>
      </c>
      <c r="X61" s="119">
        <f t="shared" si="49"/>
        <v>0</v>
      </c>
      <c r="Y61" s="125">
        <f>VLOOKUP(A61,'31.12.25'!A:B,2,FALSE)</f>
        <v>7</v>
      </c>
      <c r="Z61" s="119">
        <f t="shared" si="37"/>
        <v>0</v>
      </c>
      <c r="AA61" s="119">
        <f t="shared" si="14"/>
        <v>0</v>
      </c>
    </row>
    <row r="62" spans="1:27" x14ac:dyDescent="0.25">
      <c r="A62" s="124" t="s">
        <v>40</v>
      </c>
      <c r="B62" s="124">
        <f>VLOOKUP(A62,'31.12.24'!A:F,6,FALSE)</f>
        <v>17</v>
      </c>
      <c r="C62" s="124">
        <f>VLOOKUP(A62,'31.01.25'!A:F,6,FALSE)</f>
        <v>17</v>
      </c>
      <c r="D62" s="119">
        <f t="shared" si="39"/>
        <v>0</v>
      </c>
      <c r="E62" s="124">
        <f>VLOOKUP(A62,'28.02.25'!A:F,6,FALSE)</f>
        <v>17</v>
      </c>
      <c r="F62" s="119">
        <f t="shared" si="40"/>
        <v>0</v>
      </c>
      <c r="G62" s="124">
        <f>VLOOKUP(A62,'31.03.25'!A:F,6,FALSE)</f>
        <v>17</v>
      </c>
      <c r="H62" s="119">
        <f t="shared" si="41"/>
        <v>0</v>
      </c>
      <c r="I62" s="124">
        <f>VLOOKUP(A62,'30.04.25'!A:F,6,FALSE)</f>
        <v>17</v>
      </c>
      <c r="J62" s="119">
        <f t="shared" si="42"/>
        <v>0</v>
      </c>
      <c r="K62" s="124">
        <f>VLOOKUP(A62,'31.05.25'!A:F,6,FALSE)</f>
        <v>20</v>
      </c>
      <c r="L62" s="119">
        <f t="shared" si="43"/>
        <v>3</v>
      </c>
      <c r="M62" s="119">
        <f>VLOOKUP(A62,'30.06.25'!A:F,6,FALSE)</f>
        <v>27</v>
      </c>
      <c r="N62" s="119">
        <f t="shared" si="44"/>
        <v>7</v>
      </c>
      <c r="O62" s="124">
        <f>VLOOKUP(A62,'31.07.25'!A:F,6,FALSE)</f>
        <v>27</v>
      </c>
      <c r="P62" s="119">
        <f t="shared" si="45"/>
        <v>0</v>
      </c>
      <c r="Q62" s="119">
        <f>VLOOKUP(A62,'31.08.25'!A:F,6,FALSE)</f>
        <v>31</v>
      </c>
      <c r="R62" s="119">
        <f t="shared" si="46"/>
        <v>4</v>
      </c>
      <c r="S62" s="119">
        <f>VLOOKUP(A62,'30.09.25'!A:F,6,FALSE)</f>
        <v>31</v>
      </c>
      <c r="T62" s="119">
        <f t="shared" si="47"/>
        <v>0</v>
      </c>
      <c r="U62" s="119">
        <f>VLOOKUP(A62,'31.10.25'!A:F,6,FALSE)</f>
        <v>32</v>
      </c>
      <c r="V62" s="119">
        <f t="shared" si="48"/>
        <v>1</v>
      </c>
      <c r="W62" s="119">
        <f>VLOOKUP(A62,'30.11.25'!A:F,6,FALSE)</f>
        <v>36</v>
      </c>
      <c r="X62" s="119">
        <f t="shared" si="49"/>
        <v>4</v>
      </c>
      <c r="Y62" s="125">
        <f>VLOOKUP(A62,'31.12.25'!A:B,2,FALSE)</f>
        <v>36</v>
      </c>
      <c r="Z62" s="119">
        <f t="shared" si="37"/>
        <v>0</v>
      </c>
      <c r="AA62" s="119">
        <f t="shared" si="14"/>
        <v>19</v>
      </c>
    </row>
    <row r="63" spans="1:27" x14ac:dyDescent="0.25">
      <c r="A63" s="124" t="s">
        <v>41</v>
      </c>
      <c r="B63" s="124"/>
      <c r="C63" s="124"/>
      <c r="D63" s="119">
        <f t="shared" si="39"/>
        <v>0</v>
      </c>
      <c r="E63" s="124"/>
      <c r="F63" s="119">
        <f t="shared" si="40"/>
        <v>0</v>
      </c>
      <c r="G63" s="124"/>
      <c r="H63" s="119">
        <f t="shared" si="41"/>
        <v>0</v>
      </c>
      <c r="I63" s="124"/>
      <c r="J63" s="119">
        <f t="shared" si="42"/>
        <v>0</v>
      </c>
      <c r="K63" s="124"/>
      <c r="L63" s="119">
        <f t="shared" si="43"/>
        <v>0</v>
      </c>
      <c r="M63" s="119"/>
      <c r="N63" s="119">
        <f t="shared" si="44"/>
        <v>0</v>
      </c>
      <c r="O63" s="124"/>
      <c r="P63" s="119">
        <f t="shared" si="45"/>
        <v>0</v>
      </c>
      <c r="Q63" s="119">
        <f>VLOOKUP(A63,'31.08.25'!A:F,6,FALSE)</f>
        <v>1</v>
      </c>
      <c r="R63" s="119">
        <f t="shared" si="46"/>
        <v>1</v>
      </c>
      <c r="S63" s="119">
        <f>VLOOKUP(A63,'30.09.25'!A:F,6,FALSE)</f>
        <v>1</v>
      </c>
      <c r="T63" s="119">
        <f t="shared" si="47"/>
        <v>0</v>
      </c>
      <c r="U63" s="119">
        <f>VLOOKUP(A63,'31.10.25'!A:F,6,FALSE)</f>
        <v>1</v>
      </c>
      <c r="V63" s="119">
        <f t="shared" si="48"/>
        <v>0</v>
      </c>
      <c r="W63" s="119">
        <f>VLOOKUP(A63,'30.11.25'!A:F,6,FALSE)</f>
        <v>1</v>
      </c>
      <c r="X63" s="119">
        <f t="shared" si="49"/>
        <v>0</v>
      </c>
      <c r="Y63" s="125">
        <f>VLOOKUP(A63,'31.12.25'!A:B,2,FALSE)</f>
        <v>1</v>
      </c>
      <c r="Z63" s="119">
        <f t="shared" si="37"/>
        <v>0</v>
      </c>
      <c r="AA63" s="119">
        <f t="shared" si="14"/>
        <v>1</v>
      </c>
    </row>
    <row r="64" spans="1:27" x14ac:dyDescent="0.25">
      <c r="A64" s="124" t="s">
        <v>42</v>
      </c>
      <c r="B64" s="124">
        <f>VLOOKUP(A64,'31.12.24'!A:F,6,FALSE)</f>
        <v>8</v>
      </c>
      <c r="C64" s="124">
        <f>VLOOKUP(A64,'31.01.25'!A:F,6,FALSE)</f>
        <v>8</v>
      </c>
      <c r="D64" s="119">
        <f t="shared" si="39"/>
        <v>0</v>
      </c>
      <c r="E64" s="124">
        <f>VLOOKUP(A64,'28.02.25'!A:F,6,FALSE)</f>
        <v>8</v>
      </c>
      <c r="F64" s="119">
        <f t="shared" si="40"/>
        <v>0</v>
      </c>
      <c r="G64" s="124">
        <f>VLOOKUP(A64,'31.03.25'!A:F,6,FALSE)</f>
        <v>8</v>
      </c>
      <c r="H64" s="119">
        <f t="shared" si="41"/>
        <v>0</v>
      </c>
      <c r="I64" s="124">
        <f>VLOOKUP(A64,'30.04.25'!A:F,6,FALSE)</f>
        <v>8</v>
      </c>
      <c r="J64" s="119">
        <f t="shared" si="42"/>
        <v>0</v>
      </c>
      <c r="K64" s="124">
        <f>VLOOKUP(A64,'31.05.25'!A:F,6,FALSE)</f>
        <v>8</v>
      </c>
      <c r="L64" s="119">
        <f t="shared" si="43"/>
        <v>0</v>
      </c>
      <c r="M64" s="119">
        <f>VLOOKUP(A64,'30.06.25'!A:F,6,FALSE)</f>
        <v>8</v>
      </c>
      <c r="N64" s="119">
        <f t="shared" si="44"/>
        <v>0</v>
      </c>
      <c r="O64" s="124">
        <f>VLOOKUP(A64,'31.07.25'!A:F,6,FALSE)</f>
        <v>8</v>
      </c>
      <c r="P64" s="119">
        <f t="shared" si="45"/>
        <v>0</v>
      </c>
      <c r="Q64" s="119">
        <f>VLOOKUP(A64,'31.08.25'!A:F,6,FALSE)</f>
        <v>8</v>
      </c>
      <c r="R64" s="119">
        <f t="shared" si="46"/>
        <v>0</v>
      </c>
      <c r="S64" s="119">
        <f>VLOOKUP(A64,'30.09.25'!A:F,6,FALSE)</f>
        <v>8</v>
      </c>
      <c r="T64" s="119">
        <f t="shared" si="47"/>
        <v>0</v>
      </c>
      <c r="U64" s="119">
        <f>VLOOKUP(A64,'31.10.25'!A:F,6,FALSE)</f>
        <v>8</v>
      </c>
      <c r="V64" s="119">
        <f t="shared" si="48"/>
        <v>0</v>
      </c>
      <c r="W64" s="119">
        <f>VLOOKUP(A64,'30.11.25'!A:F,6,FALSE)</f>
        <v>8</v>
      </c>
      <c r="X64" s="119">
        <f t="shared" si="49"/>
        <v>0</v>
      </c>
      <c r="Y64" s="125">
        <f>VLOOKUP(A64,'31.12.25'!A:B,2,FALSE)</f>
        <v>8</v>
      </c>
      <c r="Z64" s="119">
        <f t="shared" si="37"/>
        <v>0</v>
      </c>
      <c r="AA64" s="119">
        <f t="shared" si="14"/>
        <v>0</v>
      </c>
    </row>
    <row r="65" spans="1:27" x14ac:dyDescent="0.25">
      <c r="A65" s="124" t="s">
        <v>43</v>
      </c>
      <c r="B65" s="124">
        <f>VLOOKUP(A65,'31.12.24'!A:F,6,FALSE)</f>
        <v>16</v>
      </c>
      <c r="C65" s="124">
        <f>VLOOKUP(A65,'31.01.25'!A:F,6,FALSE)</f>
        <v>16</v>
      </c>
      <c r="D65" s="119">
        <f t="shared" si="39"/>
        <v>0</v>
      </c>
      <c r="E65" s="124">
        <f>VLOOKUP(A65,'28.02.25'!A:F,6,FALSE)</f>
        <v>16</v>
      </c>
      <c r="F65" s="119">
        <f t="shared" si="40"/>
        <v>0</v>
      </c>
      <c r="G65" s="124">
        <f>VLOOKUP(A65,'31.03.25'!A:F,6,FALSE)</f>
        <v>16</v>
      </c>
      <c r="H65" s="119">
        <f t="shared" si="41"/>
        <v>0</v>
      </c>
      <c r="I65" s="124">
        <f>VLOOKUP(A65,'30.04.25'!A:F,6,FALSE)</f>
        <v>16</v>
      </c>
      <c r="J65" s="119">
        <f t="shared" si="42"/>
        <v>0</v>
      </c>
      <c r="K65" s="124">
        <f>VLOOKUP(A65,'31.05.25'!A:F,6,FALSE)</f>
        <v>16</v>
      </c>
      <c r="L65" s="119">
        <f t="shared" si="43"/>
        <v>0</v>
      </c>
      <c r="M65" s="119">
        <f>VLOOKUP(A65,'30.06.25'!A:F,6,FALSE)</f>
        <v>16</v>
      </c>
      <c r="N65" s="119">
        <f t="shared" si="44"/>
        <v>0</v>
      </c>
      <c r="O65" s="124">
        <f>VLOOKUP(A65,'31.07.25'!A:F,6,FALSE)</f>
        <v>16</v>
      </c>
      <c r="P65" s="119">
        <f t="shared" si="45"/>
        <v>0</v>
      </c>
      <c r="Q65" s="119">
        <f>VLOOKUP(A65,'31.08.25'!A:F,6,FALSE)</f>
        <v>16</v>
      </c>
      <c r="R65" s="119">
        <f t="shared" si="46"/>
        <v>0</v>
      </c>
      <c r="S65" s="119">
        <f>VLOOKUP(A65,'30.09.25'!A:F,6,FALSE)</f>
        <v>16</v>
      </c>
      <c r="T65" s="119">
        <f t="shared" si="47"/>
        <v>0</v>
      </c>
      <c r="U65" s="119">
        <f>VLOOKUP(A65,'31.10.25'!A:F,6,FALSE)</f>
        <v>16</v>
      </c>
      <c r="V65" s="119">
        <f t="shared" si="48"/>
        <v>0</v>
      </c>
      <c r="W65" s="119">
        <f>VLOOKUP(A65,'30.11.25'!A:F,6,FALSE)</f>
        <v>16</v>
      </c>
      <c r="X65" s="119">
        <f t="shared" si="49"/>
        <v>0</v>
      </c>
      <c r="Y65" s="125">
        <f>VLOOKUP(A65,'31.12.25'!A:B,2,FALSE)</f>
        <v>16</v>
      </c>
      <c r="Z65" s="119">
        <f t="shared" si="37"/>
        <v>0</v>
      </c>
      <c r="AA65" s="119">
        <f t="shared" si="14"/>
        <v>0</v>
      </c>
    </row>
    <row r="66" spans="1:27" x14ac:dyDescent="0.25">
      <c r="A66" s="124" t="s">
        <v>44</v>
      </c>
      <c r="B66" s="124"/>
      <c r="C66" s="124"/>
      <c r="D66" s="119">
        <f t="shared" si="39"/>
        <v>0</v>
      </c>
      <c r="E66" s="124"/>
      <c r="F66" s="119">
        <f t="shared" si="40"/>
        <v>0</v>
      </c>
      <c r="G66" s="124"/>
      <c r="H66" s="119">
        <f t="shared" si="41"/>
        <v>0</v>
      </c>
      <c r="I66" s="124"/>
      <c r="J66" s="119">
        <f t="shared" si="42"/>
        <v>0</v>
      </c>
      <c r="K66" s="124"/>
      <c r="L66" s="119">
        <f t="shared" si="43"/>
        <v>0</v>
      </c>
      <c r="M66" s="119"/>
      <c r="N66" s="119">
        <f t="shared" si="44"/>
        <v>0</v>
      </c>
      <c r="O66" s="124">
        <f>VLOOKUP(A66,'31.07.25'!A:F,6,FALSE)</f>
        <v>7</v>
      </c>
      <c r="P66" s="119">
        <f t="shared" si="45"/>
        <v>7</v>
      </c>
      <c r="Q66" s="119">
        <f>VLOOKUP(A66,'31.08.25'!A:F,6,FALSE)</f>
        <v>11</v>
      </c>
      <c r="R66" s="119">
        <f t="shared" si="46"/>
        <v>4</v>
      </c>
      <c r="S66" s="119">
        <f>VLOOKUP(A66,'30.09.25'!A:F,6,FALSE)</f>
        <v>15</v>
      </c>
      <c r="T66" s="119">
        <f t="shared" si="47"/>
        <v>4</v>
      </c>
      <c r="U66" s="119">
        <f>VLOOKUP(A66,'31.10.25'!A:F,6,FALSE)</f>
        <v>15</v>
      </c>
      <c r="V66" s="119">
        <f t="shared" si="48"/>
        <v>0</v>
      </c>
      <c r="W66" s="119">
        <f>VLOOKUP(A66,'30.11.25'!A:F,6,FALSE)</f>
        <v>16</v>
      </c>
      <c r="X66" s="119">
        <f t="shared" si="49"/>
        <v>1</v>
      </c>
      <c r="Y66" s="125">
        <f>VLOOKUP(A66,'31.12.25'!A:B,2,FALSE)</f>
        <v>24</v>
      </c>
      <c r="Z66" s="119">
        <f t="shared" si="37"/>
        <v>8</v>
      </c>
      <c r="AA66" s="119">
        <f t="shared" si="14"/>
        <v>24</v>
      </c>
    </row>
    <row r="67" spans="1:27" x14ac:dyDescent="0.25">
      <c r="A67" s="124" t="s">
        <v>45</v>
      </c>
      <c r="B67" s="124"/>
      <c r="C67" s="124"/>
      <c r="D67" s="119">
        <f t="shared" si="39"/>
        <v>0</v>
      </c>
      <c r="E67" s="124"/>
      <c r="F67" s="119">
        <f t="shared" si="40"/>
        <v>0</v>
      </c>
      <c r="G67" s="124"/>
      <c r="H67" s="119">
        <f t="shared" si="41"/>
        <v>0</v>
      </c>
      <c r="I67" s="124"/>
      <c r="J67" s="119">
        <f t="shared" si="42"/>
        <v>0</v>
      </c>
      <c r="K67" s="124"/>
      <c r="L67" s="119">
        <f t="shared" si="43"/>
        <v>0</v>
      </c>
      <c r="M67" s="119"/>
      <c r="N67" s="119">
        <f t="shared" si="44"/>
        <v>0</v>
      </c>
      <c r="O67" s="124"/>
      <c r="P67" s="119">
        <f t="shared" si="45"/>
        <v>0</v>
      </c>
      <c r="Q67" s="119">
        <f>VLOOKUP(A67,'31.08.25'!A:F,6,FALSE)</f>
        <v>2</v>
      </c>
      <c r="R67" s="119">
        <f t="shared" si="46"/>
        <v>2</v>
      </c>
      <c r="S67" s="119">
        <f>VLOOKUP(A67,'30.09.25'!A:F,6,FALSE)</f>
        <v>9</v>
      </c>
      <c r="T67" s="119">
        <f t="shared" si="47"/>
        <v>7</v>
      </c>
      <c r="U67" s="119">
        <f>VLOOKUP(A67,'31.10.25'!A:F,6,FALSE)</f>
        <v>9</v>
      </c>
      <c r="V67" s="119">
        <f t="shared" si="48"/>
        <v>0</v>
      </c>
      <c r="W67" s="119">
        <f>VLOOKUP(A67,'30.11.25'!A:F,6,FALSE)</f>
        <v>9</v>
      </c>
      <c r="X67" s="119">
        <f t="shared" si="49"/>
        <v>0</v>
      </c>
      <c r="Y67" s="125">
        <f>VLOOKUP(A67,'31.12.25'!A:B,2,FALSE)</f>
        <v>9</v>
      </c>
      <c r="Z67" s="119">
        <f t="shared" si="37"/>
        <v>0</v>
      </c>
      <c r="AA67" s="119">
        <f t="shared" si="14"/>
        <v>9</v>
      </c>
    </row>
    <row r="68" spans="1:27" x14ac:dyDescent="0.25">
      <c r="A68" s="124" t="s">
        <v>133</v>
      </c>
      <c r="B68" s="124"/>
      <c r="C68" s="124"/>
      <c r="D68" s="119">
        <f t="shared" si="39"/>
        <v>0</v>
      </c>
      <c r="E68" s="124"/>
      <c r="F68" s="119">
        <f t="shared" si="40"/>
        <v>0</v>
      </c>
      <c r="G68" s="124"/>
      <c r="H68" s="119">
        <f t="shared" si="41"/>
        <v>0</v>
      </c>
      <c r="I68" s="124"/>
      <c r="J68" s="119">
        <f t="shared" si="42"/>
        <v>0</v>
      </c>
      <c r="K68" s="124"/>
      <c r="L68" s="119">
        <f t="shared" si="43"/>
        <v>0</v>
      </c>
      <c r="M68" s="119"/>
      <c r="N68" s="119">
        <f t="shared" si="44"/>
        <v>0</v>
      </c>
      <c r="O68" s="124"/>
      <c r="P68" s="119">
        <f t="shared" si="45"/>
        <v>0</v>
      </c>
      <c r="Q68" s="119"/>
      <c r="R68" s="119">
        <f t="shared" si="46"/>
        <v>0</v>
      </c>
      <c r="S68" s="119"/>
      <c r="T68" s="119">
        <f t="shared" si="47"/>
        <v>0</v>
      </c>
      <c r="U68" s="119">
        <f>VLOOKUP(A68,'31.10.25'!A:F,6,FALSE)</f>
        <v>10</v>
      </c>
      <c r="V68" s="119">
        <f t="shared" si="48"/>
        <v>10</v>
      </c>
      <c r="W68" s="119">
        <f>VLOOKUP(A68,'30.11.25'!A:F,6,FALSE)</f>
        <v>14</v>
      </c>
      <c r="X68" s="119">
        <f t="shared" si="49"/>
        <v>4</v>
      </c>
      <c r="Y68" s="125">
        <f>VLOOKUP(A68,'31.12.25'!A:B,2,FALSE)</f>
        <v>28</v>
      </c>
      <c r="Z68" s="119">
        <f t="shared" si="37"/>
        <v>14</v>
      </c>
      <c r="AA68" s="119">
        <f t="shared" ref="AA68:AA131" si="50">Y68-B68</f>
        <v>28</v>
      </c>
    </row>
    <row r="69" spans="1:27" x14ac:dyDescent="0.25">
      <c r="A69" s="124" t="s">
        <v>46</v>
      </c>
      <c r="B69" s="124">
        <f>VLOOKUP(A69,'31.12.24'!A:F,6,FALSE)</f>
        <v>2</v>
      </c>
      <c r="C69" s="124">
        <f>VLOOKUP(A69,'31.01.25'!A:F,6,FALSE)</f>
        <v>2</v>
      </c>
      <c r="D69" s="119">
        <f t="shared" si="39"/>
        <v>0</v>
      </c>
      <c r="E69" s="124">
        <f>VLOOKUP(A69,'28.02.25'!A:F,6,FALSE)</f>
        <v>2</v>
      </c>
      <c r="F69" s="119">
        <f t="shared" si="40"/>
        <v>0</v>
      </c>
      <c r="G69" s="124">
        <f>VLOOKUP(A69,'31.03.25'!A:F,6,FALSE)</f>
        <v>2</v>
      </c>
      <c r="H69" s="119">
        <f t="shared" si="41"/>
        <v>0</v>
      </c>
      <c r="I69" s="124">
        <f>VLOOKUP(A69,'30.04.25'!A:F,6,FALSE)</f>
        <v>2</v>
      </c>
      <c r="J69" s="119">
        <f t="shared" si="42"/>
        <v>0</v>
      </c>
      <c r="K69" s="124">
        <f>VLOOKUP(A69,'31.05.25'!A:F,6,FALSE)</f>
        <v>2</v>
      </c>
      <c r="L69" s="119">
        <f t="shared" si="43"/>
        <v>0</v>
      </c>
      <c r="M69" s="119">
        <f>VLOOKUP(A69,'30.06.25'!A:F,6,FALSE)</f>
        <v>2</v>
      </c>
      <c r="N69" s="119">
        <f t="shared" si="44"/>
        <v>0</v>
      </c>
      <c r="O69" s="124">
        <f>VLOOKUP(A69,'31.07.25'!A:F,6,FALSE)</f>
        <v>2</v>
      </c>
      <c r="P69" s="119">
        <f t="shared" si="45"/>
        <v>0</v>
      </c>
      <c r="Q69" s="119">
        <f>VLOOKUP(A69,'31.08.25'!A:F,6,FALSE)</f>
        <v>2</v>
      </c>
      <c r="R69" s="119">
        <f t="shared" si="46"/>
        <v>0</v>
      </c>
      <c r="S69" s="119">
        <f>VLOOKUP(A69,'30.09.25'!A:F,6,FALSE)</f>
        <v>2</v>
      </c>
      <c r="T69" s="119">
        <f t="shared" si="47"/>
        <v>0</v>
      </c>
      <c r="U69" s="119">
        <f>VLOOKUP(A69,'31.10.25'!A:F,6,FALSE)</f>
        <v>2</v>
      </c>
      <c r="V69" s="119">
        <f t="shared" si="48"/>
        <v>0</v>
      </c>
      <c r="W69" s="119">
        <f>VLOOKUP(A69,'30.11.25'!A:F,6,FALSE)</f>
        <v>2</v>
      </c>
      <c r="X69" s="119">
        <f t="shared" si="49"/>
        <v>0</v>
      </c>
      <c r="Y69" s="125">
        <f>VLOOKUP(A69,'31.12.25'!A:B,2,FALSE)</f>
        <v>2</v>
      </c>
      <c r="Z69" s="119">
        <f t="shared" si="37"/>
        <v>0</v>
      </c>
      <c r="AA69" s="119">
        <f t="shared" si="50"/>
        <v>0</v>
      </c>
    </row>
    <row r="70" spans="1:27" x14ac:dyDescent="0.25">
      <c r="A70" s="124" t="s">
        <v>47</v>
      </c>
      <c r="B70" s="124">
        <f>VLOOKUP(A70,'31.12.24'!A:F,6,FALSE)</f>
        <v>115</v>
      </c>
      <c r="C70" s="124">
        <f>VLOOKUP(A70,'31.01.25'!A:F,6,FALSE)</f>
        <v>120</v>
      </c>
      <c r="D70" s="119">
        <f t="shared" si="39"/>
        <v>5</v>
      </c>
      <c r="E70" s="124">
        <f>VLOOKUP(A70,'28.02.25'!A:F,6,FALSE)</f>
        <v>120</v>
      </c>
      <c r="F70" s="119">
        <f t="shared" si="40"/>
        <v>0</v>
      </c>
      <c r="G70" s="124">
        <f>VLOOKUP(A70,'31.03.25'!A:F,6,FALSE)</f>
        <v>120</v>
      </c>
      <c r="H70" s="119">
        <f t="shared" si="41"/>
        <v>0</v>
      </c>
      <c r="I70" s="124">
        <f>VLOOKUP(A70,'30.04.25'!A:F,6,FALSE)</f>
        <v>124</v>
      </c>
      <c r="J70" s="119">
        <f t="shared" si="42"/>
        <v>4</v>
      </c>
      <c r="K70" s="124">
        <f>VLOOKUP(A70,'31.05.25'!A:F,6,FALSE)</f>
        <v>122</v>
      </c>
      <c r="L70" s="119">
        <f t="shared" si="43"/>
        <v>-2</v>
      </c>
      <c r="M70" s="119">
        <f>VLOOKUP(A70,'30.06.25'!A:F,6,FALSE)</f>
        <v>122</v>
      </c>
      <c r="N70" s="119">
        <f t="shared" si="44"/>
        <v>0</v>
      </c>
      <c r="O70" s="124">
        <f>VLOOKUP(A70,'31.07.25'!A:F,6,FALSE)</f>
        <v>127</v>
      </c>
      <c r="P70" s="119">
        <f t="shared" si="45"/>
        <v>5</v>
      </c>
      <c r="Q70" s="119">
        <f>VLOOKUP(A70,'31.08.25'!A:F,6,FALSE)</f>
        <v>142</v>
      </c>
      <c r="R70" s="119">
        <f t="shared" si="46"/>
        <v>15</v>
      </c>
      <c r="S70" s="119">
        <f>VLOOKUP(A70,'30.09.25'!A:F,6,FALSE)</f>
        <v>142</v>
      </c>
      <c r="T70" s="119">
        <f t="shared" si="47"/>
        <v>0</v>
      </c>
      <c r="U70" s="119">
        <f>VLOOKUP(A70,'31.10.25'!A:F,6,FALSE)</f>
        <v>155</v>
      </c>
      <c r="V70" s="119">
        <f t="shared" si="48"/>
        <v>13</v>
      </c>
      <c r="W70" s="119">
        <f>VLOOKUP(A70,'30.11.25'!A:F,6,FALSE)</f>
        <v>155</v>
      </c>
      <c r="X70" s="119">
        <f t="shared" si="49"/>
        <v>0</v>
      </c>
      <c r="Y70" s="125">
        <f>VLOOKUP(A70,'31.12.25'!A:B,2,FALSE)</f>
        <v>154</v>
      </c>
      <c r="Z70" s="119">
        <f t="shared" si="37"/>
        <v>-1</v>
      </c>
      <c r="AA70" s="119">
        <f t="shared" si="50"/>
        <v>39</v>
      </c>
    </row>
    <row r="71" spans="1:27" x14ac:dyDescent="0.25">
      <c r="A71" s="124" t="s">
        <v>48</v>
      </c>
      <c r="B71" s="124">
        <f>VLOOKUP(A71,'31.12.24'!A:F,6,FALSE)</f>
        <v>11</v>
      </c>
      <c r="C71" s="124">
        <f>VLOOKUP(A71,'31.01.25'!A:F,6,FALSE)</f>
        <v>11</v>
      </c>
      <c r="D71" s="119">
        <f t="shared" si="39"/>
        <v>0</v>
      </c>
      <c r="E71" s="124">
        <f>VLOOKUP(A71,'28.02.25'!A:F,6,FALSE)</f>
        <v>11</v>
      </c>
      <c r="F71" s="119">
        <f t="shared" si="40"/>
        <v>0</v>
      </c>
      <c r="G71" s="124">
        <f>VLOOKUP(A71,'31.03.25'!A:F,6,FALSE)</f>
        <v>11</v>
      </c>
      <c r="H71" s="119">
        <f t="shared" si="41"/>
        <v>0</v>
      </c>
      <c r="I71" s="124">
        <f>VLOOKUP(A71,'30.04.25'!A:F,6,FALSE)</f>
        <v>11</v>
      </c>
      <c r="J71" s="119">
        <f t="shared" si="42"/>
        <v>0</v>
      </c>
      <c r="K71" s="124">
        <f>VLOOKUP(A71,'31.05.25'!A:F,6,FALSE)</f>
        <v>11</v>
      </c>
      <c r="L71" s="119">
        <f t="shared" si="43"/>
        <v>0</v>
      </c>
      <c r="M71" s="119">
        <f>VLOOKUP(A71,'30.06.25'!A:F,6,FALSE)</f>
        <v>11</v>
      </c>
      <c r="N71" s="119">
        <f t="shared" si="44"/>
        <v>0</v>
      </c>
      <c r="O71" s="124">
        <f>VLOOKUP(A71,'31.07.25'!A:F,6,FALSE)</f>
        <v>11</v>
      </c>
      <c r="P71" s="119">
        <f t="shared" si="45"/>
        <v>0</v>
      </c>
      <c r="Q71" s="119">
        <f>VLOOKUP(A71,'31.08.25'!A:F,6,FALSE)</f>
        <v>11</v>
      </c>
      <c r="R71" s="119">
        <f t="shared" si="46"/>
        <v>0</v>
      </c>
      <c r="S71" s="119">
        <f>VLOOKUP(A71,'30.09.25'!A:F,6,FALSE)</f>
        <v>11</v>
      </c>
      <c r="T71" s="119">
        <f t="shared" si="47"/>
        <v>0</v>
      </c>
      <c r="U71" s="119">
        <f>VLOOKUP(A71,'31.10.25'!A:F,6,FALSE)</f>
        <v>11</v>
      </c>
      <c r="V71" s="119">
        <f t="shared" si="48"/>
        <v>0</v>
      </c>
      <c r="W71" s="119">
        <f>VLOOKUP(A71,'30.11.25'!A:F,6,FALSE)</f>
        <v>11</v>
      </c>
      <c r="X71" s="119">
        <f t="shared" si="49"/>
        <v>0</v>
      </c>
      <c r="Y71" s="125">
        <f>VLOOKUP(A71,'31.12.25'!A:B,2,FALSE)</f>
        <v>11</v>
      </c>
      <c r="Z71" s="119">
        <f t="shared" si="37"/>
        <v>0</v>
      </c>
      <c r="AA71" s="119">
        <f t="shared" si="50"/>
        <v>0</v>
      </c>
    </row>
    <row r="72" spans="1:27" x14ac:dyDescent="0.25">
      <c r="A72" s="124" t="s">
        <v>49</v>
      </c>
      <c r="B72" s="124">
        <f>VLOOKUP(A72,'31.12.24'!A:F,6,FALSE)</f>
        <v>33</v>
      </c>
      <c r="C72" s="124">
        <f>VLOOKUP(A72,'31.01.25'!A:F,6,FALSE)</f>
        <v>33</v>
      </c>
      <c r="D72" s="119">
        <f t="shared" si="39"/>
        <v>0</v>
      </c>
      <c r="E72" s="124">
        <f>VLOOKUP(A72,'28.02.25'!A:F,6,FALSE)</f>
        <v>33</v>
      </c>
      <c r="F72" s="119">
        <f t="shared" si="40"/>
        <v>0</v>
      </c>
      <c r="G72" s="124">
        <f>VLOOKUP(A72,'31.03.25'!A:F,6,FALSE)</f>
        <v>33</v>
      </c>
      <c r="H72" s="119">
        <f t="shared" si="41"/>
        <v>0</v>
      </c>
      <c r="I72" s="124">
        <f>VLOOKUP(A72,'30.04.25'!A:F,6,FALSE)</f>
        <v>33</v>
      </c>
      <c r="J72" s="119">
        <f t="shared" si="42"/>
        <v>0</v>
      </c>
      <c r="K72" s="124">
        <f>VLOOKUP(A72,'31.05.25'!A:F,6,FALSE)</f>
        <v>33</v>
      </c>
      <c r="L72" s="119">
        <f t="shared" si="43"/>
        <v>0</v>
      </c>
      <c r="M72" s="119">
        <f>VLOOKUP(A72,'30.06.25'!A:F,6,FALSE)</f>
        <v>33</v>
      </c>
      <c r="N72" s="119">
        <f t="shared" si="44"/>
        <v>0</v>
      </c>
      <c r="O72" s="124">
        <f>VLOOKUP(A72,'31.07.25'!A:F,6,FALSE)</f>
        <v>34</v>
      </c>
      <c r="P72" s="119">
        <f t="shared" si="45"/>
        <v>1</v>
      </c>
      <c r="Q72" s="119">
        <f>VLOOKUP(A72,'31.08.25'!A:F,6,FALSE)</f>
        <v>34</v>
      </c>
      <c r="R72" s="119">
        <f t="shared" si="46"/>
        <v>0</v>
      </c>
      <c r="S72" s="119">
        <f>VLOOKUP(A72,'30.09.25'!A:F,6,FALSE)</f>
        <v>34</v>
      </c>
      <c r="T72" s="119">
        <f t="shared" si="47"/>
        <v>0</v>
      </c>
      <c r="U72" s="119">
        <f>VLOOKUP(A72,'31.10.25'!A:F,6,FALSE)</f>
        <v>34</v>
      </c>
      <c r="V72" s="119">
        <f t="shared" si="48"/>
        <v>0</v>
      </c>
      <c r="W72" s="119">
        <f>VLOOKUP(A72,'30.11.25'!A:F,6,FALSE)</f>
        <v>34</v>
      </c>
      <c r="X72" s="119">
        <f t="shared" si="49"/>
        <v>0</v>
      </c>
      <c r="Y72" s="125">
        <f>VLOOKUP(A72,'31.12.25'!A:B,2,FALSE)</f>
        <v>34</v>
      </c>
      <c r="Z72" s="119">
        <f t="shared" si="37"/>
        <v>0</v>
      </c>
      <c r="AA72" s="119">
        <f t="shared" si="50"/>
        <v>1</v>
      </c>
    </row>
    <row r="73" spans="1:27" x14ac:dyDescent="0.25">
      <c r="A73" s="124" t="s">
        <v>50</v>
      </c>
      <c r="B73" s="124">
        <f>VLOOKUP(A73,'31.12.24'!A:F,6,FALSE)</f>
        <v>1</v>
      </c>
      <c r="C73" s="124">
        <f>VLOOKUP(A73,'31.01.25'!A:F,6,FALSE)</f>
        <v>1</v>
      </c>
      <c r="D73" s="119">
        <f t="shared" si="39"/>
        <v>0</v>
      </c>
      <c r="E73" s="124">
        <f>VLOOKUP(A73,'28.02.25'!A:F,6,FALSE)</f>
        <v>1</v>
      </c>
      <c r="F73" s="119">
        <f t="shared" si="40"/>
        <v>0</v>
      </c>
      <c r="G73" s="124">
        <f>VLOOKUP(A73,'31.03.25'!A:F,6,FALSE)</f>
        <v>1</v>
      </c>
      <c r="H73" s="119">
        <f t="shared" si="41"/>
        <v>0</v>
      </c>
      <c r="I73" s="124">
        <f>VLOOKUP(A73,'30.04.25'!A:F,6,FALSE)</f>
        <v>1</v>
      </c>
      <c r="J73" s="119">
        <f t="shared" si="42"/>
        <v>0</v>
      </c>
      <c r="K73" s="124">
        <f>VLOOKUP(A73,'31.05.25'!A:F,6,FALSE)</f>
        <v>1</v>
      </c>
      <c r="L73" s="119">
        <f t="shared" si="43"/>
        <v>0</v>
      </c>
      <c r="M73" s="119">
        <f>VLOOKUP(A73,'30.06.25'!A:F,6,FALSE)</f>
        <v>1</v>
      </c>
      <c r="N73" s="119">
        <f t="shared" si="44"/>
        <v>0</v>
      </c>
      <c r="O73" s="124">
        <f>VLOOKUP(A73,'31.07.25'!A:F,6,FALSE)</f>
        <v>1</v>
      </c>
      <c r="P73" s="119">
        <f t="shared" si="45"/>
        <v>0</v>
      </c>
      <c r="Q73" s="119">
        <f>VLOOKUP(A73,'31.08.25'!A:F,6,FALSE)</f>
        <v>1</v>
      </c>
      <c r="R73" s="119">
        <f t="shared" si="46"/>
        <v>0</v>
      </c>
      <c r="S73" s="119">
        <f>VLOOKUP(A73,'30.09.25'!A:F,6,FALSE)</f>
        <v>1</v>
      </c>
      <c r="T73" s="119">
        <f t="shared" si="47"/>
        <v>0</v>
      </c>
      <c r="U73" s="119">
        <f>VLOOKUP(A73,'31.10.25'!A:F,6,FALSE)</f>
        <v>1</v>
      </c>
      <c r="V73" s="119">
        <f t="shared" si="48"/>
        <v>0</v>
      </c>
      <c r="W73" s="119">
        <f>VLOOKUP(A73,'30.11.25'!A:F,6,FALSE)</f>
        <v>1</v>
      </c>
      <c r="X73" s="119">
        <f t="shared" si="49"/>
        <v>0</v>
      </c>
      <c r="Y73" s="125">
        <f>VLOOKUP(A73,'31.12.25'!A:B,2,FALSE)</f>
        <v>1</v>
      </c>
      <c r="Z73" s="119">
        <f t="shared" si="37"/>
        <v>0</v>
      </c>
      <c r="AA73" s="119">
        <f t="shared" si="50"/>
        <v>0</v>
      </c>
    </row>
    <row r="74" spans="1:27" x14ac:dyDescent="0.25">
      <c r="A74" s="124" t="s">
        <v>51</v>
      </c>
      <c r="B74" s="124">
        <f>VLOOKUP(A74,'31.12.24'!A:F,6,FALSE)</f>
        <v>16</v>
      </c>
      <c r="C74" s="124">
        <f>VLOOKUP(A74,'31.01.25'!A:F,6,FALSE)</f>
        <v>16</v>
      </c>
      <c r="D74" s="119">
        <f t="shared" si="39"/>
        <v>0</v>
      </c>
      <c r="E74" s="124">
        <f>VLOOKUP(A74,'28.02.25'!A:F,6,FALSE)</f>
        <v>16</v>
      </c>
      <c r="F74" s="119">
        <f t="shared" si="40"/>
        <v>0</v>
      </c>
      <c r="G74" s="124">
        <f>VLOOKUP(A74,'31.03.25'!A:F,6,FALSE)</f>
        <v>16</v>
      </c>
      <c r="H74" s="119">
        <f t="shared" si="41"/>
        <v>0</v>
      </c>
      <c r="I74" s="124">
        <f>VLOOKUP(A74,'30.04.25'!A:F,6,FALSE)</f>
        <v>16</v>
      </c>
      <c r="J74" s="119">
        <f t="shared" si="42"/>
        <v>0</v>
      </c>
      <c r="K74" s="124">
        <f>VLOOKUP(A74,'31.05.25'!A:F,6,FALSE)</f>
        <v>16</v>
      </c>
      <c r="L74" s="119">
        <f t="shared" si="43"/>
        <v>0</v>
      </c>
      <c r="M74" s="119">
        <f>VLOOKUP(A74,'30.06.25'!A:F,6,FALSE)</f>
        <v>16</v>
      </c>
      <c r="N74" s="119">
        <f t="shared" si="44"/>
        <v>0</v>
      </c>
      <c r="O74" s="124">
        <f>VLOOKUP(A74,'31.07.25'!A:F,6,FALSE)</f>
        <v>16</v>
      </c>
      <c r="P74" s="119">
        <f t="shared" si="45"/>
        <v>0</v>
      </c>
      <c r="Q74" s="119">
        <f>VLOOKUP(A74,'31.08.25'!A:F,6,FALSE)</f>
        <v>16</v>
      </c>
      <c r="R74" s="119">
        <f t="shared" si="46"/>
        <v>0</v>
      </c>
      <c r="S74" s="119">
        <f>VLOOKUP(A74,'30.09.25'!A:F,6,FALSE)</f>
        <v>16</v>
      </c>
      <c r="T74" s="119">
        <f t="shared" si="47"/>
        <v>0</v>
      </c>
      <c r="U74" s="119">
        <f>VLOOKUP(A74,'31.10.25'!A:F,6,FALSE)</f>
        <v>16</v>
      </c>
      <c r="V74" s="119">
        <f t="shared" si="48"/>
        <v>0</v>
      </c>
      <c r="W74" s="119">
        <f>VLOOKUP(A74,'30.11.25'!A:F,6,FALSE)</f>
        <v>16</v>
      </c>
      <c r="X74" s="119">
        <f t="shared" si="49"/>
        <v>0</v>
      </c>
      <c r="Y74" s="125">
        <f>VLOOKUP(A74,'31.12.25'!A:B,2,FALSE)</f>
        <v>16</v>
      </c>
      <c r="Z74" s="119">
        <f t="shared" si="37"/>
        <v>0</v>
      </c>
      <c r="AA74" s="119">
        <f t="shared" si="50"/>
        <v>0</v>
      </c>
    </row>
    <row r="75" spans="1:27" x14ac:dyDescent="0.25">
      <c r="A75" s="124" t="s">
        <v>52</v>
      </c>
      <c r="B75" s="124">
        <f>VLOOKUP(A75,'31.12.24'!A:F,6,FALSE)</f>
        <v>9</v>
      </c>
      <c r="C75" s="124">
        <f>VLOOKUP(A75,'31.01.25'!A:F,6,FALSE)</f>
        <v>9</v>
      </c>
      <c r="D75" s="119">
        <f t="shared" si="39"/>
        <v>0</v>
      </c>
      <c r="E75" s="124">
        <f>VLOOKUP(A75,'28.02.25'!A:F,6,FALSE)</f>
        <v>9</v>
      </c>
      <c r="F75" s="119">
        <f t="shared" si="40"/>
        <v>0</v>
      </c>
      <c r="G75" s="124">
        <f>VLOOKUP(A75,'31.03.25'!A:F,6,FALSE)</f>
        <v>9</v>
      </c>
      <c r="H75" s="119">
        <f t="shared" si="41"/>
        <v>0</v>
      </c>
      <c r="I75" s="124">
        <f>VLOOKUP(A75,'30.04.25'!A:F,6,FALSE)</f>
        <v>9</v>
      </c>
      <c r="J75" s="119">
        <f t="shared" si="42"/>
        <v>0</v>
      </c>
      <c r="K75" s="124">
        <f>VLOOKUP(A75,'31.05.25'!A:F,6,FALSE)</f>
        <v>9</v>
      </c>
      <c r="L75" s="119">
        <f t="shared" si="43"/>
        <v>0</v>
      </c>
      <c r="M75" s="119">
        <f>VLOOKUP(A75,'30.06.25'!A:F,6,FALSE)</f>
        <v>9</v>
      </c>
      <c r="N75" s="119">
        <f t="shared" si="44"/>
        <v>0</v>
      </c>
      <c r="O75" s="124">
        <f>VLOOKUP(A75,'31.07.25'!A:F,6,FALSE)</f>
        <v>9</v>
      </c>
      <c r="P75" s="119">
        <f t="shared" si="45"/>
        <v>0</v>
      </c>
      <c r="Q75" s="119">
        <f>VLOOKUP(A75,'31.08.25'!A:F,6,FALSE)</f>
        <v>9</v>
      </c>
      <c r="R75" s="119">
        <f t="shared" si="46"/>
        <v>0</v>
      </c>
      <c r="S75" s="119">
        <f>VLOOKUP(A75,'30.09.25'!A:F,6,FALSE)</f>
        <v>9</v>
      </c>
      <c r="T75" s="119">
        <f t="shared" si="47"/>
        <v>0</v>
      </c>
      <c r="U75" s="119">
        <f>VLOOKUP(A75,'31.10.25'!A:F,6,FALSE)</f>
        <v>9</v>
      </c>
      <c r="V75" s="119">
        <f t="shared" si="48"/>
        <v>0</v>
      </c>
      <c r="W75" s="119">
        <f>VLOOKUP(A75,'30.11.25'!A:F,6,FALSE)</f>
        <v>9</v>
      </c>
      <c r="X75" s="119">
        <f t="shared" si="49"/>
        <v>0</v>
      </c>
      <c r="Y75" s="125">
        <f>VLOOKUP(A75,'31.12.25'!A:B,2,FALSE)</f>
        <v>9</v>
      </c>
      <c r="Z75" s="119">
        <f t="shared" si="37"/>
        <v>0</v>
      </c>
      <c r="AA75" s="119">
        <f t="shared" si="50"/>
        <v>0</v>
      </c>
    </row>
    <row r="76" spans="1:27" x14ac:dyDescent="0.25">
      <c r="A76" s="124" t="s">
        <v>53</v>
      </c>
      <c r="B76" s="124">
        <f>VLOOKUP(A76,'31.12.24'!A:F,6,FALSE)</f>
        <v>38</v>
      </c>
      <c r="C76" s="124">
        <f>VLOOKUP(A76,'31.01.25'!A:F,6,FALSE)</f>
        <v>38</v>
      </c>
      <c r="D76" s="119">
        <f t="shared" si="39"/>
        <v>0</v>
      </c>
      <c r="E76" s="124">
        <f>VLOOKUP(A76,'28.02.25'!A:F,6,FALSE)</f>
        <v>38</v>
      </c>
      <c r="F76" s="119">
        <f t="shared" si="40"/>
        <v>0</v>
      </c>
      <c r="G76" s="124">
        <f>VLOOKUP(A76,'31.03.25'!A:F,6,FALSE)</f>
        <v>38</v>
      </c>
      <c r="H76" s="119">
        <f t="shared" si="41"/>
        <v>0</v>
      </c>
      <c r="I76" s="124">
        <f>VLOOKUP(A76,'30.04.25'!A:F,6,FALSE)</f>
        <v>38</v>
      </c>
      <c r="J76" s="119">
        <f t="shared" si="42"/>
        <v>0</v>
      </c>
      <c r="K76" s="124">
        <f>VLOOKUP(A76,'31.05.25'!A:F,6,FALSE)</f>
        <v>38</v>
      </c>
      <c r="L76" s="119">
        <f t="shared" si="43"/>
        <v>0</v>
      </c>
      <c r="M76" s="119">
        <f>VLOOKUP(A76,'30.06.25'!A:F,6,FALSE)</f>
        <v>38</v>
      </c>
      <c r="N76" s="119">
        <f t="shared" si="44"/>
        <v>0</v>
      </c>
      <c r="O76" s="124">
        <f>VLOOKUP(A76,'31.07.25'!A:F,6,FALSE)</f>
        <v>38</v>
      </c>
      <c r="P76" s="119">
        <f t="shared" si="45"/>
        <v>0</v>
      </c>
      <c r="Q76" s="119">
        <f>VLOOKUP(A76,'31.08.25'!A:F,6,FALSE)</f>
        <v>38</v>
      </c>
      <c r="R76" s="119">
        <f t="shared" si="46"/>
        <v>0</v>
      </c>
      <c r="S76" s="119">
        <f>VLOOKUP(A76,'30.09.25'!A:F,6,FALSE)</f>
        <v>38</v>
      </c>
      <c r="T76" s="119">
        <f t="shared" si="47"/>
        <v>0</v>
      </c>
      <c r="U76" s="119">
        <f>VLOOKUP(A76,'31.10.25'!A:F,6,FALSE)</f>
        <v>38</v>
      </c>
      <c r="V76" s="119">
        <f t="shared" si="48"/>
        <v>0</v>
      </c>
      <c r="W76" s="119">
        <f>VLOOKUP(A76,'30.11.25'!A:F,6,FALSE)</f>
        <v>38</v>
      </c>
      <c r="X76" s="119">
        <f t="shared" si="49"/>
        <v>0</v>
      </c>
      <c r="Y76" s="125">
        <f>VLOOKUP(A76,'31.12.25'!A:B,2,FALSE)</f>
        <v>49</v>
      </c>
      <c r="Z76" s="119">
        <f t="shared" si="37"/>
        <v>11</v>
      </c>
      <c r="AA76" s="119">
        <f t="shared" si="50"/>
        <v>11</v>
      </c>
    </row>
    <row r="77" spans="1:27" x14ac:dyDescent="0.25">
      <c r="A77" s="124" t="s">
        <v>54</v>
      </c>
      <c r="B77" s="124"/>
      <c r="C77" s="124"/>
      <c r="D77" s="119">
        <f t="shared" si="39"/>
        <v>0</v>
      </c>
      <c r="E77" s="124"/>
      <c r="F77" s="119">
        <f t="shared" si="40"/>
        <v>0</v>
      </c>
      <c r="G77" s="124"/>
      <c r="H77" s="119">
        <f t="shared" si="41"/>
        <v>0</v>
      </c>
      <c r="I77" s="124"/>
      <c r="J77" s="119">
        <f t="shared" si="42"/>
        <v>0</v>
      </c>
      <c r="K77" s="124"/>
      <c r="L77" s="119">
        <f t="shared" si="43"/>
        <v>0</v>
      </c>
      <c r="M77" s="119"/>
      <c r="N77" s="119">
        <f t="shared" si="44"/>
        <v>0</v>
      </c>
      <c r="O77" s="124">
        <f>VLOOKUP(A77,'31.07.25'!A:F,6,FALSE)</f>
        <v>8</v>
      </c>
      <c r="P77" s="119">
        <f t="shared" si="45"/>
        <v>8</v>
      </c>
      <c r="Q77" s="119">
        <f>VLOOKUP(A77,'31.08.25'!A:F,6,FALSE)</f>
        <v>10</v>
      </c>
      <c r="R77" s="119">
        <f t="shared" si="46"/>
        <v>2</v>
      </c>
      <c r="S77" s="119">
        <f>VLOOKUP(A77,'30.09.25'!A:F,6,FALSE)</f>
        <v>10</v>
      </c>
      <c r="T77" s="119">
        <f t="shared" si="47"/>
        <v>0</v>
      </c>
      <c r="U77" s="119">
        <f>VLOOKUP(A77,'31.10.25'!A:F,6,FALSE)</f>
        <v>10</v>
      </c>
      <c r="V77" s="119">
        <f t="shared" si="48"/>
        <v>0</v>
      </c>
      <c r="W77" s="119">
        <f>VLOOKUP(A77,'30.11.25'!A:F,6,FALSE)</f>
        <v>10</v>
      </c>
      <c r="X77" s="119">
        <f t="shared" si="49"/>
        <v>0</v>
      </c>
      <c r="Y77" s="125">
        <f>VLOOKUP(A77,'31.12.25'!A:B,2,FALSE)</f>
        <v>12</v>
      </c>
      <c r="Z77" s="119">
        <f t="shared" si="37"/>
        <v>2</v>
      </c>
      <c r="AA77" s="119">
        <f t="shared" si="50"/>
        <v>12</v>
      </c>
    </row>
    <row r="78" spans="1:27" x14ac:dyDescent="0.25">
      <c r="A78" s="124" t="s">
        <v>55</v>
      </c>
      <c r="B78" s="124">
        <f>VLOOKUP(A78,'31.12.24'!A:F,6,FALSE)</f>
        <v>10</v>
      </c>
      <c r="C78" s="124">
        <f>VLOOKUP(A78,'31.01.25'!A:F,6,FALSE)</f>
        <v>10</v>
      </c>
      <c r="D78" s="119">
        <f t="shared" si="39"/>
        <v>0</v>
      </c>
      <c r="E78" s="124">
        <f>VLOOKUP(A78,'28.02.25'!A:F,6,FALSE)</f>
        <v>10</v>
      </c>
      <c r="F78" s="119">
        <f t="shared" si="40"/>
        <v>0</v>
      </c>
      <c r="G78" s="124">
        <f>VLOOKUP(A78,'31.03.25'!A:F,6,FALSE)</f>
        <v>29</v>
      </c>
      <c r="H78" s="119">
        <f t="shared" si="41"/>
        <v>19</v>
      </c>
      <c r="I78" s="124">
        <f>VLOOKUP(A78,'30.04.25'!A:F,6,FALSE)</f>
        <v>45</v>
      </c>
      <c r="J78" s="119">
        <f t="shared" si="42"/>
        <v>16</v>
      </c>
      <c r="K78" s="124">
        <f>VLOOKUP(A78,'31.05.25'!A:F,6,FALSE)</f>
        <v>55</v>
      </c>
      <c r="L78" s="119">
        <f t="shared" si="43"/>
        <v>10</v>
      </c>
      <c r="M78" s="119">
        <f>VLOOKUP(A78,'30.06.25'!A:F,6,FALSE)</f>
        <v>65</v>
      </c>
      <c r="N78" s="119">
        <f t="shared" si="44"/>
        <v>10</v>
      </c>
      <c r="O78" s="124">
        <f>VLOOKUP(A78,'31.07.25'!A:F,6,FALSE)</f>
        <v>78</v>
      </c>
      <c r="P78" s="119">
        <f t="shared" si="45"/>
        <v>13</v>
      </c>
      <c r="Q78" s="119">
        <f>VLOOKUP(A78,'31.08.25'!A:F,6,FALSE)</f>
        <v>84</v>
      </c>
      <c r="R78" s="119">
        <f t="shared" si="46"/>
        <v>6</v>
      </c>
      <c r="S78" s="119">
        <f>VLOOKUP(A78,'30.09.25'!A:F,6,FALSE)</f>
        <v>110</v>
      </c>
      <c r="T78" s="119">
        <f t="shared" si="47"/>
        <v>26</v>
      </c>
      <c r="U78" s="119">
        <f>VLOOKUP(A78,'31.10.25'!A:F,6,FALSE)</f>
        <v>124</v>
      </c>
      <c r="V78" s="119">
        <f t="shared" si="48"/>
        <v>14</v>
      </c>
      <c r="W78" s="119">
        <f>VLOOKUP(A78,'30.11.25'!A:F,6,FALSE)</f>
        <v>124</v>
      </c>
      <c r="X78" s="119">
        <f t="shared" si="49"/>
        <v>0</v>
      </c>
      <c r="Y78" s="125">
        <f>VLOOKUP(A78,'31.12.25'!A:B,2,FALSE)</f>
        <v>126</v>
      </c>
      <c r="Z78" s="119">
        <f t="shared" si="37"/>
        <v>2</v>
      </c>
      <c r="AA78" s="119">
        <f t="shared" si="50"/>
        <v>116</v>
      </c>
    </row>
    <row r="79" spans="1:27" x14ac:dyDescent="0.25">
      <c r="A79" s="124" t="s">
        <v>122</v>
      </c>
      <c r="B79" s="124"/>
      <c r="C79" s="124"/>
      <c r="D79" s="119">
        <f t="shared" si="39"/>
        <v>0</v>
      </c>
      <c r="E79" s="124"/>
      <c r="F79" s="119">
        <f t="shared" si="40"/>
        <v>0</v>
      </c>
      <c r="G79" s="124"/>
      <c r="H79" s="119">
        <f t="shared" si="41"/>
        <v>0</v>
      </c>
      <c r="I79" s="124"/>
      <c r="J79" s="119">
        <f t="shared" si="42"/>
        <v>0</v>
      </c>
      <c r="K79" s="124"/>
      <c r="L79" s="119">
        <f t="shared" si="43"/>
        <v>0</v>
      </c>
      <c r="M79" s="119"/>
      <c r="N79" s="119">
        <f t="shared" si="44"/>
        <v>0</v>
      </c>
      <c r="O79" s="124"/>
      <c r="P79" s="119">
        <f t="shared" si="45"/>
        <v>0</v>
      </c>
      <c r="Q79" s="119"/>
      <c r="R79" s="119">
        <f t="shared" si="46"/>
        <v>0</v>
      </c>
      <c r="S79" s="119">
        <f>VLOOKUP(A79,'30.09.25'!A:F,6,FALSE)</f>
        <v>4</v>
      </c>
      <c r="T79" s="119">
        <f t="shared" si="47"/>
        <v>4</v>
      </c>
      <c r="U79" s="119">
        <f>VLOOKUP(A79,'31.10.25'!A:F,6,FALSE)</f>
        <v>34</v>
      </c>
      <c r="V79" s="119">
        <f t="shared" si="48"/>
        <v>30</v>
      </c>
      <c r="W79" s="119">
        <f>VLOOKUP(A79,'30.11.25'!A:F,6,FALSE)</f>
        <v>36</v>
      </c>
      <c r="X79" s="119">
        <f t="shared" si="49"/>
        <v>2</v>
      </c>
      <c r="Y79" s="125">
        <f>VLOOKUP(A79,'31.12.25'!A:B,2,FALSE)</f>
        <v>36</v>
      </c>
      <c r="Z79" s="119">
        <f t="shared" si="37"/>
        <v>0</v>
      </c>
      <c r="AA79" s="119">
        <f t="shared" si="50"/>
        <v>36</v>
      </c>
    </row>
    <row r="80" spans="1:27" x14ac:dyDescent="0.25">
      <c r="A80" s="124" t="s">
        <v>123</v>
      </c>
      <c r="B80" s="124"/>
      <c r="C80" s="124"/>
      <c r="D80" s="119">
        <f t="shared" si="39"/>
        <v>0</v>
      </c>
      <c r="E80" s="124"/>
      <c r="F80" s="119">
        <f t="shared" si="40"/>
        <v>0</v>
      </c>
      <c r="G80" s="124"/>
      <c r="H80" s="119">
        <f t="shared" si="41"/>
        <v>0</v>
      </c>
      <c r="I80" s="124"/>
      <c r="J80" s="119">
        <f t="shared" si="42"/>
        <v>0</v>
      </c>
      <c r="K80" s="124"/>
      <c r="L80" s="119">
        <f t="shared" si="43"/>
        <v>0</v>
      </c>
      <c r="M80" s="119"/>
      <c r="N80" s="119">
        <f t="shared" si="44"/>
        <v>0</v>
      </c>
      <c r="O80" s="124"/>
      <c r="P80" s="119">
        <f t="shared" si="45"/>
        <v>0</v>
      </c>
      <c r="Q80" s="119"/>
      <c r="R80" s="119">
        <f t="shared" si="46"/>
        <v>0</v>
      </c>
      <c r="S80" s="119">
        <f>VLOOKUP(A80,'30.09.25'!A:F,6,FALSE)</f>
        <v>10</v>
      </c>
      <c r="T80" s="119">
        <f t="shared" si="47"/>
        <v>10</v>
      </c>
      <c r="U80" s="119">
        <f>VLOOKUP(A80,'31.10.25'!A:F,6,FALSE)</f>
        <v>21</v>
      </c>
      <c r="V80" s="119">
        <f t="shared" si="48"/>
        <v>11</v>
      </c>
      <c r="W80" s="119">
        <f>VLOOKUP(A80,'30.11.25'!A:F,6,FALSE)</f>
        <v>21</v>
      </c>
      <c r="X80" s="119">
        <f t="shared" si="49"/>
        <v>0</v>
      </c>
      <c r="Y80" s="125">
        <f>VLOOKUP(A80,'31.12.25'!A:B,2,FALSE)</f>
        <v>23</v>
      </c>
      <c r="Z80" s="119">
        <f t="shared" si="37"/>
        <v>2</v>
      </c>
      <c r="AA80" s="119">
        <f t="shared" si="50"/>
        <v>23</v>
      </c>
    </row>
    <row r="81" spans="1:27" x14ac:dyDescent="0.25">
      <c r="A81" s="124" t="s">
        <v>56</v>
      </c>
      <c r="B81" s="124">
        <f>VLOOKUP(A81,'31.12.24'!A:F,6,FALSE)</f>
        <v>99</v>
      </c>
      <c r="C81" s="124">
        <f>VLOOKUP(A81,'31.01.25'!A:F,6,FALSE)</f>
        <v>99</v>
      </c>
      <c r="D81" s="119">
        <f t="shared" si="39"/>
        <v>0</v>
      </c>
      <c r="E81" s="124">
        <f>VLOOKUP(A81,'28.02.25'!A:F,6,FALSE)</f>
        <v>99</v>
      </c>
      <c r="F81" s="119">
        <f t="shared" si="40"/>
        <v>0</v>
      </c>
      <c r="G81" s="124">
        <f>VLOOKUP(A81,'31.03.25'!A:F,6,FALSE)</f>
        <v>99</v>
      </c>
      <c r="H81" s="119">
        <f t="shared" si="41"/>
        <v>0</v>
      </c>
      <c r="I81" s="124">
        <f>VLOOKUP(A81,'30.04.25'!A:F,6,FALSE)</f>
        <v>103</v>
      </c>
      <c r="J81" s="119">
        <f t="shared" si="42"/>
        <v>4</v>
      </c>
      <c r="K81" s="124">
        <f>VLOOKUP(A81,'31.05.25'!A:F,6,FALSE)</f>
        <v>118</v>
      </c>
      <c r="L81" s="119">
        <f t="shared" si="43"/>
        <v>15</v>
      </c>
      <c r="M81" s="119">
        <f>VLOOKUP(A81,'30.06.25'!A:F,6,FALSE)</f>
        <v>118</v>
      </c>
      <c r="N81" s="119">
        <f t="shared" si="44"/>
        <v>0</v>
      </c>
      <c r="O81" s="124">
        <f>VLOOKUP(A81,'31.07.25'!A:F,6,FALSE)</f>
        <v>124</v>
      </c>
      <c r="P81" s="119">
        <f t="shared" si="45"/>
        <v>6</v>
      </c>
      <c r="Q81" s="119">
        <f>VLOOKUP(A81,'31.08.25'!A:F,6,FALSE)</f>
        <v>128</v>
      </c>
      <c r="R81" s="119">
        <f t="shared" si="46"/>
        <v>4</v>
      </c>
      <c r="S81" s="119">
        <f>VLOOKUP(A81,'30.09.25'!A:F,6,FALSE)</f>
        <v>131</v>
      </c>
      <c r="T81" s="119">
        <f t="shared" si="47"/>
        <v>3</v>
      </c>
      <c r="U81" s="119">
        <f>VLOOKUP(A81,'31.10.25'!A:F,6,FALSE)</f>
        <v>136</v>
      </c>
      <c r="V81" s="119">
        <f t="shared" si="48"/>
        <v>5</v>
      </c>
      <c r="W81" s="119">
        <f>VLOOKUP(A81,'30.11.25'!A:F,6,FALSE)</f>
        <v>157</v>
      </c>
      <c r="X81" s="119">
        <f t="shared" si="49"/>
        <v>21</v>
      </c>
      <c r="Y81" s="125">
        <f>VLOOKUP(A81,'31.12.25'!A:B,2,FALSE)</f>
        <v>158</v>
      </c>
      <c r="Z81" s="119">
        <f t="shared" si="37"/>
        <v>1</v>
      </c>
      <c r="AA81" s="119">
        <f t="shared" si="50"/>
        <v>59</v>
      </c>
    </row>
    <row r="82" spans="1:27" x14ac:dyDescent="0.25">
      <c r="A82" s="124" t="s">
        <v>57</v>
      </c>
      <c r="B82" s="124">
        <f>VLOOKUP(A82,'31.12.24'!A:F,6,FALSE)</f>
        <v>54</v>
      </c>
      <c r="C82" s="124">
        <f>VLOOKUP(A82,'31.01.25'!A:F,6,FALSE)</f>
        <v>54</v>
      </c>
      <c r="D82" s="119">
        <f t="shared" si="39"/>
        <v>0</v>
      </c>
      <c r="E82" s="124">
        <f>VLOOKUP(A82,'28.02.25'!A:F,6,FALSE)</f>
        <v>59</v>
      </c>
      <c r="F82" s="119">
        <f t="shared" si="40"/>
        <v>5</v>
      </c>
      <c r="G82" s="124">
        <f>VLOOKUP(A82,'31.03.25'!A:F,6,FALSE)</f>
        <v>59</v>
      </c>
      <c r="H82" s="119">
        <f t="shared" si="41"/>
        <v>0</v>
      </c>
      <c r="I82" s="124">
        <f>VLOOKUP(A82,'30.04.25'!A:F,6,FALSE)</f>
        <v>69</v>
      </c>
      <c r="J82" s="119">
        <f t="shared" si="42"/>
        <v>10</v>
      </c>
      <c r="K82" s="124">
        <f>VLOOKUP(A82,'31.05.25'!A:F,6,FALSE)</f>
        <v>83</v>
      </c>
      <c r="L82" s="119">
        <f t="shared" si="43"/>
        <v>14</v>
      </c>
      <c r="M82" s="119">
        <f>VLOOKUP(A82,'30.06.25'!A:F,6,FALSE)</f>
        <v>100</v>
      </c>
      <c r="N82" s="119">
        <f t="shared" si="44"/>
        <v>17</v>
      </c>
      <c r="O82" s="124">
        <f>VLOOKUP(A82,'31.07.25'!A:F,6,FALSE)</f>
        <v>104</v>
      </c>
      <c r="P82" s="119">
        <f t="shared" si="45"/>
        <v>4</v>
      </c>
      <c r="Q82" s="119">
        <f>VLOOKUP(A82,'31.08.25'!A:F,6,FALSE)</f>
        <v>106</v>
      </c>
      <c r="R82" s="119">
        <f t="shared" si="46"/>
        <v>2</v>
      </c>
      <c r="S82" s="119">
        <f>VLOOKUP(A82,'30.09.25'!A:F,6,FALSE)</f>
        <v>110</v>
      </c>
      <c r="T82" s="119">
        <f t="shared" si="47"/>
        <v>4</v>
      </c>
      <c r="U82" s="119">
        <f>VLOOKUP(A82,'31.10.25'!A:F,6,FALSE)</f>
        <v>144</v>
      </c>
      <c r="V82" s="119">
        <f t="shared" si="48"/>
        <v>34</v>
      </c>
      <c r="W82" s="119">
        <f>VLOOKUP(A82,'30.11.25'!A:F,6,FALSE)</f>
        <v>144</v>
      </c>
      <c r="X82" s="119">
        <f t="shared" si="49"/>
        <v>0</v>
      </c>
      <c r="Y82" s="125">
        <f>VLOOKUP(A82,'31.12.25'!A:B,2,FALSE)</f>
        <v>144</v>
      </c>
      <c r="Z82" s="119">
        <f t="shared" si="37"/>
        <v>0</v>
      </c>
      <c r="AA82" s="119">
        <f t="shared" si="50"/>
        <v>90</v>
      </c>
    </row>
    <row r="83" spans="1:27" x14ac:dyDescent="0.25">
      <c r="A83" s="124" t="s">
        <v>58</v>
      </c>
      <c r="B83" s="124">
        <f>VLOOKUP(A83,'31.12.24'!A:F,6,FALSE)</f>
        <v>8</v>
      </c>
      <c r="C83" s="124">
        <f>VLOOKUP(A83,'31.01.25'!A:F,6,FALSE)</f>
        <v>8</v>
      </c>
      <c r="D83" s="119">
        <f t="shared" si="39"/>
        <v>0</v>
      </c>
      <c r="E83" s="124">
        <f>VLOOKUP(A83,'28.02.25'!A:F,6,FALSE)</f>
        <v>8</v>
      </c>
      <c r="F83" s="119">
        <f t="shared" si="40"/>
        <v>0</v>
      </c>
      <c r="G83" s="124">
        <f>VLOOKUP(A83,'31.03.25'!A:F,6,FALSE)</f>
        <v>8</v>
      </c>
      <c r="H83" s="119">
        <f t="shared" si="41"/>
        <v>0</v>
      </c>
      <c r="I83" s="124">
        <f>VLOOKUP(A83,'30.04.25'!A:F,6,FALSE)</f>
        <v>8</v>
      </c>
      <c r="J83" s="119">
        <f t="shared" si="42"/>
        <v>0</v>
      </c>
      <c r="K83" s="124">
        <f>VLOOKUP(A83,'31.05.25'!A:F,6,FALSE)</f>
        <v>8</v>
      </c>
      <c r="L83" s="119">
        <f t="shared" si="43"/>
        <v>0</v>
      </c>
      <c r="M83" s="119">
        <f>VLOOKUP(A83,'30.06.25'!A:F,6,FALSE)</f>
        <v>8</v>
      </c>
      <c r="N83" s="119">
        <f t="shared" si="44"/>
        <v>0</v>
      </c>
      <c r="O83" s="124">
        <f>VLOOKUP(A83,'31.07.25'!A:F,6,FALSE)</f>
        <v>8</v>
      </c>
      <c r="P83" s="119">
        <f t="shared" si="45"/>
        <v>0</v>
      </c>
      <c r="Q83" s="119">
        <f>VLOOKUP(A83,'31.08.25'!A:F,6,FALSE)</f>
        <v>8</v>
      </c>
      <c r="R83" s="119">
        <f t="shared" si="46"/>
        <v>0</v>
      </c>
      <c r="S83" s="119">
        <f>VLOOKUP(A83,'30.09.25'!A:F,6,FALSE)</f>
        <v>8</v>
      </c>
      <c r="T83" s="119">
        <f t="shared" si="47"/>
        <v>0</v>
      </c>
      <c r="U83" s="119">
        <f>VLOOKUP(A83,'31.10.25'!A:F,6,FALSE)</f>
        <v>8</v>
      </c>
      <c r="V83" s="119">
        <f t="shared" si="48"/>
        <v>0</v>
      </c>
      <c r="W83" s="119">
        <f>VLOOKUP(A83,'30.11.25'!A:F,6,FALSE)</f>
        <v>8</v>
      </c>
      <c r="X83" s="119">
        <f t="shared" si="49"/>
        <v>0</v>
      </c>
      <c r="Y83" s="125">
        <f>VLOOKUP(A83,'31.12.25'!A:B,2,FALSE)</f>
        <v>8</v>
      </c>
      <c r="Z83" s="119">
        <f t="shared" si="37"/>
        <v>0</v>
      </c>
      <c r="AA83" s="119">
        <f t="shared" si="50"/>
        <v>0</v>
      </c>
    </row>
    <row r="84" spans="1:27" x14ac:dyDescent="0.25">
      <c r="A84" s="124" t="s">
        <v>59</v>
      </c>
      <c r="B84" s="124">
        <f>VLOOKUP(A84,'31.12.24'!A:F,6,FALSE)</f>
        <v>47</v>
      </c>
      <c r="C84" s="124">
        <f>VLOOKUP(A84,'31.01.25'!A:F,6,FALSE)</f>
        <v>47</v>
      </c>
      <c r="D84" s="119">
        <f t="shared" si="39"/>
        <v>0</v>
      </c>
      <c r="E84" s="124">
        <f>VLOOKUP(A84,'28.02.25'!A:F,6,FALSE)</f>
        <v>47</v>
      </c>
      <c r="F84" s="119">
        <f t="shared" si="40"/>
        <v>0</v>
      </c>
      <c r="G84" s="124">
        <f>VLOOKUP(A84,'31.03.25'!A:F,6,FALSE)</f>
        <v>47</v>
      </c>
      <c r="H84" s="119">
        <f t="shared" si="41"/>
        <v>0</v>
      </c>
      <c r="I84" s="124">
        <f>VLOOKUP(A84,'30.04.25'!A:F,6,FALSE)</f>
        <v>52</v>
      </c>
      <c r="J84" s="119">
        <f t="shared" si="42"/>
        <v>5</v>
      </c>
      <c r="K84" s="124">
        <f>VLOOKUP(A84,'31.05.25'!A:F,6,FALSE)</f>
        <v>52</v>
      </c>
      <c r="L84" s="119">
        <f t="shared" si="43"/>
        <v>0</v>
      </c>
      <c r="M84" s="119">
        <f>VLOOKUP(A84,'30.06.25'!A:F,6,FALSE)</f>
        <v>52</v>
      </c>
      <c r="N84" s="119">
        <f t="shared" si="44"/>
        <v>0</v>
      </c>
      <c r="O84" s="124">
        <f>VLOOKUP(A84,'31.07.25'!A:F,6,FALSE)</f>
        <v>52</v>
      </c>
      <c r="P84" s="119">
        <f t="shared" si="45"/>
        <v>0</v>
      </c>
      <c r="Q84" s="119">
        <f>VLOOKUP(A84,'31.08.25'!A:F,6,FALSE)</f>
        <v>52</v>
      </c>
      <c r="R84" s="119">
        <f t="shared" si="46"/>
        <v>0</v>
      </c>
      <c r="S84" s="119">
        <f>VLOOKUP(A84,'30.09.25'!A:F,6,FALSE)</f>
        <v>52</v>
      </c>
      <c r="T84" s="119">
        <f t="shared" si="47"/>
        <v>0</v>
      </c>
      <c r="U84" s="119">
        <f>VLOOKUP(A84,'31.10.25'!A:F,6,FALSE)</f>
        <v>56</v>
      </c>
      <c r="V84" s="119">
        <f t="shared" si="48"/>
        <v>4</v>
      </c>
      <c r="W84" s="119">
        <f>VLOOKUP(A84,'30.11.25'!A:F,6,FALSE)</f>
        <v>59</v>
      </c>
      <c r="X84" s="119">
        <f t="shared" si="49"/>
        <v>3</v>
      </c>
      <c r="Y84" s="125">
        <f>VLOOKUP(A84,'31.12.25'!A:B,2,FALSE)</f>
        <v>60</v>
      </c>
      <c r="Z84" s="119">
        <f t="shared" si="37"/>
        <v>1</v>
      </c>
      <c r="AA84" s="119">
        <f t="shared" si="50"/>
        <v>13</v>
      </c>
    </row>
    <row r="85" spans="1:27" x14ac:dyDescent="0.25">
      <c r="A85" s="124" t="s">
        <v>60</v>
      </c>
      <c r="B85" s="124">
        <f>VLOOKUP(A85,'31.12.24'!A:F,6,FALSE)</f>
        <v>6</v>
      </c>
      <c r="C85" s="124">
        <f>VLOOKUP(A85,'31.01.25'!A:F,6,FALSE)</f>
        <v>6</v>
      </c>
      <c r="D85" s="119">
        <f t="shared" si="39"/>
        <v>0</v>
      </c>
      <c r="E85" s="124">
        <f>VLOOKUP(A85,'28.02.25'!A:F,6,FALSE)</f>
        <v>6</v>
      </c>
      <c r="F85" s="119">
        <f t="shared" si="40"/>
        <v>0</v>
      </c>
      <c r="G85" s="124">
        <f>VLOOKUP(A85,'31.03.25'!A:F,6,FALSE)</f>
        <v>6</v>
      </c>
      <c r="H85" s="119">
        <f t="shared" si="41"/>
        <v>0</v>
      </c>
      <c r="I85" s="124">
        <f>VLOOKUP(A85,'30.04.25'!A:F,6,FALSE)</f>
        <v>6</v>
      </c>
      <c r="J85" s="119">
        <f t="shared" si="42"/>
        <v>0</v>
      </c>
      <c r="K85" s="124">
        <f>VLOOKUP(A85,'31.05.25'!A:F,6,FALSE)</f>
        <v>6</v>
      </c>
      <c r="L85" s="119">
        <f t="shared" si="43"/>
        <v>0</v>
      </c>
      <c r="M85" s="119">
        <f>VLOOKUP(A85,'30.06.25'!A:F,6,FALSE)</f>
        <v>6</v>
      </c>
      <c r="N85" s="119">
        <f t="shared" si="44"/>
        <v>0</v>
      </c>
      <c r="O85" s="124">
        <f>VLOOKUP(A85,'31.07.25'!A:F,6,FALSE)</f>
        <v>18</v>
      </c>
      <c r="P85" s="119">
        <f t="shared" si="45"/>
        <v>12</v>
      </c>
      <c r="Q85" s="119">
        <f>VLOOKUP(A85,'31.08.25'!A:F,6,FALSE)</f>
        <v>18</v>
      </c>
      <c r="R85" s="119">
        <f t="shared" si="46"/>
        <v>0</v>
      </c>
      <c r="S85" s="119">
        <f>VLOOKUP(A85,'30.09.25'!A:F,6,FALSE)</f>
        <v>18</v>
      </c>
      <c r="T85" s="119">
        <f t="shared" si="47"/>
        <v>0</v>
      </c>
      <c r="U85" s="119">
        <f>VLOOKUP(A85,'31.10.25'!A:F,6,FALSE)</f>
        <v>18</v>
      </c>
      <c r="V85" s="119">
        <f t="shared" si="48"/>
        <v>0</v>
      </c>
      <c r="W85" s="119">
        <f>VLOOKUP(A85,'30.11.25'!A:F,6,FALSE)</f>
        <v>18</v>
      </c>
      <c r="X85" s="119">
        <f t="shared" si="49"/>
        <v>0</v>
      </c>
      <c r="Y85" s="125">
        <f>VLOOKUP(A85,'31.12.25'!A:B,2,FALSE)</f>
        <v>18</v>
      </c>
      <c r="Z85" s="119">
        <f t="shared" si="37"/>
        <v>0</v>
      </c>
      <c r="AA85" s="119">
        <f t="shared" si="50"/>
        <v>12</v>
      </c>
    </row>
    <row r="86" spans="1:27" x14ac:dyDescent="0.25">
      <c r="A86" s="124" t="s">
        <v>191</v>
      </c>
      <c r="B86" s="124">
        <f>VLOOKUP(A86,'31.12.24'!A:F,6,FALSE)</f>
        <v>102</v>
      </c>
      <c r="C86" s="124">
        <f>VLOOKUP(A86,'31.01.25'!A:F,6,FALSE)</f>
        <v>102</v>
      </c>
      <c r="D86" s="119">
        <f t="shared" si="29"/>
        <v>0</v>
      </c>
      <c r="E86" s="124">
        <f>VLOOKUP(A86,'28.02.25'!A:F,6,FALSE)</f>
        <v>102</v>
      </c>
      <c r="F86" s="119">
        <f t="shared" si="27"/>
        <v>0</v>
      </c>
      <c r="G86" s="124">
        <f>VLOOKUP(A86,'31.03.25'!A:F,6,FALSE)</f>
        <v>102</v>
      </c>
      <c r="H86" s="119">
        <f t="shared" si="30"/>
        <v>0</v>
      </c>
      <c r="I86" s="124">
        <f>VLOOKUP(A86,'30.04.25'!A:F,6,FALSE)</f>
        <v>102</v>
      </c>
      <c r="J86" s="119">
        <f t="shared" si="31"/>
        <v>0</v>
      </c>
      <c r="K86" s="124">
        <f>VLOOKUP(A86,'31.05.25'!A:F,6,FALSE)</f>
        <v>102</v>
      </c>
      <c r="L86" s="119">
        <f t="shared" si="32"/>
        <v>0</v>
      </c>
      <c r="M86" s="119">
        <f>VLOOKUP(A86,'30.06.25'!A:F,6,FALSE)</f>
        <v>102</v>
      </c>
      <c r="N86" s="119">
        <f t="shared" si="33"/>
        <v>0</v>
      </c>
      <c r="O86" s="124">
        <f>VLOOKUP(A86,'31.07.25'!A:F,6,FALSE)</f>
        <v>102</v>
      </c>
      <c r="P86" s="119">
        <f t="shared" si="27"/>
        <v>0</v>
      </c>
      <c r="Q86" s="119">
        <f>VLOOKUP(A86,'31.08.25'!A:F,6,FALSE)</f>
        <v>102</v>
      </c>
      <c r="R86" s="119">
        <f t="shared" si="34"/>
        <v>0</v>
      </c>
      <c r="S86" s="119">
        <f>VLOOKUP(A86,'30.09.25'!A:F,6,FALSE)</f>
        <v>102</v>
      </c>
      <c r="T86" s="119">
        <f t="shared" si="28"/>
        <v>0</v>
      </c>
      <c r="U86" s="119">
        <f>VLOOKUP(A86,'31.10.25'!A:F,6,FALSE)</f>
        <v>102</v>
      </c>
      <c r="V86" s="119">
        <f t="shared" si="35"/>
        <v>0</v>
      </c>
      <c r="W86" s="119">
        <f>VLOOKUP(A86,'30.11.25'!A:F,6,FALSE)</f>
        <v>102</v>
      </c>
      <c r="X86" s="119">
        <f t="shared" si="36"/>
        <v>0</v>
      </c>
      <c r="Y86" s="125">
        <f>VLOOKUP(A86,'31.12.25'!A:B,2,FALSE)</f>
        <v>102</v>
      </c>
      <c r="Z86" s="119">
        <f t="shared" si="36"/>
        <v>0</v>
      </c>
      <c r="AA86" s="119">
        <f t="shared" si="50"/>
        <v>0</v>
      </c>
    </row>
    <row r="87" spans="1:27" x14ac:dyDescent="0.25">
      <c r="A87" s="124" t="s">
        <v>61</v>
      </c>
      <c r="B87" s="124"/>
      <c r="C87" s="124"/>
      <c r="D87" s="119">
        <f>C87-B87</f>
        <v>0</v>
      </c>
      <c r="E87" s="124">
        <f>VLOOKUP(A87,'28.02.25'!A:F,6,FALSE)</f>
        <v>3</v>
      </c>
      <c r="F87" s="119">
        <f>E87-C87</f>
        <v>3</v>
      </c>
      <c r="G87" s="124">
        <f>VLOOKUP(A87,'31.03.25'!A:F,6,FALSE)</f>
        <v>3</v>
      </c>
      <c r="H87" s="119">
        <f>G87-E87</f>
        <v>0</v>
      </c>
      <c r="I87" s="124">
        <f>VLOOKUP(A87,'30.04.25'!A:F,6,FALSE)</f>
        <v>8</v>
      </c>
      <c r="J87" s="119">
        <f>I87-G87</f>
        <v>5</v>
      </c>
      <c r="K87" s="124">
        <f>VLOOKUP(A87,'31.05.25'!A:F,6,FALSE)</f>
        <v>10</v>
      </c>
      <c r="L87" s="119">
        <f>K87-I87</f>
        <v>2</v>
      </c>
      <c r="M87" s="119">
        <f>VLOOKUP(A87,'30.06.25'!A:F,6,FALSE)</f>
        <v>15</v>
      </c>
      <c r="N87" s="119">
        <f>M87-K87</f>
        <v>5</v>
      </c>
      <c r="O87" s="124">
        <f>VLOOKUP(A87,'31.07.25'!A:F,6,FALSE)</f>
        <v>28</v>
      </c>
      <c r="P87" s="119">
        <f>O87-M87</f>
        <v>13</v>
      </c>
      <c r="Q87" s="119">
        <f>VLOOKUP(A87,'31.08.25'!A:F,6,FALSE)</f>
        <v>29</v>
      </c>
      <c r="R87" s="119">
        <f>Q87-O87</f>
        <v>1</v>
      </c>
      <c r="S87" s="119">
        <f>VLOOKUP(A87,'30.09.25'!A:F,6,FALSE)</f>
        <v>41</v>
      </c>
      <c r="T87" s="119">
        <f>S87-Q87</f>
        <v>12</v>
      </c>
      <c r="U87" s="119">
        <f>VLOOKUP(A87,'31.10.25'!A:F,6,FALSE)</f>
        <v>60</v>
      </c>
      <c r="V87" s="119">
        <f>U87-S87</f>
        <v>19</v>
      </c>
      <c r="W87" s="119">
        <f>VLOOKUP(A87,'30.11.25'!A:F,6,FALSE)</f>
        <v>60</v>
      </c>
      <c r="X87" s="119">
        <f>W87-U87</f>
        <v>0</v>
      </c>
      <c r="Y87" s="125">
        <f>VLOOKUP(A87,'31.12.25'!A:B,2,FALSE)</f>
        <v>61</v>
      </c>
      <c r="Z87" s="119">
        <f>Y87-W87</f>
        <v>1</v>
      </c>
      <c r="AA87" s="119">
        <f t="shared" si="50"/>
        <v>61</v>
      </c>
    </row>
    <row r="88" spans="1:27" x14ac:dyDescent="0.25">
      <c r="A88" s="124" t="s">
        <v>62</v>
      </c>
      <c r="B88" s="124"/>
      <c r="C88" s="124"/>
      <c r="D88" s="119">
        <f>C88-B88</f>
        <v>0</v>
      </c>
      <c r="E88" s="124">
        <f>VLOOKUP(A88,'28.02.25'!A:F,6,FALSE)</f>
        <v>2</v>
      </c>
      <c r="F88" s="119">
        <f>E88-C88</f>
        <v>2</v>
      </c>
      <c r="G88" s="124">
        <f>VLOOKUP(A88,'31.03.25'!A:F,6,FALSE)</f>
        <v>2</v>
      </c>
      <c r="H88" s="119">
        <f>G88-E88</f>
        <v>0</v>
      </c>
      <c r="I88" s="124">
        <f>VLOOKUP(A88,'30.04.25'!A:F,6,FALSE)</f>
        <v>2</v>
      </c>
      <c r="J88" s="119">
        <f>I88-G88</f>
        <v>0</v>
      </c>
      <c r="K88" s="124">
        <f>VLOOKUP(A88,'31.05.25'!A:F,6,FALSE)</f>
        <v>9</v>
      </c>
      <c r="L88" s="119">
        <f>K88-I88</f>
        <v>7</v>
      </c>
      <c r="M88" s="119">
        <f>VLOOKUP(A88,'30.06.25'!A:F,6,FALSE)</f>
        <v>16</v>
      </c>
      <c r="N88" s="119">
        <f>M88-K88</f>
        <v>7</v>
      </c>
      <c r="O88" s="124">
        <f>VLOOKUP(A88,'31.07.25'!A:F,6,FALSE)</f>
        <v>37</v>
      </c>
      <c r="P88" s="119">
        <f>O88-M88</f>
        <v>21</v>
      </c>
      <c r="Q88" s="119">
        <f>VLOOKUP(A88,'31.08.25'!A:F,6,FALSE)</f>
        <v>45</v>
      </c>
      <c r="R88" s="119">
        <f>Q88-O88</f>
        <v>8</v>
      </c>
      <c r="S88" s="119">
        <f>VLOOKUP(A88,'30.09.25'!A:F,6,FALSE)</f>
        <v>47</v>
      </c>
      <c r="T88" s="119">
        <f>S88-Q88</f>
        <v>2</v>
      </c>
      <c r="U88" s="119">
        <f>VLOOKUP(A88,'31.10.25'!A:F,6,FALSE)</f>
        <v>77</v>
      </c>
      <c r="V88" s="119">
        <f>U88-S88</f>
        <v>30</v>
      </c>
      <c r="W88" s="119">
        <f>VLOOKUP(A88,'30.11.25'!A:F,6,FALSE)</f>
        <v>77</v>
      </c>
      <c r="X88" s="119">
        <f>W88-U88</f>
        <v>0</v>
      </c>
      <c r="Y88" s="125">
        <f>VLOOKUP(A88,'31.12.25'!A:B,2,FALSE)</f>
        <v>77</v>
      </c>
      <c r="Z88" s="119">
        <f>Y88-W88</f>
        <v>0</v>
      </c>
      <c r="AA88" s="119">
        <f t="shared" si="50"/>
        <v>77</v>
      </c>
    </row>
    <row r="89" spans="1:27" x14ac:dyDescent="0.25">
      <c r="A89" s="124" t="s">
        <v>63</v>
      </c>
      <c r="B89" s="124">
        <f>VLOOKUP(A89,'31.12.24'!A:F,6,FALSE)</f>
        <v>53</v>
      </c>
      <c r="C89" s="124">
        <f>VLOOKUP(A89,'31.01.25'!A:F,6,FALSE)</f>
        <v>53</v>
      </c>
      <c r="D89" s="119">
        <f>C89-B89</f>
        <v>0</v>
      </c>
      <c r="E89" s="124">
        <f>VLOOKUP(A89,'28.02.25'!A:F,6,FALSE)</f>
        <v>53</v>
      </c>
      <c r="F89" s="119">
        <f>E89-C89</f>
        <v>0</v>
      </c>
      <c r="G89" s="124">
        <f>VLOOKUP(A89,'31.03.25'!A:F,6,FALSE)</f>
        <v>53</v>
      </c>
      <c r="H89" s="119">
        <f>G89-E89</f>
        <v>0</v>
      </c>
      <c r="I89" s="124">
        <f>VLOOKUP(A89,'30.04.25'!A:F,6,FALSE)</f>
        <v>53</v>
      </c>
      <c r="J89" s="119">
        <f>I89-G89</f>
        <v>0</v>
      </c>
      <c r="K89" s="124">
        <f>VLOOKUP(A89,'31.05.25'!A:F,6,FALSE)</f>
        <v>53</v>
      </c>
      <c r="L89" s="119">
        <f>K89-I89</f>
        <v>0</v>
      </c>
      <c r="M89" s="119">
        <f>VLOOKUP(A89,'30.06.25'!A:F,6,FALSE)</f>
        <v>53</v>
      </c>
      <c r="N89" s="119">
        <f>M89-K89</f>
        <v>0</v>
      </c>
      <c r="O89" s="124">
        <f>VLOOKUP(A89,'31.07.25'!A:F,6,FALSE)</f>
        <v>53</v>
      </c>
      <c r="P89" s="119">
        <f>O89-M89</f>
        <v>0</v>
      </c>
      <c r="Q89" s="119">
        <f>VLOOKUP(A89,'31.08.25'!A:F,6,FALSE)</f>
        <v>53</v>
      </c>
      <c r="R89" s="119">
        <f>Q89-O89</f>
        <v>0</v>
      </c>
      <c r="S89" s="119">
        <f>VLOOKUP(A89,'30.09.25'!A:F,6,FALSE)</f>
        <v>53</v>
      </c>
      <c r="T89" s="119">
        <f>S89-Q89</f>
        <v>0</v>
      </c>
      <c r="U89" s="119">
        <f>VLOOKUP(A89,'31.10.25'!A:F,6,FALSE)</f>
        <v>53</v>
      </c>
      <c r="V89" s="119">
        <f>U89-S89</f>
        <v>0</v>
      </c>
      <c r="W89" s="119">
        <f>VLOOKUP(A89,'30.11.25'!A:F,6,FALSE)</f>
        <v>53</v>
      </c>
      <c r="X89" s="119">
        <f>W89-U89</f>
        <v>0</v>
      </c>
      <c r="Y89" s="125">
        <f>VLOOKUP(A89,'31.12.25'!A:B,2,FALSE)</f>
        <v>53</v>
      </c>
      <c r="Z89" s="119">
        <f>Y89-W89</f>
        <v>0</v>
      </c>
      <c r="AA89" s="119">
        <f t="shared" si="50"/>
        <v>0</v>
      </c>
    </row>
    <row r="90" spans="1:27" x14ac:dyDescent="0.25">
      <c r="A90" s="124" t="s">
        <v>64</v>
      </c>
      <c r="B90" s="124">
        <f>VLOOKUP(A90,'31.12.24'!A:F,6,FALSE)</f>
        <v>17</v>
      </c>
      <c r="C90" s="124">
        <f>VLOOKUP(A90,'31.01.25'!A:F,6,FALSE)</f>
        <v>17</v>
      </c>
      <c r="D90" s="119">
        <f>C90-B90</f>
        <v>0</v>
      </c>
      <c r="E90" s="124">
        <f>VLOOKUP(A90,'28.02.25'!A:F,6,FALSE)</f>
        <v>21</v>
      </c>
      <c r="F90" s="119">
        <f>E90-C90</f>
        <v>4</v>
      </c>
      <c r="G90" s="124">
        <f>VLOOKUP(A90,'31.03.25'!A:F,6,FALSE)</f>
        <v>22</v>
      </c>
      <c r="H90" s="119">
        <f>G90-E90</f>
        <v>1</v>
      </c>
      <c r="I90" s="124">
        <f>VLOOKUP(A90,'30.04.25'!A:F,6,FALSE)</f>
        <v>27</v>
      </c>
      <c r="J90" s="119">
        <f>I90-G90</f>
        <v>5</v>
      </c>
      <c r="K90" s="124">
        <f>VLOOKUP(A90,'31.05.25'!A:F,6,FALSE)</f>
        <v>33</v>
      </c>
      <c r="L90" s="119">
        <f>K90-I90</f>
        <v>6</v>
      </c>
      <c r="M90" s="119">
        <f>VLOOKUP(A90,'30.06.25'!A:F,6,FALSE)</f>
        <v>51</v>
      </c>
      <c r="N90" s="119">
        <f>M90-K90</f>
        <v>18</v>
      </c>
      <c r="O90" s="124">
        <f>VLOOKUP(A90,'31.07.25'!A:F,6,FALSE)</f>
        <v>53</v>
      </c>
      <c r="P90" s="119">
        <f>O90-M90</f>
        <v>2</v>
      </c>
      <c r="Q90" s="119">
        <f>VLOOKUP(A90,'31.08.25'!A:F,6,FALSE)</f>
        <v>61</v>
      </c>
      <c r="R90" s="119">
        <f>Q90-O90</f>
        <v>8</v>
      </c>
      <c r="S90" s="119">
        <f>VLOOKUP(A90,'30.09.25'!A:F,6,FALSE)</f>
        <v>65</v>
      </c>
      <c r="T90" s="119">
        <f>S90-Q90</f>
        <v>4</v>
      </c>
      <c r="U90" s="119">
        <f>VLOOKUP(A90,'31.10.25'!A:F,6,FALSE)</f>
        <v>65</v>
      </c>
      <c r="V90" s="119">
        <f>U90-S90</f>
        <v>0</v>
      </c>
      <c r="W90" s="119">
        <f>VLOOKUP(A90,'30.11.25'!A:F,6,FALSE)</f>
        <v>65</v>
      </c>
      <c r="X90" s="119">
        <f>W90-U90</f>
        <v>0</v>
      </c>
      <c r="Y90" s="125">
        <f>VLOOKUP(A90,'31.12.25'!A:B,2,FALSE)</f>
        <v>65</v>
      </c>
      <c r="Z90" s="119">
        <f>Y90-W90</f>
        <v>0</v>
      </c>
      <c r="AA90" s="119">
        <f t="shared" si="50"/>
        <v>48</v>
      </c>
    </row>
    <row r="91" spans="1:27" x14ac:dyDescent="0.25">
      <c r="A91" s="124" t="s">
        <v>192</v>
      </c>
      <c r="B91" s="124">
        <f>VLOOKUP(A91,'31.12.24'!A:F,6,FALSE)</f>
        <v>23</v>
      </c>
      <c r="C91" s="124">
        <f>VLOOKUP(A91,'31.01.25'!A:F,6,FALSE)</f>
        <v>23</v>
      </c>
      <c r="D91" s="119">
        <f t="shared" si="29"/>
        <v>0</v>
      </c>
      <c r="E91" s="124">
        <f>VLOOKUP(A91,'28.02.25'!A:F,6,FALSE)</f>
        <v>23</v>
      </c>
      <c r="F91" s="119">
        <f t="shared" si="27"/>
        <v>0</v>
      </c>
      <c r="G91" s="124">
        <f>VLOOKUP(A91,'31.03.25'!A:F,6,FALSE)</f>
        <v>23</v>
      </c>
      <c r="H91" s="119">
        <f t="shared" si="30"/>
        <v>0</v>
      </c>
      <c r="I91" s="124">
        <f>VLOOKUP(A91,'30.04.25'!A:F,6,FALSE)</f>
        <v>23</v>
      </c>
      <c r="J91" s="119">
        <f t="shared" si="31"/>
        <v>0</v>
      </c>
      <c r="K91" s="124">
        <f>VLOOKUP(A91,'31.05.25'!A:F,6,FALSE)</f>
        <v>23</v>
      </c>
      <c r="L91" s="119">
        <f t="shared" si="32"/>
        <v>0</v>
      </c>
      <c r="M91" s="119">
        <f>VLOOKUP(A91,'30.06.25'!A:F,6,FALSE)</f>
        <v>23</v>
      </c>
      <c r="N91" s="119">
        <f t="shared" si="33"/>
        <v>0</v>
      </c>
      <c r="O91" s="124">
        <f>VLOOKUP(A91,'31.07.25'!A:F,6,FALSE)</f>
        <v>23</v>
      </c>
      <c r="P91" s="119">
        <f t="shared" si="27"/>
        <v>0</v>
      </c>
      <c r="Q91" s="119">
        <f>VLOOKUP(A91,'31.08.25'!A:F,6,FALSE)</f>
        <v>23</v>
      </c>
      <c r="R91" s="119">
        <f t="shared" si="34"/>
        <v>0</v>
      </c>
      <c r="S91" s="119">
        <f>VLOOKUP(A91,'30.09.25'!A:F,6,FALSE)</f>
        <v>23</v>
      </c>
      <c r="T91" s="119">
        <f t="shared" si="28"/>
        <v>0</v>
      </c>
      <c r="U91" s="119">
        <f>VLOOKUP(A91,'31.10.25'!A:F,6,FALSE)</f>
        <v>23</v>
      </c>
      <c r="V91" s="119">
        <f t="shared" si="35"/>
        <v>0</v>
      </c>
      <c r="W91" s="119">
        <f>VLOOKUP(A91,'30.11.25'!A:F,6,FALSE)</f>
        <v>23</v>
      </c>
      <c r="X91" s="119">
        <f t="shared" si="36"/>
        <v>0</v>
      </c>
      <c r="Y91" s="125">
        <f>VLOOKUP(A91,'31.12.25'!A:B,2,FALSE)</f>
        <v>23</v>
      </c>
      <c r="Z91" s="119">
        <f t="shared" si="36"/>
        <v>0</v>
      </c>
      <c r="AA91" s="119">
        <f t="shared" si="50"/>
        <v>0</v>
      </c>
    </row>
    <row r="92" spans="1:27" x14ac:dyDescent="0.25">
      <c r="A92" s="124" t="s">
        <v>65</v>
      </c>
      <c r="B92" s="124"/>
      <c r="C92" s="124"/>
      <c r="D92" s="119">
        <f t="shared" ref="D92:D103" si="51">C92-B92</f>
        <v>0</v>
      </c>
      <c r="E92" s="124"/>
      <c r="F92" s="119">
        <f t="shared" ref="F92:F103" si="52">E92-C92</f>
        <v>0</v>
      </c>
      <c r="G92" s="124"/>
      <c r="H92" s="119">
        <f t="shared" ref="H92:H103" si="53">G92-E92</f>
        <v>0</v>
      </c>
      <c r="I92" s="124"/>
      <c r="J92" s="119">
        <f t="shared" ref="J92:J103" si="54">I92-G92</f>
        <v>0</v>
      </c>
      <c r="K92" s="124"/>
      <c r="L92" s="119">
        <f t="shared" ref="L92:L103" si="55">K92-I92</f>
        <v>0</v>
      </c>
      <c r="M92" s="119"/>
      <c r="N92" s="119">
        <f t="shared" ref="N92:N103" si="56">M92-K92</f>
        <v>0</v>
      </c>
      <c r="O92" s="124">
        <f>VLOOKUP(A92,'31.07.25'!A:F,6,FALSE)</f>
        <v>38</v>
      </c>
      <c r="P92" s="119">
        <f t="shared" ref="P92:P103" si="57">O92-M92</f>
        <v>38</v>
      </c>
      <c r="Q92" s="119">
        <f>VLOOKUP(A92,'31.08.25'!A:F,6,FALSE)</f>
        <v>41</v>
      </c>
      <c r="R92" s="119">
        <f t="shared" ref="R92:R103" si="58">Q92-O92</f>
        <v>3</v>
      </c>
      <c r="S92" s="119">
        <f>VLOOKUP(A92,'30.09.25'!A:F,6,FALSE)</f>
        <v>55</v>
      </c>
      <c r="T92" s="119">
        <f t="shared" ref="T92:T103" si="59">S92-Q92</f>
        <v>14</v>
      </c>
      <c r="U92" s="119">
        <f>VLOOKUP(A92,'31.10.25'!A:F,6,FALSE)</f>
        <v>60</v>
      </c>
      <c r="V92" s="119">
        <f t="shared" ref="V92:V103" si="60">U92-S92</f>
        <v>5</v>
      </c>
      <c r="W92" s="119">
        <f>VLOOKUP(A92,'30.11.25'!A:F,6,FALSE)</f>
        <v>60</v>
      </c>
      <c r="X92" s="119">
        <f t="shared" ref="X92:X103" si="61">W92-U92</f>
        <v>0</v>
      </c>
      <c r="Y92" s="125">
        <f>VLOOKUP(A92,'31.12.25'!A:B,2,FALSE)</f>
        <v>72</v>
      </c>
      <c r="Z92" s="119">
        <f t="shared" ref="Z92:Z103" si="62">Y92-W92</f>
        <v>12</v>
      </c>
      <c r="AA92" s="119">
        <f t="shared" si="50"/>
        <v>72</v>
      </c>
    </row>
    <row r="93" spans="1:27" x14ac:dyDescent="0.25">
      <c r="A93" s="124" t="s">
        <v>66</v>
      </c>
      <c r="B93" s="124">
        <f>VLOOKUP(A93,'31.12.24'!A:F,6,FALSE)</f>
        <v>62</v>
      </c>
      <c r="C93" s="124">
        <f>VLOOKUP(A93,'31.01.25'!A:F,6,FALSE)</f>
        <v>62</v>
      </c>
      <c r="D93" s="119">
        <f t="shared" si="51"/>
        <v>0</v>
      </c>
      <c r="E93" s="124">
        <f>VLOOKUP(A93,'28.02.25'!A:F,6,FALSE)</f>
        <v>72</v>
      </c>
      <c r="F93" s="119">
        <f t="shared" si="52"/>
        <v>10</v>
      </c>
      <c r="G93" s="124">
        <f>VLOOKUP(A93,'31.03.25'!A:F,6,FALSE)</f>
        <v>72</v>
      </c>
      <c r="H93" s="119">
        <f t="shared" si="53"/>
        <v>0</v>
      </c>
      <c r="I93" s="124">
        <f>VLOOKUP(A93,'30.04.25'!A:F,6,FALSE)</f>
        <v>82</v>
      </c>
      <c r="J93" s="119">
        <f t="shared" si="54"/>
        <v>10</v>
      </c>
      <c r="K93" s="124">
        <f>VLOOKUP(A93,'31.05.25'!A:F,6,FALSE)</f>
        <v>102</v>
      </c>
      <c r="L93" s="119">
        <f t="shared" si="55"/>
        <v>20</v>
      </c>
      <c r="M93" s="119">
        <f>VLOOKUP(A93,'30.06.25'!A:F,6,FALSE)</f>
        <v>112</v>
      </c>
      <c r="N93" s="119">
        <f t="shared" si="56"/>
        <v>10</v>
      </c>
      <c r="O93" s="124">
        <f>VLOOKUP(A93,'31.07.25'!A:F,6,FALSE)</f>
        <v>124</v>
      </c>
      <c r="P93" s="119">
        <f t="shared" si="57"/>
        <v>12</v>
      </c>
      <c r="Q93" s="119">
        <f>VLOOKUP(A93,'31.08.25'!A:F,6,FALSE)</f>
        <v>141</v>
      </c>
      <c r="R93" s="119">
        <f t="shared" si="58"/>
        <v>17</v>
      </c>
      <c r="S93" s="119">
        <f>VLOOKUP(A93,'30.09.25'!A:F,6,FALSE)</f>
        <v>157</v>
      </c>
      <c r="T93" s="119">
        <f t="shared" si="59"/>
        <v>16</v>
      </c>
      <c r="U93" s="119">
        <f>VLOOKUP(A93,'31.10.25'!A:F,6,FALSE)</f>
        <v>159</v>
      </c>
      <c r="V93" s="119">
        <f t="shared" si="60"/>
        <v>2</v>
      </c>
      <c r="W93" s="119">
        <f>VLOOKUP(A93,'30.11.25'!A:F,6,FALSE)</f>
        <v>159</v>
      </c>
      <c r="X93" s="119">
        <f t="shared" si="61"/>
        <v>0</v>
      </c>
      <c r="Y93" s="125">
        <f>VLOOKUP(A93,'31.12.25'!A:B,2,FALSE)</f>
        <v>169</v>
      </c>
      <c r="Z93" s="119">
        <f t="shared" si="62"/>
        <v>10</v>
      </c>
      <c r="AA93" s="119">
        <f t="shared" si="50"/>
        <v>107</v>
      </c>
    </row>
    <row r="94" spans="1:27" x14ac:dyDescent="0.25">
      <c r="A94" s="124" t="s">
        <v>67</v>
      </c>
      <c r="B94" s="124">
        <f>VLOOKUP(A94,'31.12.24'!A:F,6,FALSE)</f>
        <v>27</v>
      </c>
      <c r="C94" s="124">
        <f>VLOOKUP(A94,'31.01.25'!A:F,6,FALSE)</f>
        <v>27</v>
      </c>
      <c r="D94" s="119">
        <f t="shared" si="51"/>
        <v>0</v>
      </c>
      <c r="E94" s="124">
        <f>VLOOKUP(A94,'28.02.25'!A:F,6,FALSE)</f>
        <v>27</v>
      </c>
      <c r="F94" s="119">
        <f t="shared" si="52"/>
        <v>0</v>
      </c>
      <c r="G94" s="124">
        <f>VLOOKUP(A94,'31.03.25'!A:F,6,FALSE)</f>
        <v>27</v>
      </c>
      <c r="H94" s="119">
        <f t="shared" si="53"/>
        <v>0</v>
      </c>
      <c r="I94" s="124">
        <f>VLOOKUP(A94,'30.04.25'!A:F,6,FALSE)</f>
        <v>27</v>
      </c>
      <c r="J94" s="119">
        <f t="shared" si="54"/>
        <v>0</v>
      </c>
      <c r="K94" s="124">
        <f>VLOOKUP(A94,'31.05.25'!A:F,6,FALSE)</f>
        <v>27</v>
      </c>
      <c r="L94" s="119">
        <f t="shared" si="55"/>
        <v>0</v>
      </c>
      <c r="M94" s="119">
        <f>VLOOKUP(A94,'30.06.25'!A:F,6,FALSE)</f>
        <v>27</v>
      </c>
      <c r="N94" s="119">
        <f t="shared" si="56"/>
        <v>0</v>
      </c>
      <c r="O94" s="124">
        <f>VLOOKUP(A94,'31.07.25'!A:F,6,FALSE)</f>
        <v>27</v>
      </c>
      <c r="P94" s="119">
        <f t="shared" si="57"/>
        <v>0</v>
      </c>
      <c r="Q94" s="119">
        <f>VLOOKUP(A94,'31.08.25'!A:F,6,FALSE)</f>
        <v>27</v>
      </c>
      <c r="R94" s="119">
        <f t="shared" si="58"/>
        <v>0</v>
      </c>
      <c r="S94" s="119">
        <f>VLOOKUP(A94,'30.09.25'!A:F,6,FALSE)</f>
        <v>27</v>
      </c>
      <c r="T94" s="119">
        <f t="shared" si="59"/>
        <v>0</v>
      </c>
      <c r="U94" s="119">
        <f>VLOOKUP(A94,'31.10.25'!A:F,6,FALSE)</f>
        <v>27</v>
      </c>
      <c r="V94" s="119">
        <f t="shared" si="60"/>
        <v>0</v>
      </c>
      <c r="W94" s="119">
        <f>VLOOKUP(A94,'30.11.25'!A:F,6,FALSE)</f>
        <v>27</v>
      </c>
      <c r="X94" s="119">
        <f t="shared" si="61"/>
        <v>0</v>
      </c>
      <c r="Y94" s="125">
        <f>VLOOKUP(A94,'31.12.25'!A:B,2,FALSE)</f>
        <v>27</v>
      </c>
      <c r="Z94" s="119">
        <f t="shared" si="62"/>
        <v>0</v>
      </c>
      <c r="AA94" s="119">
        <f t="shared" si="50"/>
        <v>0</v>
      </c>
    </row>
    <row r="95" spans="1:27" x14ac:dyDescent="0.25">
      <c r="A95" s="124" t="s">
        <v>68</v>
      </c>
      <c r="B95" s="124"/>
      <c r="C95" s="124"/>
      <c r="D95" s="119">
        <f t="shared" si="51"/>
        <v>0</v>
      </c>
      <c r="E95" s="124"/>
      <c r="F95" s="119">
        <f t="shared" si="52"/>
        <v>0</v>
      </c>
      <c r="G95" s="124"/>
      <c r="H95" s="119">
        <f t="shared" si="53"/>
        <v>0</v>
      </c>
      <c r="I95" s="124"/>
      <c r="J95" s="119">
        <f t="shared" si="54"/>
        <v>0</v>
      </c>
      <c r="K95" s="124"/>
      <c r="L95" s="119">
        <f t="shared" si="55"/>
        <v>0</v>
      </c>
      <c r="M95" s="119"/>
      <c r="N95" s="119">
        <f t="shared" si="56"/>
        <v>0</v>
      </c>
      <c r="O95" s="124">
        <f>VLOOKUP(A95,'31.07.25'!A:F,6,FALSE)</f>
        <v>28</v>
      </c>
      <c r="P95" s="119">
        <f t="shared" si="57"/>
        <v>28</v>
      </c>
      <c r="Q95" s="119">
        <f>VLOOKUP(A95,'31.08.25'!A:F,6,FALSE)</f>
        <v>36</v>
      </c>
      <c r="R95" s="119">
        <f t="shared" si="58"/>
        <v>8</v>
      </c>
      <c r="S95" s="119">
        <f>VLOOKUP(A95,'30.09.25'!A:F,6,FALSE)</f>
        <v>59</v>
      </c>
      <c r="T95" s="119">
        <f t="shared" si="59"/>
        <v>23</v>
      </c>
      <c r="U95" s="119">
        <f>VLOOKUP(A95,'31.10.25'!A:F,6,FALSE)</f>
        <v>60</v>
      </c>
      <c r="V95" s="119">
        <f t="shared" si="60"/>
        <v>1</v>
      </c>
      <c r="W95" s="119">
        <f>VLOOKUP(A95,'30.11.25'!A:F,6,FALSE)</f>
        <v>60</v>
      </c>
      <c r="X95" s="119">
        <f t="shared" si="61"/>
        <v>0</v>
      </c>
      <c r="Y95" s="125">
        <f>VLOOKUP(A95,'31.12.25'!A:B,2,FALSE)</f>
        <v>68</v>
      </c>
      <c r="Z95" s="119">
        <f t="shared" si="62"/>
        <v>8</v>
      </c>
      <c r="AA95" s="119">
        <f t="shared" si="50"/>
        <v>68</v>
      </c>
    </row>
    <row r="96" spans="1:27" x14ac:dyDescent="0.25">
      <c r="A96" s="124" t="s">
        <v>69</v>
      </c>
      <c r="B96" s="124">
        <f>VLOOKUP(A96,'31.12.24'!A:F,6,FALSE)</f>
        <v>43</v>
      </c>
      <c r="C96" s="124">
        <f>VLOOKUP(A96,'31.01.25'!A:F,6,FALSE)</f>
        <v>43</v>
      </c>
      <c r="D96" s="119">
        <f t="shared" si="51"/>
        <v>0</v>
      </c>
      <c r="E96" s="124">
        <f>VLOOKUP(A96,'28.02.25'!A:F,6,FALSE)</f>
        <v>58</v>
      </c>
      <c r="F96" s="119">
        <f t="shared" si="52"/>
        <v>15</v>
      </c>
      <c r="G96" s="124">
        <f>VLOOKUP(A96,'31.03.25'!A:F,6,FALSE)</f>
        <v>58</v>
      </c>
      <c r="H96" s="119">
        <f t="shared" si="53"/>
        <v>0</v>
      </c>
      <c r="I96" s="124">
        <f>VLOOKUP(A96,'30.04.25'!A:F,6,FALSE)</f>
        <v>68</v>
      </c>
      <c r="J96" s="119">
        <f t="shared" si="54"/>
        <v>10</v>
      </c>
      <c r="K96" s="124">
        <f>VLOOKUP(A96,'31.05.25'!A:F,6,FALSE)</f>
        <v>80</v>
      </c>
      <c r="L96" s="119">
        <f t="shared" si="55"/>
        <v>12</v>
      </c>
      <c r="M96" s="119">
        <f>VLOOKUP(A96,'30.06.25'!A:F,6,FALSE)</f>
        <v>91</v>
      </c>
      <c r="N96" s="119">
        <f t="shared" si="56"/>
        <v>11</v>
      </c>
      <c r="O96" s="124">
        <f>VLOOKUP(A96,'31.07.25'!A:F,6,FALSE)</f>
        <v>100</v>
      </c>
      <c r="P96" s="119">
        <f t="shared" si="57"/>
        <v>9</v>
      </c>
      <c r="Q96" s="119">
        <f>VLOOKUP(A96,'31.08.25'!A:F,6,FALSE)</f>
        <v>109</v>
      </c>
      <c r="R96" s="119">
        <f t="shared" si="58"/>
        <v>9</v>
      </c>
      <c r="S96" s="119">
        <f>VLOOKUP(A96,'30.09.25'!A:F,6,FALSE)</f>
        <v>117</v>
      </c>
      <c r="T96" s="119">
        <f t="shared" si="59"/>
        <v>8</v>
      </c>
      <c r="U96" s="119">
        <f>VLOOKUP(A96,'31.10.25'!A:F,6,FALSE)</f>
        <v>132</v>
      </c>
      <c r="V96" s="119">
        <f t="shared" si="60"/>
        <v>15</v>
      </c>
      <c r="W96" s="119">
        <f>VLOOKUP(A96,'30.11.25'!A:F,6,FALSE)</f>
        <v>132</v>
      </c>
      <c r="X96" s="119">
        <f t="shared" si="61"/>
        <v>0</v>
      </c>
      <c r="Y96" s="125">
        <f>VLOOKUP(A96,'31.12.25'!A:B,2,FALSE)</f>
        <v>132</v>
      </c>
      <c r="Z96" s="119">
        <f t="shared" si="62"/>
        <v>0</v>
      </c>
      <c r="AA96" s="119">
        <f t="shared" si="50"/>
        <v>89</v>
      </c>
    </row>
    <row r="97" spans="1:27" x14ac:dyDescent="0.25">
      <c r="A97" s="124" t="s">
        <v>70</v>
      </c>
      <c r="B97" s="124">
        <f>VLOOKUP(A97,'31.12.24'!A:F,6,FALSE)</f>
        <v>119</v>
      </c>
      <c r="C97" s="124">
        <f>VLOOKUP(A97,'31.01.25'!A:F,6,FALSE)</f>
        <v>119</v>
      </c>
      <c r="D97" s="119">
        <f t="shared" si="51"/>
        <v>0</v>
      </c>
      <c r="E97" s="124">
        <f>VLOOKUP(A97,'28.02.25'!A:F,6,FALSE)</f>
        <v>119</v>
      </c>
      <c r="F97" s="119">
        <f t="shared" si="52"/>
        <v>0</v>
      </c>
      <c r="G97" s="124">
        <f>VLOOKUP(A97,'31.03.25'!A:F,6,FALSE)</f>
        <v>119</v>
      </c>
      <c r="H97" s="119">
        <f t="shared" si="53"/>
        <v>0</v>
      </c>
      <c r="I97" s="124">
        <f>VLOOKUP(A97,'30.04.25'!A:F,6,FALSE)</f>
        <v>119</v>
      </c>
      <c r="J97" s="119">
        <f t="shared" si="54"/>
        <v>0</v>
      </c>
      <c r="K97" s="124">
        <f>VLOOKUP(A97,'31.05.25'!A:F,6,FALSE)</f>
        <v>119</v>
      </c>
      <c r="L97" s="119">
        <f t="shared" si="55"/>
        <v>0</v>
      </c>
      <c r="M97" s="119">
        <f>VLOOKUP(A97,'30.06.25'!A:F,6,FALSE)</f>
        <v>119</v>
      </c>
      <c r="N97" s="119">
        <f t="shared" si="56"/>
        <v>0</v>
      </c>
      <c r="O97" s="124">
        <f>VLOOKUP(A97,'31.07.25'!A:F,6,FALSE)</f>
        <v>119</v>
      </c>
      <c r="P97" s="119">
        <f t="shared" si="57"/>
        <v>0</v>
      </c>
      <c r="Q97" s="119">
        <f>VLOOKUP(A97,'31.08.25'!A:F,6,FALSE)</f>
        <v>119</v>
      </c>
      <c r="R97" s="119">
        <f t="shared" si="58"/>
        <v>0</v>
      </c>
      <c r="S97" s="119">
        <f>VLOOKUP(A97,'30.09.25'!A:F,6,FALSE)</f>
        <v>119</v>
      </c>
      <c r="T97" s="119">
        <f t="shared" si="59"/>
        <v>0</v>
      </c>
      <c r="U97" s="119">
        <f>VLOOKUP(A97,'31.10.25'!A:F,6,FALSE)</f>
        <v>119</v>
      </c>
      <c r="V97" s="119">
        <f t="shared" si="60"/>
        <v>0</v>
      </c>
      <c r="W97" s="119">
        <f>VLOOKUP(A97,'30.11.25'!A:F,6,FALSE)</f>
        <v>119</v>
      </c>
      <c r="X97" s="119">
        <f t="shared" si="61"/>
        <v>0</v>
      </c>
      <c r="Y97" s="125">
        <f>VLOOKUP(A97,'31.12.25'!A:B,2,FALSE)</f>
        <v>119</v>
      </c>
      <c r="Z97" s="119">
        <f t="shared" si="62"/>
        <v>0</v>
      </c>
      <c r="AA97" s="119">
        <f t="shared" si="50"/>
        <v>0</v>
      </c>
    </row>
    <row r="98" spans="1:27" x14ac:dyDescent="0.25">
      <c r="A98" s="124" t="s">
        <v>71</v>
      </c>
      <c r="B98" s="124"/>
      <c r="C98" s="124"/>
      <c r="D98" s="119">
        <f t="shared" si="51"/>
        <v>0</v>
      </c>
      <c r="E98" s="124">
        <f>VLOOKUP(A98,'28.02.25'!A:F,6,FALSE)</f>
        <v>5</v>
      </c>
      <c r="F98" s="119">
        <f t="shared" si="52"/>
        <v>5</v>
      </c>
      <c r="G98" s="124">
        <f>VLOOKUP(A98,'31.03.25'!A:F,6,FALSE)</f>
        <v>5</v>
      </c>
      <c r="H98" s="119">
        <f t="shared" si="53"/>
        <v>0</v>
      </c>
      <c r="I98" s="124">
        <f>VLOOKUP(A98,'30.04.25'!A:F,6,FALSE)</f>
        <v>5</v>
      </c>
      <c r="J98" s="119">
        <f t="shared" si="54"/>
        <v>0</v>
      </c>
      <c r="K98" s="124">
        <f>VLOOKUP(A98,'31.05.25'!A:F,6,FALSE)</f>
        <v>16</v>
      </c>
      <c r="L98" s="119">
        <f t="shared" si="55"/>
        <v>11</v>
      </c>
      <c r="M98" s="119">
        <f>VLOOKUP(A98,'30.06.25'!A:F,6,FALSE)</f>
        <v>25</v>
      </c>
      <c r="N98" s="119">
        <f t="shared" si="56"/>
        <v>9</v>
      </c>
      <c r="O98" s="124">
        <f>VLOOKUP(A98,'31.07.25'!A:F,6,FALSE)</f>
        <v>42</v>
      </c>
      <c r="P98" s="119">
        <f t="shared" si="57"/>
        <v>17</v>
      </c>
      <c r="Q98" s="119">
        <f>VLOOKUP(A98,'31.08.25'!A:F,6,FALSE)</f>
        <v>45</v>
      </c>
      <c r="R98" s="119">
        <f t="shared" si="58"/>
        <v>3</v>
      </c>
      <c r="S98" s="119">
        <f>VLOOKUP(A98,'30.09.25'!A:F,6,FALSE)</f>
        <v>54</v>
      </c>
      <c r="T98" s="119">
        <f t="shared" si="59"/>
        <v>9</v>
      </c>
      <c r="U98" s="119">
        <f>VLOOKUP(A98,'31.10.25'!A:F,6,FALSE)</f>
        <v>68</v>
      </c>
      <c r="V98" s="119">
        <f t="shared" si="60"/>
        <v>14</v>
      </c>
      <c r="W98" s="119">
        <f>VLOOKUP(A98,'30.11.25'!A:F,6,FALSE)</f>
        <v>68</v>
      </c>
      <c r="X98" s="119">
        <f t="shared" si="61"/>
        <v>0</v>
      </c>
      <c r="Y98" s="125">
        <f>VLOOKUP(A98,'31.12.25'!A:B,2,FALSE)</f>
        <v>68</v>
      </c>
      <c r="Z98" s="119">
        <f t="shared" si="62"/>
        <v>0</v>
      </c>
      <c r="AA98" s="119">
        <f t="shared" si="50"/>
        <v>68</v>
      </c>
    </row>
    <row r="99" spans="1:27" x14ac:dyDescent="0.25">
      <c r="A99" s="124" t="s">
        <v>72</v>
      </c>
      <c r="B99" s="124"/>
      <c r="C99" s="124"/>
      <c r="D99" s="119">
        <f t="shared" si="51"/>
        <v>0</v>
      </c>
      <c r="E99" s="124">
        <f>VLOOKUP(A99,'28.02.25'!A:F,6,FALSE)</f>
        <v>5</v>
      </c>
      <c r="F99" s="119">
        <f t="shared" si="52"/>
        <v>5</v>
      </c>
      <c r="G99" s="124">
        <f>VLOOKUP(A99,'31.03.25'!A:F,6,FALSE)</f>
        <v>5</v>
      </c>
      <c r="H99" s="119">
        <f t="shared" si="53"/>
        <v>0</v>
      </c>
      <c r="I99" s="124">
        <f>VLOOKUP(A99,'30.04.25'!A:F,6,FALSE)</f>
        <v>15</v>
      </c>
      <c r="J99" s="119">
        <f t="shared" si="54"/>
        <v>10</v>
      </c>
      <c r="K99" s="124">
        <f>VLOOKUP(A99,'31.05.25'!A:F,6,FALSE)</f>
        <v>20</v>
      </c>
      <c r="L99" s="119">
        <f t="shared" si="55"/>
        <v>5</v>
      </c>
      <c r="M99" s="119">
        <f>VLOOKUP(A99,'30.06.25'!A:F,6,FALSE)</f>
        <v>23</v>
      </c>
      <c r="N99" s="119">
        <f t="shared" si="56"/>
        <v>3</v>
      </c>
      <c r="O99" s="124">
        <f>VLOOKUP(A99,'31.07.25'!A:F,6,FALSE)</f>
        <v>33</v>
      </c>
      <c r="P99" s="119">
        <f t="shared" si="57"/>
        <v>10</v>
      </c>
      <c r="Q99" s="119">
        <f>VLOOKUP(A99,'31.08.25'!A:F,6,FALSE)</f>
        <v>34</v>
      </c>
      <c r="R99" s="119">
        <f t="shared" si="58"/>
        <v>1</v>
      </c>
      <c r="S99" s="119">
        <f>VLOOKUP(A99,'30.09.25'!A:F,6,FALSE)</f>
        <v>53</v>
      </c>
      <c r="T99" s="119">
        <f t="shared" si="59"/>
        <v>19</v>
      </c>
      <c r="U99" s="119">
        <f>VLOOKUP(A99,'31.10.25'!A:F,6,FALSE)</f>
        <v>106</v>
      </c>
      <c r="V99" s="119">
        <f t="shared" si="60"/>
        <v>53</v>
      </c>
      <c r="W99" s="119">
        <f>VLOOKUP(A99,'30.11.25'!A:F,6,FALSE)</f>
        <v>106</v>
      </c>
      <c r="X99" s="119">
        <f t="shared" si="61"/>
        <v>0</v>
      </c>
      <c r="Y99" s="125">
        <f>VLOOKUP(A99,'31.12.25'!A:B,2,FALSE)</f>
        <v>106</v>
      </c>
      <c r="Z99" s="119">
        <f t="shared" si="62"/>
        <v>0</v>
      </c>
      <c r="AA99" s="119">
        <f t="shared" si="50"/>
        <v>106</v>
      </c>
    </row>
    <row r="100" spans="1:27" x14ac:dyDescent="0.25">
      <c r="A100" s="124" t="s">
        <v>73</v>
      </c>
      <c r="B100" s="124"/>
      <c r="C100" s="124"/>
      <c r="D100" s="119">
        <f t="shared" si="51"/>
        <v>0</v>
      </c>
      <c r="E100" s="124">
        <f>VLOOKUP(A100,'28.02.25'!A:F,6,FALSE)</f>
        <v>5</v>
      </c>
      <c r="F100" s="119">
        <f t="shared" si="52"/>
        <v>5</v>
      </c>
      <c r="G100" s="124">
        <f>VLOOKUP(A100,'31.03.25'!A:F,6,FALSE)</f>
        <v>5</v>
      </c>
      <c r="H100" s="119">
        <f t="shared" si="53"/>
        <v>0</v>
      </c>
      <c r="I100" s="124">
        <f>VLOOKUP(A100,'30.04.25'!A:F,6,FALSE)</f>
        <v>15</v>
      </c>
      <c r="J100" s="119">
        <f t="shared" si="54"/>
        <v>10</v>
      </c>
      <c r="K100" s="124">
        <f>VLOOKUP(A100,'31.05.25'!A:F,6,FALSE)</f>
        <v>20</v>
      </c>
      <c r="L100" s="119">
        <f t="shared" si="55"/>
        <v>5</v>
      </c>
      <c r="M100" s="119">
        <f>VLOOKUP(A100,'30.06.25'!A:F,6,FALSE)</f>
        <v>20</v>
      </c>
      <c r="N100" s="119">
        <f t="shared" si="56"/>
        <v>0</v>
      </c>
      <c r="O100" s="124">
        <f>VLOOKUP(A100,'31.07.25'!A:F,6,FALSE)</f>
        <v>26</v>
      </c>
      <c r="P100" s="119">
        <f t="shared" si="57"/>
        <v>6</v>
      </c>
      <c r="Q100" s="119">
        <f>VLOOKUP(A100,'31.08.25'!A:F,6,FALSE)</f>
        <v>45</v>
      </c>
      <c r="R100" s="119">
        <f t="shared" si="58"/>
        <v>19</v>
      </c>
      <c r="S100" s="119">
        <f>VLOOKUP(A100,'30.09.25'!A:F,6,FALSE)</f>
        <v>45</v>
      </c>
      <c r="T100" s="119">
        <f t="shared" si="59"/>
        <v>0</v>
      </c>
      <c r="U100" s="119">
        <f>VLOOKUP(A100,'31.10.25'!A:F,6,FALSE)</f>
        <v>49</v>
      </c>
      <c r="V100" s="119">
        <f t="shared" si="60"/>
        <v>4</v>
      </c>
      <c r="W100" s="119">
        <f>VLOOKUP(A100,'30.11.25'!A:F,6,FALSE)</f>
        <v>49</v>
      </c>
      <c r="X100" s="119">
        <f t="shared" si="61"/>
        <v>0</v>
      </c>
      <c r="Y100" s="125">
        <f>VLOOKUP(A100,'31.12.25'!A:B,2,FALSE)</f>
        <v>49</v>
      </c>
      <c r="Z100" s="119">
        <f t="shared" si="62"/>
        <v>0</v>
      </c>
      <c r="AA100" s="119">
        <f t="shared" si="50"/>
        <v>49</v>
      </c>
    </row>
    <row r="101" spans="1:27" x14ac:dyDescent="0.25">
      <c r="A101" s="124" t="s">
        <v>74</v>
      </c>
      <c r="B101" s="124"/>
      <c r="C101" s="124"/>
      <c r="D101" s="119">
        <f t="shared" si="51"/>
        <v>0</v>
      </c>
      <c r="E101" s="124">
        <f>VLOOKUP(A101,'28.02.25'!A:F,6,FALSE)</f>
        <v>5</v>
      </c>
      <c r="F101" s="119">
        <f t="shared" si="52"/>
        <v>5</v>
      </c>
      <c r="G101" s="124">
        <f>VLOOKUP(A101,'31.03.25'!A:F,6,FALSE)</f>
        <v>5</v>
      </c>
      <c r="H101" s="119">
        <f t="shared" si="53"/>
        <v>0</v>
      </c>
      <c r="I101" s="124">
        <f>VLOOKUP(A101,'30.04.25'!A:F,6,FALSE)</f>
        <v>10</v>
      </c>
      <c r="J101" s="119">
        <f t="shared" si="54"/>
        <v>5</v>
      </c>
      <c r="K101" s="124">
        <f>VLOOKUP(A101,'31.05.25'!A:F,6,FALSE)</f>
        <v>15</v>
      </c>
      <c r="L101" s="119">
        <f t="shared" si="55"/>
        <v>5</v>
      </c>
      <c r="M101" s="119">
        <f>VLOOKUP(A101,'30.06.25'!A:F,6,FALSE)</f>
        <v>14</v>
      </c>
      <c r="N101" s="119">
        <f t="shared" si="56"/>
        <v>-1</v>
      </c>
      <c r="O101" s="124">
        <f>VLOOKUP(A101,'31.07.25'!A:F,6,FALSE)</f>
        <v>23</v>
      </c>
      <c r="P101" s="119">
        <f t="shared" si="57"/>
        <v>9</v>
      </c>
      <c r="Q101" s="119">
        <f>VLOOKUP(A101,'31.08.25'!A:F,6,FALSE)</f>
        <v>24</v>
      </c>
      <c r="R101" s="119">
        <f t="shared" si="58"/>
        <v>1</v>
      </c>
      <c r="S101" s="119">
        <f>VLOOKUP(A101,'30.09.25'!A:F,6,FALSE)</f>
        <v>43</v>
      </c>
      <c r="T101" s="119">
        <f t="shared" si="59"/>
        <v>19</v>
      </c>
      <c r="U101" s="119">
        <f>VLOOKUP(A101,'31.10.25'!A:F,6,FALSE)</f>
        <v>42</v>
      </c>
      <c r="V101" s="119">
        <f t="shared" si="60"/>
        <v>-1</v>
      </c>
      <c r="W101" s="119">
        <f>VLOOKUP(A101,'30.11.25'!A:F,6,FALSE)</f>
        <v>43</v>
      </c>
      <c r="X101" s="119">
        <f t="shared" si="61"/>
        <v>1</v>
      </c>
      <c r="Y101" s="125">
        <f>VLOOKUP(A101,'31.12.25'!A:B,2,FALSE)</f>
        <v>43</v>
      </c>
      <c r="Z101" s="119">
        <f t="shared" si="62"/>
        <v>0</v>
      </c>
      <c r="AA101" s="119">
        <f t="shared" si="50"/>
        <v>43</v>
      </c>
    </row>
    <row r="102" spans="1:27" x14ac:dyDescent="0.25">
      <c r="A102" s="124" t="s">
        <v>75</v>
      </c>
      <c r="B102" s="124">
        <f>VLOOKUP(A102,'31.12.24'!A:F,6,FALSE)</f>
        <v>46</v>
      </c>
      <c r="C102" s="124">
        <f>VLOOKUP(A102,'31.01.25'!A:F,6,FALSE)</f>
        <v>46</v>
      </c>
      <c r="D102" s="119">
        <f t="shared" si="51"/>
        <v>0</v>
      </c>
      <c r="E102" s="124">
        <f>VLOOKUP(A102,'28.02.25'!A:F,6,FALSE)</f>
        <v>41</v>
      </c>
      <c r="F102" s="119">
        <f t="shared" si="52"/>
        <v>-5</v>
      </c>
      <c r="G102" s="124">
        <f>VLOOKUP(A102,'31.03.25'!A:F,6,FALSE)</f>
        <v>44</v>
      </c>
      <c r="H102" s="119">
        <f t="shared" si="53"/>
        <v>3</v>
      </c>
      <c r="I102" s="124">
        <f>VLOOKUP(A102,'30.04.25'!A:F,6,FALSE)</f>
        <v>45</v>
      </c>
      <c r="J102" s="119">
        <f t="shared" si="54"/>
        <v>1</v>
      </c>
      <c r="K102" s="124">
        <f>VLOOKUP(A102,'31.05.25'!A:F,6,FALSE)</f>
        <v>43</v>
      </c>
      <c r="L102" s="119">
        <f t="shared" si="55"/>
        <v>-2</v>
      </c>
      <c r="M102" s="119">
        <f>VLOOKUP(A102,'30.06.25'!A:F,6,FALSE)</f>
        <v>43</v>
      </c>
      <c r="N102" s="119">
        <f t="shared" si="56"/>
        <v>0</v>
      </c>
      <c r="O102" s="124">
        <f>VLOOKUP(A102,'31.07.25'!A:F,6,FALSE)</f>
        <v>45</v>
      </c>
      <c r="P102" s="119">
        <f t="shared" si="57"/>
        <v>2</v>
      </c>
      <c r="Q102" s="119">
        <f>VLOOKUP(A102,'31.08.25'!A:F,6,FALSE)</f>
        <v>46</v>
      </c>
      <c r="R102" s="119">
        <f t="shared" si="58"/>
        <v>1</v>
      </c>
      <c r="S102" s="119">
        <f>VLOOKUP(A102,'30.09.25'!A:F,6,FALSE)</f>
        <v>46</v>
      </c>
      <c r="T102" s="119">
        <f t="shared" si="59"/>
        <v>0</v>
      </c>
      <c r="U102" s="119">
        <f>VLOOKUP(A102,'31.10.25'!A:F,6,FALSE)</f>
        <v>46</v>
      </c>
      <c r="V102" s="119">
        <f t="shared" si="60"/>
        <v>0</v>
      </c>
      <c r="W102" s="119">
        <f>VLOOKUP(A102,'30.11.25'!A:F,6,FALSE)</f>
        <v>46</v>
      </c>
      <c r="X102" s="119">
        <f t="shared" si="61"/>
        <v>0</v>
      </c>
      <c r="Y102" s="125">
        <f>VLOOKUP(A102,'31.12.25'!A:B,2,FALSE)</f>
        <v>46</v>
      </c>
      <c r="Z102" s="119">
        <f t="shared" si="62"/>
        <v>0</v>
      </c>
      <c r="AA102" s="119">
        <f t="shared" si="50"/>
        <v>0</v>
      </c>
    </row>
    <row r="103" spans="1:27" x14ac:dyDescent="0.25">
      <c r="A103" s="124" t="s">
        <v>76</v>
      </c>
      <c r="B103" s="124"/>
      <c r="C103" s="124"/>
      <c r="D103" s="119">
        <f t="shared" si="51"/>
        <v>0</v>
      </c>
      <c r="E103" s="124"/>
      <c r="F103" s="119">
        <f t="shared" si="52"/>
        <v>0</v>
      </c>
      <c r="G103" s="124"/>
      <c r="H103" s="119">
        <f t="shared" si="53"/>
        <v>0</v>
      </c>
      <c r="I103" s="124"/>
      <c r="J103" s="119">
        <f t="shared" si="54"/>
        <v>0</v>
      </c>
      <c r="K103" s="124"/>
      <c r="L103" s="119">
        <f t="shared" si="55"/>
        <v>0</v>
      </c>
      <c r="M103" s="119"/>
      <c r="N103" s="119">
        <f t="shared" si="56"/>
        <v>0</v>
      </c>
      <c r="O103" s="124"/>
      <c r="P103" s="119">
        <f t="shared" si="57"/>
        <v>0</v>
      </c>
      <c r="Q103" s="119">
        <f>VLOOKUP(A103,'31.08.25'!A:F,6,FALSE)</f>
        <v>2</v>
      </c>
      <c r="R103" s="119">
        <f t="shared" si="58"/>
        <v>2</v>
      </c>
      <c r="S103" s="119">
        <f>VLOOKUP(A103,'30.09.25'!A:F,6,FALSE)</f>
        <v>2</v>
      </c>
      <c r="T103" s="119">
        <f t="shared" si="59"/>
        <v>0</v>
      </c>
      <c r="U103" s="119">
        <f>VLOOKUP(A103,'31.10.25'!A:F,6,FALSE)</f>
        <v>2</v>
      </c>
      <c r="V103" s="119">
        <f t="shared" si="60"/>
        <v>0</v>
      </c>
      <c r="W103" s="119">
        <f>VLOOKUP(A103,'30.11.25'!A:F,6,FALSE)</f>
        <v>2</v>
      </c>
      <c r="X103" s="119">
        <f t="shared" si="61"/>
        <v>0</v>
      </c>
      <c r="Y103" s="125">
        <f>VLOOKUP(A103,'31.12.25'!A:B,2,FALSE)</f>
        <v>2</v>
      </c>
      <c r="Z103" s="119">
        <f t="shared" si="62"/>
        <v>0</v>
      </c>
      <c r="AA103" s="119">
        <f t="shared" si="50"/>
        <v>2</v>
      </c>
    </row>
    <row r="104" spans="1:27" x14ac:dyDescent="0.25">
      <c r="A104" s="124" t="s">
        <v>193</v>
      </c>
      <c r="B104" s="124">
        <f>VLOOKUP(A104,'31.12.24'!A:F,6,FALSE)</f>
        <v>5</v>
      </c>
      <c r="C104" s="124">
        <f>VLOOKUP(A104,'31.01.25'!A:F,6,FALSE)</f>
        <v>5</v>
      </c>
      <c r="D104" s="119">
        <f t="shared" si="29"/>
        <v>0</v>
      </c>
      <c r="E104" s="124">
        <f>VLOOKUP(A104,'28.02.25'!A:F,6,FALSE)</f>
        <v>5</v>
      </c>
      <c r="F104" s="119">
        <f t="shared" si="27"/>
        <v>0</v>
      </c>
      <c r="G104" s="124">
        <f>VLOOKUP(A104,'31.03.25'!A:F,6,FALSE)</f>
        <v>5</v>
      </c>
      <c r="H104" s="119">
        <f t="shared" si="30"/>
        <v>0</v>
      </c>
      <c r="I104" s="124">
        <f>VLOOKUP(A104,'30.04.25'!A:F,6,FALSE)</f>
        <v>5</v>
      </c>
      <c r="J104" s="119">
        <f t="shared" si="31"/>
        <v>0</v>
      </c>
      <c r="K104" s="124">
        <f>VLOOKUP(A104,'31.05.25'!A:F,6,FALSE)</f>
        <v>5</v>
      </c>
      <c r="L104" s="119">
        <f t="shared" si="32"/>
        <v>0</v>
      </c>
      <c r="M104" s="119">
        <f>VLOOKUP(A104,'30.06.25'!A:F,6,FALSE)</f>
        <v>5</v>
      </c>
      <c r="N104" s="119">
        <f t="shared" si="33"/>
        <v>0</v>
      </c>
      <c r="O104" s="124">
        <f>VLOOKUP(A104,'31.07.25'!A:F,6,FALSE)</f>
        <v>5</v>
      </c>
      <c r="P104" s="119">
        <f t="shared" si="27"/>
        <v>0</v>
      </c>
      <c r="Q104" s="119">
        <f>VLOOKUP(A104,'31.08.25'!A:F,6,FALSE)</f>
        <v>5</v>
      </c>
      <c r="R104" s="119">
        <f t="shared" si="34"/>
        <v>0</v>
      </c>
      <c r="S104" s="119">
        <f>VLOOKUP(A104,'30.09.25'!A:F,6,FALSE)</f>
        <v>5</v>
      </c>
      <c r="T104" s="119">
        <f t="shared" si="28"/>
        <v>0</v>
      </c>
      <c r="U104" s="119">
        <f>VLOOKUP(A104,'31.10.25'!A:F,6,FALSE)</f>
        <v>5</v>
      </c>
      <c r="V104" s="119">
        <f t="shared" si="35"/>
        <v>0</v>
      </c>
      <c r="W104" s="119">
        <f>VLOOKUP(A104,'30.11.25'!A:F,6,FALSE)</f>
        <v>5</v>
      </c>
      <c r="X104" s="119">
        <f t="shared" si="36"/>
        <v>0</v>
      </c>
      <c r="Y104" s="125">
        <f>VLOOKUP(A104,'31.12.25'!A:B,2,FALSE)</f>
        <v>5</v>
      </c>
      <c r="Z104" s="119">
        <f t="shared" si="36"/>
        <v>0</v>
      </c>
      <c r="AA104" s="119">
        <f t="shared" si="50"/>
        <v>0</v>
      </c>
    </row>
    <row r="105" spans="1:27" x14ac:dyDescent="0.25">
      <c r="A105" s="124" t="s">
        <v>194</v>
      </c>
      <c r="B105" s="124">
        <f>VLOOKUP(A105,'31.12.24'!A:F,6,FALSE)</f>
        <v>4</v>
      </c>
      <c r="C105" s="124">
        <f>VLOOKUP(A105,'31.01.25'!A:F,6,FALSE)</f>
        <v>4</v>
      </c>
      <c r="D105" s="119">
        <f t="shared" si="29"/>
        <v>0</v>
      </c>
      <c r="E105" s="124">
        <f>VLOOKUP(A105,'28.02.25'!A:F,6,FALSE)</f>
        <v>4</v>
      </c>
      <c r="F105" s="119">
        <f t="shared" si="27"/>
        <v>0</v>
      </c>
      <c r="G105" s="124">
        <f>VLOOKUP(A105,'31.03.25'!A:F,6,FALSE)</f>
        <v>4</v>
      </c>
      <c r="H105" s="119">
        <f t="shared" si="30"/>
        <v>0</v>
      </c>
      <c r="I105" s="124">
        <f>VLOOKUP(A105,'30.04.25'!A:F,6,FALSE)</f>
        <v>4</v>
      </c>
      <c r="J105" s="119">
        <f t="shared" si="31"/>
        <v>0</v>
      </c>
      <c r="K105" s="124">
        <f>VLOOKUP(A105,'31.05.25'!A:F,6,FALSE)</f>
        <v>4</v>
      </c>
      <c r="L105" s="119">
        <f t="shared" si="32"/>
        <v>0</v>
      </c>
      <c r="M105" s="119">
        <f>VLOOKUP(A105,'30.06.25'!A:F,6,FALSE)</f>
        <v>4</v>
      </c>
      <c r="N105" s="119">
        <f t="shared" si="33"/>
        <v>0</v>
      </c>
      <c r="O105" s="124">
        <f>VLOOKUP(A105,'31.07.25'!A:F,6,FALSE)</f>
        <v>4</v>
      </c>
      <c r="P105" s="119">
        <f t="shared" si="27"/>
        <v>0</v>
      </c>
      <c r="Q105" s="119">
        <f>VLOOKUP(A105,'31.08.25'!A:F,6,FALSE)</f>
        <v>4</v>
      </c>
      <c r="R105" s="119">
        <f t="shared" si="34"/>
        <v>0</v>
      </c>
      <c r="S105" s="119">
        <f>VLOOKUP(A105,'30.09.25'!A:F,6,FALSE)</f>
        <v>4</v>
      </c>
      <c r="T105" s="119">
        <f t="shared" si="28"/>
        <v>0</v>
      </c>
      <c r="U105" s="119">
        <f>VLOOKUP(A105,'31.10.25'!A:F,6,FALSE)</f>
        <v>4</v>
      </c>
      <c r="V105" s="119">
        <f t="shared" si="35"/>
        <v>0</v>
      </c>
      <c r="W105" s="119">
        <f>VLOOKUP(A105,'30.11.25'!A:F,6,FALSE)</f>
        <v>4</v>
      </c>
      <c r="X105" s="119">
        <f t="shared" si="36"/>
        <v>0</v>
      </c>
      <c r="Y105" s="125">
        <f>VLOOKUP(A105,'31.12.25'!A:B,2,FALSE)</f>
        <v>4</v>
      </c>
      <c r="Z105" s="119">
        <f t="shared" si="36"/>
        <v>0</v>
      </c>
      <c r="AA105" s="119">
        <f t="shared" si="50"/>
        <v>0</v>
      </c>
    </row>
    <row r="106" spans="1:27" x14ac:dyDescent="0.25">
      <c r="A106" s="124" t="s">
        <v>77</v>
      </c>
      <c r="B106" s="124">
        <f>VLOOKUP(A106,'31.12.24'!A:F,6,FALSE)</f>
        <v>43</v>
      </c>
      <c r="C106" s="124">
        <f>VLOOKUP(A106,'31.01.25'!A:F,6,FALSE)</f>
        <v>43</v>
      </c>
      <c r="D106" s="119">
        <f>C106-B106</f>
        <v>0</v>
      </c>
      <c r="E106" s="124">
        <f>VLOOKUP(A106,'28.02.25'!A:F,6,FALSE)</f>
        <v>43</v>
      </c>
      <c r="F106" s="119">
        <f>E106-C106</f>
        <v>0</v>
      </c>
      <c r="G106" s="124">
        <f>VLOOKUP(A106,'31.03.25'!A:F,6,FALSE)</f>
        <v>43</v>
      </c>
      <c r="H106" s="119">
        <f>G106-E106</f>
        <v>0</v>
      </c>
      <c r="I106" s="124">
        <f>VLOOKUP(A106,'30.04.25'!A:F,6,FALSE)</f>
        <v>43</v>
      </c>
      <c r="J106" s="119">
        <f>I106-G106</f>
        <v>0</v>
      </c>
      <c r="K106" s="124">
        <f>VLOOKUP(A106,'31.05.25'!A:F,6,FALSE)</f>
        <v>43</v>
      </c>
      <c r="L106" s="119">
        <f>K106-I106</f>
        <v>0</v>
      </c>
      <c r="M106" s="119">
        <f>VLOOKUP(A106,'30.06.25'!A:F,6,FALSE)</f>
        <v>43</v>
      </c>
      <c r="N106" s="119">
        <f>M106-K106</f>
        <v>0</v>
      </c>
      <c r="O106" s="124">
        <f>VLOOKUP(A106,'31.07.25'!A:F,6,FALSE)</f>
        <v>43</v>
      </c>
      <c r="P106" s="119">
        <f>O106-M106</f>
        <v>0</v>
      </c>
      <c r="Q106" s="119">
        <f>VLOOKUP(A106,'31.08.25'!A:F,6,FALSE)</f>
        <v>43</v>
      </c>
      <c r="R106" s="119">
        <f>Q106-O106</f>
        <v>0</v>
      </c>
      <c r="S106" s="119">
        <f>VLOOKUP(A106,'30.09.25'!A:F,6,FALSE)</f>
        <v>48</v>
      </c>
      <c r="T106" s="119">
        <f>S106-Q106</f>
        <v>5</v>
      </c>
      <c r="U106" s="119">
        <f>VLOOKUP(A106,'31.10.25'!A:F,6,FALSE)</f>
        <v>48</v>
      </c>
      <c r="V106" s="119">
        <f>U106-S106</f>
        <v>0</v>
      </c>
      <c r="W106" s="119">
        <f>VLOOKUP(A106,'30.11.25'!A:F,6,FALSE)</f>
        <v>48</v>
      </c>
      <c r="X106" s="119">
        <f>W106-U106</f>
        <v>0</v>
      </c>
      <c r="Y106" s="125">
        <f>VLOOKUP(A106,'31.12.25'!A:B,2,FALSE)</f>
        <v>48</v>
      </c>
      <c r="Z106" s="119">
        <f>Y106-W106</f>
        <v>0</v>
      </c>
      <c r="AA106" s="119">
        <f t="shared" si="50"/>
        <v>5</v>
      </c>
    </row>
    <row r="107" spans="1:27" x14ac:dyDescent="0.25">
      <c r="A107" s="124" t="s">
        <v>78</v>
      </c>
      <c r="B107" s="124">
        <f>VLOOKUP(A107,'31.12.24'!A:F,6,FALSE)</f>
        <v>32</v>
      </c>
      <c r="C107" s="124">
        <f>VLOOKUP(A107,'31.01.25'!A:F,6,FALSE)</f>
        <v>32</v>
      </c>
      <c r="D107" s="119">
        <f>C107-B107</f>
        <v>0</v>
      </c>
      <c r="E107" s="124">
        <f>VLOOKUP(A107,'28.02.25'!A:F,6,FALSE)</f>
        <v>32</v>
      </c>
      <c r="F107" s="119">
        <f>E107-C107</f>
        <v>0</v>
      </c>
      <c r="G107" s="124">
        <f>VLOOKUP(A107,'31.03.25'!A:F,6,FALSE)</f>
        <v>32</v>
      </c>
      <c r="H107" s="119">
        <f>G107-E107</f>
        <v>0</v>
      </c>
      <c r="I107" s="124">
        <f>VLOOKUP(A107,'30.04.25'!A:F,6,FALSE)</f>
        <v>32</v>
      </c>
      <c r="J107" s="119">
        <f>I107-G107</f>
        <v>0</v>
      </c>
      <c r="K107" s="124">
        <f>VLOOKUP(A107,'31.05.25'!A:F,6,FALSE)</f>
        <v>32</v>
      </c>
      <c r="L107" s="119">
        <f>K107-I107</f>
        <v>0</v>
      </c>
      <c r="M107" s="119">
        <f>VLOOKUP(A107,'30.06.25'!A:F,6,FALSE)</f>
        <v>32</v>
      </c>
      <c r="N107" s="119">
        <f>M107-K107</f>
        <v>0</v>
      </c>
      <c r="O107" s="124">
        <f>VLOOKUP(A107,'31.07.25'!A:F,6,FALSE)</f>
        <v>32</v>
      </c>
      <c r="P107" s="119">
        <f>O107-M107</f>
        <v>0</v>
      </c>
      <c r="Q107" s="119">
        <f>VLOOKUP(A107,'31.08.25'!A:F,6,FALSE)</f>
        <v>32</v>
      </c>
      <c r="R107" s="119">
        <f>Q107-O107</f>
        <v>0</v>
      </c>
      <c r="S107" s="119">
        <f>VLOOKUP(A107,'30.09.25'!A:F,6,FALSE)</f>
        <v>35</v>
      </c>
      <c r="T107" s="119">
        <f>S107-Q107</f>
        <v>3</v>
      </c>
      <c r="U107" s="119">
        <f>VLOOKUP(A107,'31.10.25'!A:F,6,FALSE)</f>
        <v>35</v>
      </c>
      <c r="V107" s="119">
        <f>U107-S107</f>
        <v>0</v>
      </c>
      <c r="W107" s="119">
        <f>VLOOKUP(A107,'30.11.25'!A:F,6,FALSE)</f>
        <v>35</v>
      </c>
      <c r="X107" s="119">
        <f>W107-U107</f>
        <v>0</v>
      </c>
      <c r="Y107" s="125">
        <f>VLOOKUP(A107,'31.12.25'!A:B,2,FALSE)</f>
        <v>35</v>
      </c>
      <c r="Z107" s="119">
        <f>Y107-W107</f>
        <v>0</v>
      </c>
      <c r="AA107" s="119">
        <f t="shared" si="50"/>
        <v>3</v>
      </c>
    </row>
    <row r="108" spans="1:27" x14ac:dyDescent="0.25">
      <c r="A108" s="124" t="s">
        <v>79</v>
      </c>
      <c r="B108" s="124">
        <f>VLOOKUP(A108,'31.12.24'!A:F,6,FALSE)</f>
        <v>15</v>
      </c>
      <c r="C108" s="124">
        <f>VLOOKUP(A108,'31.01.25'!A:F,6,FALSE)</f>
        <v>15</v>
      </c>
      <c r="D108" s="119">
        <f>C108-B108</f>
        <v>0</v>
      </c>
      <c r="E108" s="124">
        <f>VLOOKUP(A108,'28.02.25'!A:F,6,FALSE)</f>
        <v>15</v>
      </c>
      <c r="F108" s="119">
        <f>E108-C108</f>
        <v>0</v>
      </c>
      <c r="G108" s="124">
        <f>VLOOKUP(A108,'31.03.25'!A:F,6,FALSE)</f>
        <v>15</v>
      </c>
      <c r="H108" s="119">
        <f>G108-E108</f>
        <v>0</v>
      </c>
      <c r="I108" s="124">
        <f>VLOOKUP(A108,'30.04.25'!A:F,6,FALSE)</f>
        <v>15</v>
      </c>
      <c r="J108" s="119">
        <f>I108-G108</f>
        <v>0</v>
      </c>
      <c r="K108" s="124">
        <f>VLOOKUP(A108,'31.05.25'!A:F,6,FALSE)</f>
        <v>15</v>
      </c>
      <c r="L108" s="119">
        <f>K108-I108</f>
        <v>0</v>
      </c>
      <c r="M108" s="119">
        <f>VLOOKUP(A108,'30.06.25'!A:F,6,FALSE)</f>
        <v>15</v>
      </c>
      <c r="N108" s="119">
        <f>M108-K108</f>
        <v>0</v>
      </c>
      <c r="O108" s="124">
        <f>VLOOKUP(A108,'31.07.25'!A:F,6,FALSE)</f>
        <v>15</v>
      </c>
      <c r="P108" s="119">
        <f>O108-M108</f>
        <v>0</v>
      </c>
      <c r="Q108" s="119">
        <f>VLOOKUP(A108,'31.08.25'!A:F,6,FALSE)</f>
        <v>15</v>
      </c>
      <c r="R108" s="119">
        <f>Q108-O108</f>
        <v>0</v>
      </c>
      <c r="S108" s="119">
        <f>VLOOKUP(A108,'30.09.25'!A:F,6,FALSE)</f>
        <v>18</v>
      </c>
      <c r="T108" s="119">
        <f>S108-Q108</f>
        <v>3</v>
      </c>
      <c r="U108" s="119">
        <f>VLOOKUP(A108,'31.10.25'!A:F,6,FALSE)</f>
        <v>18</v>
      </c>
      <c r="V108" s="119">
        <f>U108-S108</f>
        <v>0</v>
      </c>
      <c r="W108" s="119">
        <f>VLOOKUP(A108,'30.11.25'!A:F,6,FALSE)</f>
        <v>18</v>
      </c>
      <c r="X108" s="119">
        <f>W108-U108</f>
        <v>0</v>
      </c>
      <c r="Y108" s="125">
        <f>VLOOKUP(A108,'31.12.25'!A:B,2,FALSE)</f>
        <v>18</v>
      </c>
      <c r="Z108" s="119">
        <f>Y108-W108</f>
        <v>0</v>
      </c>
      <c r="AA108" s="119">
        <f t="shared" si="50"/>
        <v>3</v>
      </c>
    </row>
    <row r="109" spans="1:27" x14ac:dyDescent="0.25">
      <c r="A109" s="124" t="s">
        <v>80</v>
      </c>
      <c r="B109" s="124">
        <f>VLOOKUP(A109,'31.12.24'!A:F,6,FALSE)</f>
        <v>28</v>
      </c>
      <c r="C109" s="124">
        <f>VLOOKUP(A109,'31.01.25'!A:F,6,FALSE)</f>
        <v>28</v>
      </c>
      <c r="D109" s="119">
        <f>C109-B109</f>
        <v>0</v>
      </c>
      <c r="E109" s="124">
        <f>VLOOKUP(A109,'28.02.25'!A:F,6,FALSE)</f>
        <v>28</v>
      </c>
      <c r="F109" s="119">
        <f>E109-C109</f>
        <v>0</v>
      </c>
      <c r="G109" s="124">
        <f>VLOOKUP(A109,'31.03.25'!A:F,6,FALSE)</f>
        <v>28</v>
      </c>
      <c r="H109" s="119">
        <f>G109-E109</f>
        <v>0</v>
      </c>
      <c r="I109" s="124">
        <f>VLOOKUP(A109,'30.04.25'!A:F,6,FALSE)</f>
        <v>28</v>
      </c>
      <c r="J109" s="119">
        <f>I109-G109</f>
        <v>0</v>
      </c>
      <c r="K109" s="124">
        <f>VLOOKUP(A109,'31.05.25'!A:F,6,FALSE)</f>
        <v>28</v>
      </c>
      <c r="L109" s="119">
        <f>K109-I109</f>
        <v>0</v>
      </c>
      <c r="M109" s="119">
        <f>VLOOKUP(A109,'30.06.25'!A:F,6,FALSE)</f>
        <v>28</v>
      </c>
      <c r="N109" s="119">
        <f>M109-K109</f>
        <v>0</v>
      </c>
      <c r="O109" s="124">
        <f>VLOOKUP(A109,'31.07.25'!A:F,6,FALSE)</f>
        <v>28</v>
      </c>
      <c r="P109" s="119">
        <f>O109-M109</f>
        <v>0</v>
      </c>
      <c r="Q109" s="119">
        <f>VLOOKUP(A109,'31.08.25'!A:F,6,FALSE)</f>
        <v>28</v>
      </c>
      <c r="R109" s="119">
        <f>Q109-O109</f>
        <v>0</v>
      </c>
      <c r="S109" s="119">
        <f>VLOOKUP(A109,'30.09.25'!A:F,6,FALSE)</f>
        <v>29</v>
      </c>
      <c r="T109" s="119">
        <f>S109-Q109</f>
        <v>1</v>
      </c>
      <c r="U109" s="119">
        <f>VLOOKUP(A109,'31.10.25'!A:F,6,FALSE)</f>
        <v>35</v>
      </c>
      <c r="V109" s="119">
        <f>U109-S109</f>
        <v>6</v>
      </c>
      <c r="W109" s="119">
        <f>VLOOKUP(A109,'30.11.25'!A:F,6,FALSE)</f>
        <v>36</v>
      </c>
      <c r="X109" s="119">
        <f>W109-U109</f>
        <v>1</v>
      </c>
      <c r="Y109" s="125">
        <f>VLOOKUP(A109,'31.12.25'!A:B,2,FALSE)</f>
        <v>37</v>
      </c>
      <c r="Z109" s="119">
        <f>Y109-W109</f>
        <v>1</v>
      </c>
      <c r="AA109" s="119">
        <f t="shared" si="50"/>
        <v>9</v>
      </c>
    </row>
    <row r="110" spans="1:27" x14ac:dyDescent="0.25">
      <c r="A110" s="124" t="s">
        <v>195</v>
      </c>
      <c r="B110" s="124">
        <f>VLOOKUP(A110,'31.12.24'!A:F,6,FALSE)</f>
        <v>2</v>
      </c>
      <c r="C110" s="124">
        <f>VLOOKUP(A110,'31.01.25'!A:F,6,FALSE)</f>
        <v>2</v>
      </c>
      <c r="D110" s="119">
        <f t="shared" si="29"/>
        <v>0</v>
      </c>
      <c r="E110" s="124">
        <f>VLOOKUP(A110,'28.02.25'!A:F,6,FALSE)</f>
        <v>2</v>
      </c>
      <c r="F110" s="119">
        <f t="shared" si="27"/>
        <v>0</v>
      </c>
      <c r="G110" s="124">
        <f>VLOOKUP(A110,'31.03.25'!A:F,6,FALSE)</f>
        <v>2</v>
      </c>
      <c r="H110" s="119">
        <f t="shared" si="30"/>
        <v>0</v>
      </c>
      <c r="I110" s="124">
        <f>VLOOKUP(A110,'30.04.25'!A:F,6,FALSE)</f>
        <v>2</v>
      </c>
      <c r="J110" s="119">
        <f t="shared" si="31"/>
        <v>0</v>
      </c>
      <c r="K110" s="124">
        <f>VLOOKUP(A110,'31.05.25'!A:F,6,FALSE)</f>
        <v>2</v>
      </c>
      <c r="L110" s="119">
        <f t="shared" si="32"/>
        <v>0</v>
      </c>
      <c r="M110" s="119">
        <f>VLOOKUP(A110,'30.06.25'!A:F,6,FALSE)</f>
        <v>2</v>
      </c>
      <c r="N110" s="119">
        <f t="shared" si="33"/>
        <v>0</v>
      </c>
      <c r="O110" s="124">
        <f>VLOOKUP(A110,'31.07.25'!A:F,6,FALSE)</f>
        <v>2</v>
      </c>
      <c r="P110" s="119">
        <f t="shared" si="27"/>
        <v>0</v>
      </c>
      <c r="Q110" s="119">
        <f>VLOOKUP(A110,'31.08.25'!A:F,6,FALSE)</f>
        <v>2</v>
      </c>
      <c r="R110" s="119">
        <f t="shared" si="34"/>
        <v>0</v>
      </c>
      <c r="S110" s="119">
        <f>VLOOKUP(A110,'30.09.25'!A:F,6,FALSE)</f>
        <v>2</v>
      </c>
      <c r="T110" s="119">
        <f t="shared" si="28"/>
        <v>0</v>
      </c>
      <c r="U110" s="119">
        <f>VLOOKUP(A110,'31.10.25'!A:F,6,FALSE)</f>
        <v>2</v>
      </c>
      <c r="V110" s="119">
        <f t="shared" si="35"/>
        <v>0</v>
      </c>
      <c r="W110" s="119">
        <f>VLOOKUP(A110,'30.11.25'!A:F,6,FALSE)</f>
        <v>2</v>
      </c>
      <c r="X110" s="119">
        <f t="shared" si="36"/>
        <v>0</v>
      </c>
      <c r="Y110" s="125">
        <f>VLOOKUP(A110,'31.12.25'!A:B,2,FALSE)</f>
        <v>2</v>
      </c>
      <c r="Z110" s="119">
        <f t="shared" si="36"/>
        <v>0</v>
      </c>
      <c r="AA110" s="119">
        <f t="shared" si="50"/>
        <v>0</v>
      </c>
    </row>
    <row r="111" spans="1:27" x14ac:dyDescent="0.25">
      <c r="A111" s="124" t="s">
        <v>196</v>
      </c>
      <c r="B111" s="124">
        <f>VLOOKUP(A111,'31.12.24'!A:F,6,FALSE)</f>
        <v>1</v>
      </c>
      <c r="C111" s="124">
        <f>VLOOKUP(A111,'31.01.25'!A:F,6,FALSE)</f>
        <v>1</v>
      </c>
      <c r="D111" s="119">
        <f t="shared" si="29"/>
        <v>0</v>
      </c>
      <c r="E111" s="124">
        <f>VLOOKUP(A111,'28.02.25'!A:F,6,FALSE)</f>
        <v>1</v>
      </c>
      <c r="F111" s="119">
        <f t="shared" si="27"/>
        <v>0</v>
      </c>
      <c r="G111" s="124">
        <f>VLOOKUP(A111,'31.03.25'!A:F,6,FALSE)</f>
        <v>1</v>
      </c>
      <c r="H111" s="119">
        <f t="shared" si="30"/>
        <v>0</v>
      </c>
      <c r="I111" s="124">
        <f>VLOOKUP(A111,'30.04.25'!A:F,6,FALSE)</f>
        <v>1</v>
      </c>
      <c r="J111" s="119">
        <f t="shared" si="31"/>
        <v>0</v>
      </c>
      <c r="K111" s="124">
        <f>VLOOKUP(A111,'31.05.25'!A:F,6,FALSE)</f>
        <v>1</v>
      </c>
      <c r="L111" s="119">
        <f t="shared" si="32"/>
        <v>0</v>
      </c>
      <c r="M111" s="119">
        <f>VLOOKUP(A111,'30.06.25'!A:F,6,FALSE)</f>
        <v>1</v>
      </c>
      <c r="N111" s="119">
        <f t="shared" si="33"/>
        <v>0</v>
      </c>
      <c r="O111" s="124">
        <f>VLOOKUP(A111,'31.07.25'!A:F,6,FALSE)</f>
        <v>1</v>
      </c>
      <c r="P111" s="119">
        <f t="shared" si="27"/>
        <v>0</v>
      </c>
      <c r="Q111" s="119">
        <f>VLOOKUP(A111,'31.08.25'!A:F,6,FALSE)</f>
        <v>1</v>
      </c>
      <c r="R111" s="119">
        <f t="shared" si="34"/>
        <v>0</v>
      </c>
      <c r="S111" s="119">
        <f>VLOOKUP(A111,'30.09.25'!A:F,6,FALSE)</f>
        <v>1</v>
      </c>
      <c r="T111" s="119">
        <f t="shared" si="28"/>
        <v>0</v>
      </c>
      <c r="U111" s="119">
        <f>VLOOKUP(A111,'31.10.25'!A:F,6,FALSE)</f>
        <v>1</v>
      </c>
      <c r="V111" s="119">
        <f t="shared" si="35"/>
        <v>0</v>
      </c>
      <c r="W111" s="119">
        <f>VLOOKUP(A111,'30.11.25'!A:F,6,FALSE)</f>
        <v>1</v>
      </c>
      <c r="X111" s="119">
        <f t="shared" si="36"/>
        <v>0</v>
      </c>
      <c r="Y111" s="125">
        <f>VLOOKUP(A111,'31.12.25'!A:B,2,FALSE)</f>
        <v>1</v>
      </c>
      <c r="Z111" s="119">
        <f t="shared" si="36"/>
        <v>0</v>
      </c>
      <c r="AA111" s="119">
        <f t="shared" si="50"/>
        <v>0</v>
      </c>
    </row>
    <row r="112" spans="1:27" x14ac:dyDescent="0.25">
      <c r="A112" s="124" t="s">
        <v>197</v>
      </c>
      <c r="B112" s="124">
        <f>VLOOKUP(A112,'31.12.24'!A:F,6,FALSE)</f>
        <v>3</v>
      </c>
      <c r="C112" s="124">
        <f>VLOOKUP(A112,'31.01.25'!A:F,6,FALSE)</f>
        <v>3</v>
      </c>
      <c r="D112" s="119">
        <f t="shared" si="29"/>
        <v>0</v>
      </c>
      <c r="E112" s="124">
        <f>VLOOKUP(A112,'28.02.25'!A:F,6,FALSE)</f>
        <v>3</v>
      </c>
      <c r="F112" s="119">
        <f t="shared" si="27"/>
        <v>0</v>
      </c>
      <c r="G112" s="124">
        <f>VLOOKUP(A112,'31.03.25'!A:F,6,FALSE)</f>
        <v>3</v>
      </c>
      <c r="H112" s="119">
        <f t="shared" si="30"/>
        <v>0</v>
      </c>
      <c r="I112" s="124">
        <f>VLOOKUP(A112,'30.04.25'!A:F,6,FALSE)</f>
        <v>3</v>
      </c>
      <c r="J112" s="119">
        <f t="shared" si="31"/>
        <v>0</v>
      </c>
      <c r="K112" s="124">
        <f>VLOOKUP(A112,'31.05.25'!A:F,6,FALSE)</f>
        <v>3</v>
      </c>
      <c r="L112" s="119">
        <f t="shared" si="32"/>
        <v>0</v>
      </c>
      <c r="M112" s="119">
        <f>VLOOKUP(A112,'30.06.25'!A:F,6,FALSE)</f>
        <v>3</v>
      </c>
      <c r="N112" s="119">
        <f t="shared" si="33"/>
        <v>0</v>
      </c>
      <c r="O112" s="124">
        <f>VLOOKUP(A112,'31.07.25'!A:F,6,FALSE)</f>
        <v>3</v>
      </c>
      <c r="P112" s="119">
        <f t="shared" si="27"/>
        <v>0</v>
      </c>
      <c r="Q112" s="119">
        <f>VLOOKUP(A112,'31.08.25'!A:F,6,FALSE)</f>
        <v>3</v>
      </c>
      <c r="R112" s="119">
        <f t="shared" si="34"/>
        <v>0</v>
      </c>
      <c r="S112" s="119">
        <f>VLOOKUP(A112,'30.09.25'!A:F,6,FALSE)</f>
        <v>3</v>
      </c>
      <c r="T112" s="119">
        <f t="shared" si="28"/>
        <v>0</v>
      </c>
      <c r="U112" s="119">
        <f>VLOOKUP(A112,'31.10.25'!A:F,6,FALSE)</f>
        <v>3</v>
      </c>
      <c r="V112" s="119">
        <f t="shared" si="35"/>
        <v>0</v>
      </c>
      <c r="W112" s="119">
        <f>VLOOKUP(A112,'30.11.25'!A:F,6,FALSE)</f>
        <v>3</v>
      </c>
      <c r="X112" s="119">
        <f t="shared" si="36"/>
        <v>0</v>
      </c>
      <c r="Y112" s="125">
        <f>VLOOKUP(A112,'31.12.25'!A:B,2,FALSE)</f>
        <v>3</v>
      </c>
      <c r="Z112" s="119">
        <f t="shared" si="36"/>
        <v>0</v>
      </c>
      <c r="AA112" s="119">
        <f t="shared" si="50"/>
        <v>0</v>
      </c>
    </row>
    <row r="113" spans="1:27" x14ac:dyDescent="0.25">
      <c r="A113" s="124" t="s">
        <v>198</v>
      </c>
      <c r="B113" s="124">
        <f>VLOOKUP(A113,'31.12.24'!A:F,6,FALSE)</f>
        <v>2</v>
      </c>
      <c r="C113" s="124">
        <f>VLOOKUP(A113,'31.01.25'!A:F,6,FALSE)</f>
        <v>2</v>
      </c>
      <c r="D113" s="119">
        <f t="shared" si="29"/>
        <v>0</v>
      </c>
      <c r="E113" s="124">
        <f>VLOOKUP(A113,'28.02.25'!A:F,6,FALSE)</f>
        <v>2</v>
      </c>
      <c r="F113" s="119">
        <f t="shared" si="27"/>
        <v>0</v>
      </c>
      <c r="G113" s="124">
        <f>VLOOKUP(A113,'31.03.25'!A:F,6,FALSE)</f>
        <v>2</v>
      </c>
      <c r="H113" s="119">
        <f t="shared" si="30"/>
        <v>0</v>
      </c>
      <c r="I113" s="124">
        <f>VLOOKUP(A113,'30.04.25'!A:F,6,FALSE)</f>
        <v>2</v>
      </c>
      <c r="J113" s="119">
        <f t="shared" si="31"/>
        <v>0</v>
      </c>
      <c r="K113" s="124">
        <f>VLOOKUP(A113,'31.05.25'!A:F,6,FALSE)</f>
        <v>2</v>
      </c>
      <c r="L113" s="119">
        <f t="shared" si="32"/>
        <v>0</v>
      </c>
      <c r="M113" s="119">
        <f>VLOOKUP(A113,'30.06.25'!A:F,6,FALSE)</f>
        <v>2</v>
      </c>
      <c r="N113" s="119">
        <f t="shared" si="33"/>
        <v>0</v>
      </c>
      <c r="O113" s="124">
        <f>VLOOKUP(A113,'31.07.25'!A:F,6,FALSE)</f>
        <v>2</v>
      </c>
      <c r="P113" s="119">
        <f t="shared" si="27"/>
        <v>0</v>
      </c>
      <c r="Q113" s="119">
        <f>VLOOKUP(A113,'31.08.25'!A:F,6,FALSE)</f>
        <v>2</v>
      </c>
      <c r="R113" s="119">
        <f t="shared" si="34"/>
        <v>0</v>
      </c>
      <c r="S113" s="119">
        <f>VLOOKUP(A113,'30.09.25'!A:F,6,FALSE)</f>
        <v>2</v>
      </c>
      <c r="T113" s="119">
        <f t="shared" si="28"/>
        <v>0</v>
      </c>
      <c r="U113" s="119">
        <f>VLOOKUP(A113,'31.10.25'!A:F,6,FALSE)</f>
        <v>2</v>
      </c>
      <c r="V113" s="119">
        <f t="shared" si="35"/>
        <v>0</v>
      </c>
      <c r="W113" s="119">
        <f>VLOOKUP(A113,'30.11.25'!A:F,6,FALSE)</f>
        <v>2</v>
      </c>
      <c r="X113" s="119">
        <f t="shared" si="36"/>
        <v>0</v>
      </c>
      <c r="Y113" s="125">
        <f>VLOOKUP(A113,'31.12.25'!A:B,2,FALSE)</f>
        <v>2</v>
      </c>
      <c r="Z113" s="119">
        <f t="shared" si="36"/>
        <v>0</v>
      </c>
      <c r="AA113" s="119">
        <f t="shared" si="50"/>
        <v>0</v>
      </c>
    </row>
    <row r="114" spans="1:27" x14ac:dyDescent="0.25">
      <c r="A114" s="124" t="s">
        <v>199</v>
      </c>
      <c r="B114" s="124">
        <f>VLOOKUP(A114,'31.12.24'!A:F,6,FALSE)</f>
        <v>2</v>
      </c>
      <c r="C114" s="124">
        <f>VLOOKUP(A114,'31.01.25'!A:F,6,FALSE)</f>
        <v>2</v>
      </c>
      <c r="D114" s="119">
        <f t="shared" si="29"/>
        <v>0</v>
      </c>
      <c r="E114" s="124">
        <f>VLOOKUP(A114,'28.02.25'!A:F,6,FALSE)</f>
        <v>2</v>
      </c>
      <c r="F114" s="119">
        <f t="shared" si="27"/>
        <v>0</v>
      </c>
      <c r="G114" s="124">
        <f>VLOOKUP(A114,'31.03.25'!A:F,6,FALSE)</f>
        <v>2</v>
      </c>
      <c r="H114" s="119">
        <f t="shared" si="30"/>
        <v>0</v>
      </c>
      <c r="I114" s="124">
        <f>VLOOKUP(A114,'30.04.25'!A:F,6,FALSE)</f>
        <v>2</v>
      </c>
      <c r="J114" s="119">
        <f t="shared" si="31"/>
        <v>0</v>
      </c>
      <c r="K114" s="124">
        <f>VLOOKUP(A114,'31.05.25'!A:F,6,FALSE)</f>
        <v>2</v>
      </c>
      <c r="L114" s="119">
        <f t="shared" si="32"/>
        <v>0</v>
      </c>
      <c r="M114" s="119">
        <f>VLOOKUP(A114,'30.06.25'!A:F,6,FALSE)</f>
        <v>2</v>
      </c>
      <c r="N114" s="119">
        <f t="shared" si="33"/>
        <v>0</v>
      </c>
      <c r="O114" s="124">
        <f>VLOOKUP(A114,'31.07.25'!A:F,6,FALSE)</f>
        <v>2</v>
      </c>
      <c r="P114" s="119">
        <f t="shared" si="27"/>
        <v>0</v>
      </c>
      <c r="Q114" s="119">
        <f>VLOOKUP(A114,'31.08.25'!A:F,6,FALSE)</f>
        <v>2</v>
      </c>
      <c r="R114" s="119">
        <f t="shared" si="34"/>
        <v>0</v>
      </c>
      <c r="S114" s="119">
        <f>VLOOKUP(A114,'30.09.25'!A:F,6,FALSE)</f>
        <v>2</v>
      </c>
      <c r="T114" s="119">
        <f t="shared" si="28"/>
        <v>0</v>
      </c>
      <c r="U114" s="119">
        <f>VLOOKUP(A114,'31.10.25'!A:F,6,FALSE)</f>
        <v>2</v>
      </c>
      <c r="V114" s="119">
        <f t="shared" si="35"/>
        <v>0</v>
      </c>
      <c r="W114" s="119">
        <f>VLOOKUP(A114,'30.11.25'!A:F,6,FALSE)</f>
        <v>2</v>
      </c>
      <c r="X114" s="119">
        <f t="shared" si="36"/>
        <v>0</v>
      </c>
      <c r="Y114" s="125">
        <f>VLOOKUP(A114,'31.12.25'!A:B,2,FALSE)</f>
        <v>2</v>
      </c>
      <c r="Z114" s="119">
        <f t="shared" si="36"/>
        <v>0</v>
      </c>
      <c r="AA114" s="119">
        <f t="shared" si="50"/>
        <v>0</v>
      </c>
    </row>
    <row r="115" spans="1:27" x14ac:dyDescent="0.25">
      <c r="A115" s="124" t="s">
        <v>200</v>
      </c>
      <c r="B115" s="124">
        <f>VLOOKUP(A115,'31.12.24'!A:F,6,FALSE)</f>
        <v>2</v>
      </c>
      <c r="C115" s="124">
        <f>VLOOKUP(A115,'31.01.25'!A:F,6,FALSE)</f>
        <v>2</v>
      </c>
      <c r="D115" s="119">
        <f t="shared" si="29"/>
        <v>0</v>
      </c>
      <c r="E115" s="124">
        <f>VLOOKUP(A115,'28.02.25'!A:F,6,FALSE)</f>
        <v>2</v>
      </c>
      <c r="F115" s="119">
        <f t="shared" si="27"/>
        <v>0</v>
      </c>
      <c r="G115" s="124">
        <f>VLOOKUP(A115,'31.03.25'!A:F,6,FALSE)</f>
        <v>2</v>
      </c>
      <c r="H115" s="119">
        <f t="shared" si="30"/>
        <v>0</v>
      </c>
      <c r="I115" s="124">
        <f>VLOOKUP(A115,'30.04.25'!A:F,6,FALSE)</f>
        <v>2</v>
      </c>
      <c r="J115" s="119">
        <f t="shared" si="31"/>
        <v>0</v>
      </c>
      <c r="K115" s="124">
        <f>VLOOKUP(A115,'31.05.25'!A:F,6,FALSE)</f>
        <v>2</v>
      </c>
      <c r="L115" s="119">
        <f t="shared" si="32"/>
        <v>0</v>
      </c>
      <c r="M115" s="119">
        <f>VLOOKUP(A115,'30.06.25'!A:F,6,FALSE)</f>
        <v>2</v>
      </c>
      <c r="N115" s="119">
        <f t="shared" si="33"/>
        <v>0</v>
      </c>
      <c r="O115" s="124">
        <f>VLOOKUP(A115,'31.07.25'!A:F,6,FALSE)</f>
        <v>2</v>
      </c>
      <c r="P115" s="119">
        <f t="shared" si="27"/>
        <v>0</v>
      </c>
      <c r="Q115" s="119">
        <f>VLOOKUP(A115,'31.08.25'!A:F,6,FALSE)</f>
        <v>2</v>
      </c>
      <c r="R115" s="119">
        <f t="shared" si="34"/>
        <v>0</v>
      </c>
      <c r="S115" s="119">
        <f>VLOOKUP(A115,'30.09.25'!A:F,6,FALSE)</f>
        <v>2</v>
      </c>
      <c r="T115" s="119">
        <f t="shared" si="28"/>
        <v>0</v>
      </c>
      <c r="U115" s="119">
        <f>VLOOKUP(A115,'31.10.25'!A:F,6,FALSE)</f>
        <v>2</v>
      </c>
      <c r="V115" s="119">
        <f t="shared" si="35"/>
        <v>0</v>
      </c>
      <c r="W115" s="119">
        <f>VLOOKUP(A115,'30.11.25'!A:F,6,FALSE)</f>
        <v>2</v>
      </c>
      <c r="X115" s="119">
        <f t="shared" si="36"/>
        <v>0</v>
      </c>
      <c r="Y115" s="125">
        <f>VLOOKUP(A115,'31.12.25'!A:B,2,FALSE)</f>
        <v>2</v>
      </c>
      <c r="Z115" s="119">
        <f t="shared" si="36"/>
        <v>0</v>
      </c>
      <c r="AA115" s="119">
        <f t="shared" si="50"/>
        <v>0</v>
      </c>
    </row>
    <row r="116" spans="1:27" x14ac:dyDescent="0.25">
      <c r="A116" s="124" t="s">
        <v>81</v>
      </c>
      <c r="B116" s="124"/>
      <c r="C116" s="124"/>
      <c r="D116" s="119">
        <f>C116-B116</f>
        <v>0</v>
      </c>
      <c r="E116" s="124"/>
      <c r="F116" s="119">
        <f>E116-C116</f>
        <v>0</v>
      </c>
      <c r="G116" s="124"/>
      <c r="H116" s="119">
        <f>G116-E116</f>
        <v>0</v>
      </c>
      <c r="I116" s="124"/>
      <c r="J116" s="119">
        <f>I116-G116</f>
        <v>0</v>
      </c>
      <c r="K116" s="124"/>
      <c r="L116" s="119">
        <f>K116-I116</f>
        <v>0</v>
      </c>
      <c r="M116" s="119"/>
      <c r="N116" s="119">
        <f>M116-K116</f>
        <v>0</v>
      </c>
      <c r="O116" s="124"/>
      <c r="P116" s="119">
        <f>O116-M116</f>
        <v>0</v>
      </c>
      <c r="Q116" s="119">
        <f>VLOOKUP(A116,'31.08.25'!A:F,6,FALSE)</f>
        <v>8</v>
      </c>
      <c r="R116" s="119">
        <f>Q116-O116</f>
        <v>8</v>
      </c>
      <c r="S116" s="119">
        <f>VLOOKUP(A116,'30.09.25'!A:F,6,FALSE)</f>
        <v>10</v>
      </c>
      <c r="T116" s="119">
        <f>S116-Q116</f>
        <v>2</v>
      </c>
      <c r="U116" s="119">
        <f>VLOOKUP(A116,'31.10.25'!A:F,6,FALSE)</f>
        <v>10</v>
      </c>
      <c r="V116" s="119">
        <f>U116-S116</f>
        <v>0</v>
      </c>
      <c r="W116" s="119">
        <f>VLOOKUP(A116,'30.11.25'!A:F,6,FALSE)</f>
        <v>10</v>
      </c>
      <c r="X116" s="119">
        <f>W116-U116</f>
        <v>0</v>
      </c>
      <c r="Y116" s="125">
        <f>VLOOKUP(A116,'31.12.25'!A:B,2,FALSE)</f>
        <v>10</v>
      </c>
      <c r="Z116" s="119">
        <f>Y116-W116</f>
        <v>0</v>
      </c>
      <c r="AA116" s="119">
        <f t="shared" si="50"/>
        <v>10</v>
      </c>
    </row>
    <row r="117" spans="1:27" x14ac:dyDescent="0.25">
      <c r="A117" s="124" t="s">
        <v>134</v>
      </c>
      <c r="B117" s="124"/>
      <c r="C117" s="124"/>
      <c r="D117" s="119">
        <f>C117-B117</f>
        <v>0</v>
      </c>
      <c r="E117" s="124"/>
      <c r="F117" s="119">
        <f>E117-C117</f>
        <v>0</v>
      </c>
      <c r="G117" s="124"/>
      <c r="H117" s="119">
        <f>G117-E117</f>
        <v>0</v>
      </c>
      <c r="I117" s="124"/>
      <c r="J117" s="119">
        <f>I117-G117</f>
        <v>0</v>
      </c>
      <c r="K117" s="124"/>
      <c r="L117" s="119">
        <f>K117-I117</f>
        <v>0</v>
      </c>
      <c r="M117" s="119"/>
      <c r="N117" s="119">
        <f>M117-K117</f>
        <v>0</v>
      </c>
      <c r="O117" s="124"/>
      <c r="P117" s="119">
        <f>O117-M117</f>
        <v>0</v>
      </c>
      <c r="Q117" s="119"/>
      <c r="R117" s="119">
        <f>Q117-O117</f>
        <v>0</v>
      </c>
      <c r="S117" s="119"/>
      <c r="T117" s="119">
        <f>S117-Q117</f>
        <v>0</v>
      </c>
      <c r="U117" s="119">
        <f>VLOOKUP(A117,'31.10.25'!A:F,6,FALSE)</f>
        <v>25</v>
      </c>
      <c r="V117" s="119">
        <f>U117-S117</f>
        <v>25</v>
      </c>
      <c r="W117" s="119">
        <f>VLOOKUP(A117,'30.11.25'!A:F,6,FALSE)</f>
        <v>25</v>
      </c>
      <c r="X117" s="119">
        <f>W117-U117</f>
        <v>0</v>
      </c>
      <c r="Y117" s="125">
        <f>VLOOKUP(A117,'31.12.25'!A:B,2,FALSE)</f>
        <v>25</v>
      </c>
      <c r="Z117" s="119">
        <f>Y117-W117</f>
        <v>0</v>
      </c>
      <c r="AA117" s="119">
        <f t="shared" si="50"/>
        <v>25</v>
      </c>
    </row>
    <row r="118" spans="1:27" x14ac:dyDescent="0.25">
      <c r="A118" s="124" t="s">
        <v>135</v>
      </c>
      <c r="B118" s="124"/>
      <c r="C118" s="124"/>
      <c r="D118" s="119">
        <f>C118-B118</f>
        <v>0</v>
      </c>
      <c r="E118" s="124"/>
      <c r="F118" s="119">
        <f>E118-C118</f>
        <v>0</v>
      </c>
      <c r="G118" s="124"/>
      <c r="H118" s="119">
        <f>G118-E118</f>
        <v>0</v>
      </c>
      <c r="I118" s="124"/>
      <c r="J118" s="119">
        <f>I118-G118</f>
        <v>0</v>
      </c>
      <c r="K118" s="124"/>
      <c r="L118" s="119">
        <f>K118-I118</f>
        <v>0</v>
      </c>
      <c r="M118" s="119"/>
      <c r="N118" s="119">
        <f>M118-K118</f>
        <v>0</v>
      </c>
      <c r="O118" s="124"/>
      <c r="P118" s="119">
        <f>O118-M118</f>
        <v>0</v>
      </c>
      <c r="Q118" s="119"/>
      <c r="R118" s="119">
        <f>Q118-O118</f>
        <v>0</v>
      </c>
      <c r="S118" s="119"/>
      <c r="T118" s="119">
        <f>S118-Q118</f>
        <v>0</v>
      </c>
      <c r="U118" s="119">
        <f>VLOOKUP(A118,'31.10.25'!A:F,6,FALSE)</f>
        <v>2</v>
      </c>
      <c r="V118" s="119">
        <f>U118-S118</f>
        <v>2</v>
      </c>
      <c r="W118" s="119">
        <f>VLOOKUP(A118,'30.11.25'!A:F,6,FALSE)</f>
        <v>2</v>
      </c>
      <c r="X118" s="119">
        <f>W118-U118</f>
        <v>0</v>
      </c>
      <c r="Y118" s="125">
        <f>VLOOKUP(A118,'31.12.25'!A:B,2,FALSE)</f>
        <v>2</v>
      </c>
      <c r="Z118" s="119">
        <f>Y118-W118</f>
        <v>0</v>
      </c>
      <c r="AA118" s="119">
        <f t="shared" si="50"/>
        <v>2</v>
      </c>
    </row>
    <row r="119" spans="1:27" x14ac:dyDescent="0.25">
      <c r="A119" s="124" t="s">
        <v>136</v>
      </c>
      <c r="B119" s="124"/>
      <c r="C119" s="124"/>
      <c r="D119" s="119">
        <f>C119-B119</f>
        <v>0</v>
      </c>
      <c r="E119" s="124"/>
      <c r="F119" s="119">
        <f>E119-C119</f>
        <v>0</v>
      </c>
      <c r="G119" s="124"/>
      <c r="H119" s="119">
        <f>G119-E119</f>
        <v>0</v>
      </c>
      <c r="I119" s="124"/>
      <c r="J119" s="119">
        <f>I119-G119</f>
        <v>0</v>
      </c>
      <c r="K119" s="124"/>
      <c r="L119" s="119">
        <f>K119-I119</f>
        <v>0</v>
      </c>
      <c r="M119" s="119"/>
      <c r="N119" s="119">
        <f>M119-K119</f>
        <v>0</v>
      </c>
      <c r="O119" s="124"/>
      <c r="P119" s="119">
        <f>O119-M119</f>
        <v>0</v>
      </c>
      <c r="Q119" s="119"/>
      <c r="R119" s="119">
        <f>Q119-O119</f>
        <v>0</v>
      </c>
      <c r="S119" s="119"/>
      <c r="T119" s="119">
        <f>S119-Q119</f>
        <v>0</v>
      </c>
      <c r="U119" s="119">
        <f>VLOOKUP(A119,'31.10.25'!A:F,6,FALSE)</f>
        <v>7</v>
      </c>
      <c r="V119" s="119">
        <f>U119-S119</f>
        <v>7</v>
      </c>
      <c r="W119" s="119">
        <f>VLOOKUP(A119,'30.11.25'!A:F,6,FALSE)</f>
        <v>8</v>
      </c>
      <c r="X119" s="119">
        <f>W119-U119</f>
        <v>1</v>
      </c>
      <c r="Y119" s="125">
        <f>VLOOKUP(A119,'31.12.25'!A:B,2,FALSE)</f>
        <v>8</v>
      </c>
      <c r="Z119" s="119">
        <f>Y119-W119</f>
        <v>0</v>
      </c>
      <c r="AA119" s="119">
        <f t="shared" si="50"/>
        <v>8</v>
      </c>
    </row>
    <row r="120" spans="1:27" x14ac:dyDescent="0.25">
      <c r="A120" s="124" t="s">
        <v>201</v>
      </c>
      <c r="B120" s="124">
        <f>VLOOKUP(A120,'31.12.24'!A:F,6,FALSE)</f>
        <v>9</v>
      </c>
      <c r="C120" s="124">
        <f>VLOOKUP(A120,'31.01.25'!A:F,6,FALSE)</f>
        <v>9</v>
      </c>
      <c r="D120" s="119">
        <f t="shared" si="29"/>
        <v>0</v>
      </c>
      <c r="E120" s="124">
        <f>VLOOKUP(A120,'28.02.25'!A:F,6,FALSE)</f>
        <v>9</v>
      </c>
      <c r="F120" s="119">
        <f t="shared" si="27"/>
        <v>0</v>
      </c>
      <c r="G120" s="124">
        <f>VLOOKUP(A120,'31.03.25'!A:F,6,FALSE)</f>
        <v>9</v>
      </c>
      <c r="H120" s="119">
        <f t="shared" si="30"/>
        <v>0</v>
      </c>
      <c r="I120" s="124">
        <f>VLOOKUP(A120,'30.04.25'!A:F,6,FALSE)</f>
        <v>9</v>
      </c>
      <c r="J120" s="119">
        <f t="shared" si="31"/>
        <v>0</v>
      </c>
      <c r="K120" s="124">
        <f>VLOOKUP(A120,'31.05.25'!A:F,6,FALSE)</f>
        <v>9</v>
      </c>
      <c r="L120" s="119">
        <f t="shared" si="32"/>
        <v>0</v>
      </c>
      <c r="M120" s="119">
        <f>VLOOKUP(A120,'30.06.25'!A:F,6,FALSE)</f>
        <v>9</v>
      </c>
      <c r="N120" s="119">
        <f t="shared" si="33"/>
        <v>0</v>
      </c>
      <c r="O120" s="124">
        <f>VLOOKUP(A120,'31.07.25'!A:F,6,FALSE)</f>
        <v>9</v>
      </c>
      <c r="P120" s="119">
        <f t="shared" si="27"/>
        <v>0</v>
      </c>
      <c r="Q120" s="119">
        <f>VLOOKUP(A120,'31.08.25'!A:F,6,FALSE)</f>
        <v>9</v>
      </c>
      <c r="R120" s="119">
        <f t="shared" si="34"/>
        <v>0</v>
      </c>
      <c r="S120" s="119">
        <f>VLOOKUP(A120,'30.09.25'!A:F,6,FALSE)</f>
        <v>9</v>
      </c>
      <c r="T120" s="119">
        <f t="shared" si="28"/>
        <v>0</v>
      </c>
      <c r="U120" s="119">
        <f>VLOOKUP(A120,'31.10.25'!A:F,6,FALSE)</f>
        <v>9</v>
      </c>
      <c r="V120" s="119">
        <f t="shared" si="35"/>
        <v>0</v>
      </c>
      <c r="W120" s="119">
        <f>VLOOKUP(A120,'30.11.25'!A:F,6,FALSE)</f>
        <v>9</v>
      </c>
      <c r="X120" s="119">
        <f t="shared" si="36"/>
        <v>0</v>
      </c>
      <c r="Y120" s="125">
        <f>VLOOKUP(A120,'31.12.25'!A:B,2,FALSE)</f>
        <v>9</v>
      </c>
      <c r="Z120" s="119">
        <f t="shared" si="36"/>
        <v>0</v>
      </c>
      <c r="AA120" s="119">
        <f t="shared" si="50"/>
        <v>0</v>
      </c>
    </row>
    <row r="121" spans="1:27" x14ac:dyDescent="0.25">
      <c r="A121" s="124" t="s">
        <v>202</v>
      </c>
      <c r="B121" s="124">
        <f>VLOOKUP(A121,'31.12.24'!A:F,6,FALSE)</f>
        <v>1</v>
      </c>
      <c r="C121" s="124">
        <f>VLOOKUP(A121,'31.01.25'!A:F,6,FALSE)</f>
        <v>1</v>
      </c>
      <c r="D121" s="119">
        <f t="shared" si="29"/>
        <v>0</v>
      </c>
      <c r="E121" s="124">
        <f>VLOOKUP(A121,'28.02.25'!A:F,6,FALSE)</f>
        <v>1</v>
      </c>
      <c r="F121" s="119">
        <f t="shared" si="27"/>
        <v>0</v>
      </c>
      <c r="G121" s="124">
        <f>VLOOKUP(A121,'31.03.25'!A:F,6,FALSE)</f>
        <v>1</v>
      </c>
      <c r="H121" s="119">
        <f t="shared" si="30"/>
        <v>0</v>
      </c>
      <c r="I121" s="124">
        <f>VLOOKUP(A121,'30.04.25'!A:F,6,FALSE)</f>
        <v>1</v>
      </c>
      <c r="J121" s="119">
        <f t="shared" si="31"/>
        <v>0</v>
      </c>
      <c r="K121" s="124">
        <f>VLOOKUP(A121,'31.05.25'!A:F,6,FALSE)</f>
        <v>1</v>
      </c>
      <c r="L121" s="119">
        <f t="shared" si="32"/>
        <v>0</v>
      </c>
      <c r="M121" s="119">
        <f>VLOOKUP(A121,'30.06.25'!A:F,6,FALSE)</f>
        <v>1</v>
      </c>
      <c r="N121" s="119">
        <f t="shared" si="33"/>
        <v>0</v>
      </c>
      <c r="O121" s="124">
        <f>VLOOKUP(A121,'31.07.25'!A:F,6,FALSE)</f>
        <v>1</v>
      </c>
      <c r="P121" s="119">
        <f t="shared" si="27"/>
        <v>0</v>
      </c>
      <c r="Q121" s="119">
        <f>VLOOKUP(A121,'31.08.25'!A:F,6,FALSE)</f>
        <v>1</v>
      </c>
      <c r="R121" s="119">
        <f t="shared" si="34"/>
        <v>0</v>
      </c>
      <c r="S121" s="119">
        <f>VLOOKUP(A121,'30.09.25'!A:F,6,FALSE)</f>
        <v>1</v>
      </c>
      <c r="T121" s="119">
        <f t="shared" si="28"/>
        <v>0</v>
      </c>
      <c r="U121" s="119">
        <f>VLOOKUP(A121,'31.10.25'!A:F,6,FALSE)</f>
        <v>1</v>
      </c>
      <c r="V121" s="119">
        <f t="shared" si="35"/>
        <v>0</v>
      </c>
      <c r="W121" s="119">
        <f>VLOOKUP(A121,'30.11.25'!A:F,6,FALSE)</f>
        <v>1</v>
      </c>
      <c r="X121" s="119">
        <f t="shared" si="36"/>
        <v>0</v>
      </c>
      <c r="Y121" s="125">
        <f>VLOOKUP(A121,'31.12.25'!A:B,2,FALSE)</f>
        <v>1</v>
      </c>
      <c r="Z121" s="119">
        <f t="shared" si="36"/>
        <v>0</v>
      </c>
      <c r="AA121" s="119">
        <f t="shared" si="50"/>
        <v>0</v>
      </c>
    </row>
    <row r="122" spans="1:27" x14ac:dyDescent="0.25">
      <c r="A122" s="124" t="s">
        <v>203</v>
      </c>
      <c r="B122" s="124">
        <f>VLOOKUP(A122,'31.12.24'!A:F,6,FALSE)</f>
        <v>1</v>
      </c>
      <c r="C122" s="124">
        <f>VLOOKUP(A122,'31.01.25'!A:F,6,FALSE)</f>
        <v>1</v>
      </c>
      <c r="D122" s="119">
        <f t="shared" si="29"/>
        <v>0</v>
      </c>
      <c r="E122" s="124">
        <f>VLOOKUP(A122,'28.02.25'!A:F,6,FALSE)</f>
        <v>1</v>
      </c>
      <c r="F122" s="119">
        <f t="shared" si="27"/>
        <v>0</v>
      </c>
      <c r="G122" s="124">
        <f>VLOOKUP(A122,'31.03.25'!A:F,6,FALSE)</f>
        <v>1</v>
      </c>
      <c r="H122" s="119">
        <f t="shared" si="30"/>
        <v>0</v>
      </c>
      <c r="I122" s="124">
        <f>VLOOKUP(A122,'30.04.25'!A:F,6,FALSE)</f>
        <v>1</v>
      </c>
      <c r="J122" s="119">
        <f t="shared" si="31"/>
        <v>0</v>
      </c>
      <c r="K122" s="124">
        <f>VLOOKUP(A122,'31.05.25'!A:F,6,FALSE)</f>
        <v>1</v>
      </c>
      <c r="L122" s="119">
        <f t="shared" si="32"/>
        <v>0</v>
      </c>
      <c r="M122" s="119">
        <f>VLOOKUP(A122,'30.06.25'!A:F,6,FALSE)</f>
        <v>1</v>
      </c>
      <c r="N122" s="119">
        <f t="shared" si="33"/>
        <v>0</v>
      </c>
      <c r="O122" s="124">
        <f>VLOOKUP(A122,'31.07.25'!A:F,6,FALSE)</f>
        <v>1</v>
      </c>
      <c r="P122" s="119">
        <f t="shared" si="27"/>
        <v>0</v>
      </c>
      <c r="Q122" s="119">
        <f>VLOOKUP(A122,'31.08.25'!A:F,6,FALSE)</f>
        <v>1</v>
      </c>
      <c r="R122" s="119">
        <f t="shared" si="34"/>
        <v>0</v>
      </c>
      <c r="S122" s="119">
        <f>VLOOKUP(A122,'30.09.25'!A:F,6,FALSE)</f>
        <v>1</v>
      </c>
      <c r="T122" s="119">
        <f t="shared" ref="T122:T172" si="63">S122-Q122</f>
        <v>0</v>
      </c>
      <c r="U122" s="119">
        <f>VLOOKUP(A122,'31.10.25'!A:F,6,FALSE)</f>
        <v>1</v>
      </c>
      <c r="V122" s="119">
        <f t="shared" si="35"/>
        <v>0</v>
      </c>
      <c r="W122" s="119">
        <f>VLOOKUP(A122,'30.11.25'!A:F,6,FALSE)</f>
        <v>1</v>
      </c>
      <c r="X122" s="119">
        <f t="shared" si="36"/>
        <v>0</v>
      </c>
      <c r="Y122" s="125">
        <f>VLOOKUP(A122,'31.12.25'!A:B,2,FALSE)</f>
        <v>1</v>
      </c>
      <c r="Z122" s="119">
        <f t="shared" si="36"/>
        <v>0</v>
      </c>
      <c r="AA122" s="119">
        <f t="shared" si="50"/>
        <v>0</v>
      </c>
    </row>
    <row r="123" spans="1:27" x14ac:dyDescent="0.25">
      <c r="A123" s="124" t="s">
        <v>82</v>
      </c>
      <c r="B123" s="124">
        <f>VLOOKUP(A123,'31.12.24'!A:F,6,FALSE)</f>
        <v>47</v>
      </c>
      <c r="C123" s="124">
        <f>VLOOKUP(A123,'31.01.25'!A:F,6,FALSE)</f>
        <v>47</v>
      </c>
      <c r="D123" s="119">
        <f t="shared" ref="D123:D140" si="64">C123-B123</f>
        <v>0</v>
      </c>
      <c r="E123" s="124">
        <f>VLOOKUP(A123,'28.02.25'!A:F,6,FALSE)</f>
        <v>47</v>
      </c>
      <c r="F123" s="119">
        <f t="shared" ref="F123:F140" si="65">E123-C123</f>
        <v>0</v>
      </c>
      <c r="G123" s="124">
        <f>VLOOKUP(A123,'31.03.25'!A:F,6,FALSE)</f>
        <v>47</v>
      </c>
      <c r="H123" s="119">
        <f t="shared" ref="H123:H140" si="66">G123-E123</f>
        <v>0</v>
      </c>
      <c r="I123" s="124">
        <f>VLOOKUP(A123,'30.04.25'!A:F,6,FALSE)</f>
        <v>47</v>
      </c>
      <c r="J123" s="119">
        <f t="shared" ref="J123:J140" si="67">I123-G123</f>
        <v>0</v>
      </c>
      <c r="K123" s="124">
        <f>VLOOKUP(A123,'31.05.25'!A:F,6,FALSE)</f>
        <v>47</v>
      </c>
      <c r="L123" s="119">
        <f t="shared" ref="L123:L140" si="68">K123-I123</f>
        <v>0</v>
      </c>
      <c r="M123" s="119">
        <f>VLOOKUP(A123,'30.06.25'!A:F,6,FALSE)</f>
        <v>47</v>
      </c>
      <c r="N123" s="119">
        <f t="shared" ref="N123:N140" si="69">M123-K123</f>
        <v>0</v>
      </c>
      <c r="O123" s="124">
        <f>VLOOKUP(A123,'31.07.25'!A:F,6,FALSE)</f>
        <v>47</v>
      </c>
      <c r="P123" s="119">
        <f t="shared" ref="P123:P140" si="70">O123-M123</f>
        <v>0</v>
      </c>
      <c r="Q123" s="119">
        <f>VLOOKUP(A123,'31.08.25'!A:F,6,FALSE)</f>
        <v>47</v>
      </c>
      <c r="R123" s="119">
        <f t="shared" ref="R123:R140" si="71">Q123-O123</f>
        <v>0</v>
      </c>
      <c r="S123" s="119">
        <f>VLOOKUP(A123,'30.09.25'!A:F,6,FALSE)</f>
        <v>47</v>
      </c>
      <c r="T123" s="119">
        <f t="shared" ref="T123:T140" si="72">S123-Q123</f>
        <v>0</v>
      </c>
      <c r="U123" s="119">
        <f>VLOOKUP(A123,'31.10.25'!A:F,6,FALSE)</f>
        <v>47</v>
      </c>
      <c r="V123" s="119">
        <f t="shared" ref="V123:V140" si="73">U123-S123</f>
        <v>0</v>
      </c>
      <c r="W123" s="119">
        <f>VLOOKUP(A123,'30.11.25'!A:F,6,FALSE)</f>
        <v>47</v>
      </c>
      <c r="X123" s="119">
        <f t="shared" ref="X123:X140" si="74">W123-U123</f>
        <v>0</v>
      </c>
      <c r="Y123" s="125">
        <f>VLOOKUP(A123,'31.12.25'!A:B,2,FALSE)</f>
        <v>47</v>
      </c>
      <c r="Z123" s="119">
        <f t="shared" ref="Z123:Z140" si="75">Y123-W123</f>
        <v>0</v>
      </c>
      <c r="AA123" s="119">
        <f t="shared" si="50"/>
        <v>0</v>
      </c>
    </row>
    <row r="124" spans="1:27" x14ac:dyDescent="0.25">
      <c r="A124" s="124" t="s">
        <v>83</v>
      </c>
      <c r="B124" s="124">
        <f>VLOOKUP(A124,'31.12.24'!A:F,6,FALSE)</f>
        <v>29</v>
      </c>
      <c r="C124" s="124">
        <f>VLOOKUP(A124,'31.01.25'!A:F,6,FALSE)</f>
        <v>29</v>
      </c>
      <c r="D124" s="119">
        <f t="shared" si="64"/>
        <v>0</v>
      </c>
      <c r="E124" s="124">
        <f>VLOOKUP(A124,'28.02.25'!A:F,6,FALSE)</f>
        <v>29</v>
      </c>
      <c r="F124" s="119">
        <f t="shared" si="65"/>
        <v>0</v>
      </c>
      <c r="G124" s="124">
        <f>VLOOKUP(A124,'31.03.25'!A:F,6,FALSE)</f>
        <v>29</v>
      </c>
      <c r="H124" s="119">
        <f t="shared" si="66"/>
        <v>0</v>
      </c>
      <c r="I124" s="124">
        <f>VLOOKUP(A124,'30.04.25'!A:F,6,FALSE)</f>
        <v>29</v>
      </c>
      <c r="J124" s="119">
        <f t="shared" si="67"/>
        <v>0</v>
      </c>
      <c r="K124" s="124">
        <f>VLOOKUP(A124,'31.05.25'!A:F,6,FALSE)</f>
        <v>29</v>
      </c>
      <c r="L124" s="119">
        <f t="shared" si="68"/>
        <v>0</v>
      </c>
      <c r="M124" s="119">
        <f>VLOOKUP(A124,'30.06.25'!A:F,6,FALSE)</f>
        <v>29</v>
      </c>
      <c r="N124" s="119">
        <f t="shared" si="69"/>
        <v>0</v>
      </c>
      <c r="O124" s="124">
        <f>VLOOKUP(A124,'31.07.25'!A:F,6,FALSE)</f>
        <v>29</v>
      </c>
      <c r="P124" s="119">
        <f t="shared" si="70"/>
        <v>0</v>
      </c>
      <c r="Q124" s="119">
        <f>VLOOKUP(A124,'31.08.25'!A:F,6,FALSE)</f>
        <v>29</v>
      </c>
      <c r="R124" s="119">
        <f t="shared" si="71"/>
        <v>0</v>
      </c>
      <c r="S124" s="119">
        <f>VLOOKUP(A124,'30.09.25'!A:F,6,FALSE)</f>
        <v>29</v>
      </c>
      <c r="T124" s="119">
        <f t="shared" si="72"/>
        <v>0</v>
      </c>
      <c r="U124" s="119">
        <f>VLOOKUP(A124,'31.10.25'!A:F,6,FALSE)</f>
        <v>29</v>
      </c>
      <c r="V124" s="119">
        <f t="shared" si="73"/>
        <v>0</v>
      </c>
      <c r="W124" s="119">
        <f>VLOOKUP(A124,'30.11.25'!A:F,6,FALSE)</f>
        <v>29</v>
      </c>
      <c r="X124" s="119">
        <f t="shared" si="74"/>
        <v>0</v>
      </c>
      <c r="Y124" s="125">
        <f>VLOOKUP(A124,'31.12.25'!A:B,2,FALSE)</f>
        <v>28</v>
      </c>
      <c r="Z124" s="119">
        <f t="shared" si="75"/>
        <v>-1</v>
      </c>
      <c r="AA124" s="119">
        <f t="shared" si="50"/>
        <v>-1</v>
      </c>
    </row>
    <row r="125" spans="1:27" x14ac:dyDescent="0.25">
      <c r="A125" s="124" t="s">
        <v>84</v>
      </c>
      <c r="B125" s="124">
        <f>VLOOKUP(A125,'31.12.24'!A:F,6,FALSE)</f>
        <v>7</v>
      </c>
      <c r="C125" s="124">
        <f>VLOOKUP(A125,'31.01.25'!A:F,6,FALSE)</f>
        <v>7</v>
      </c>
      <c r="D125" s="119">
        <f t="shared" si="64"/>
        <v>0</v>
      </c>
      <c r="E125" s="124">
        <f>VLOOKUP(A125,'28.02.25'!A:F,6,FALSE)</f>
        <v>7</v>
      </c>
      <c r="F125" s="119">
        <f t="shared" si="65"/>
        <v>0</v>
      </c>
      <c r="G125" s="124">
        <f>VLOOKUP(A125,'31.03.25'!A:F,6,FALSE)</f>
        <v>7</v>
      </c>
      <c r="H125" s="119">
        <f t="shared" si="66"/>
        <v>0</v>
      </c>
      <c r="I125" s="124">
        <f>VLOOKUP(A125,'30.04.25'!A:F,6,FALSE)</f>
        <v>7</v>
      </c>
      <c r="J125" s="119">
        <f t="shared" si="67"/>
        <v>0</v>
      </c>
      <c r="K125" s="124">
        <f>VLOOKUP(A125,'31.05.25'!A:F,6,FALSE)</f>
        <v>7</v>
      </c>
      <c r="L125" s="119">
        <f t="shared" si="68"/>
        <v>0</v>
      </c>
      <c r="M125" s="119">
        <f>VLOOKUP(A125,'30.06.25'!A:F,6,FALSE)</f>
        <v>7</v>
      </c>
      <c r="N125" s="119">
        <f t="shared" si="69"/>
        <v>0</v>
      </c>
      <c r="O125" s="124">
        <f>VLOOKUP(A125,'31.07.25'!A:F,6,FALSE)</f>
        <v>7</v>
      </c>
      <c r="P125" s="119">
        <f t="shared" si="70"/>
        <v>0</v>
      </c>
      <c r="Q125" s="119">
        <f>VLOOKUP(A125,'31.08.25'!A:F,6,FALSE)</f>
        <v>7</v>
      </c>
      <c r="R125" s="119">
        <f t="shared" si="71"/>
        <v>0</v>
      </c>
      <c r="S125" s="119">
        <f>VLOOKUP(A125,'30.09.25'!A:F,6,FALSE)</f>
        <v>7</v>
      </c>
      <c r="T125" s="119">
        <f t="shared" si="72"/>
        <v>0</v>
      </c>
      <c r="U125" s="119">
        <f>VLOOKUP(A125,'31.10.25'!A:F,6,FALSE)</f>
        <v>7</v>
      </c>
      <c r="V125" s="119">
        <f t="shared" si="73"/>
        <v>0</v>
      </c>
      <c r="W125" s="119">
        <f>VLOOKUP(A125,'30.11.25'!A:F,6,FALSE)</f>
        <v>7</v>
      </c>
      <c r="X125" s="119">
        <f t="shared" si="74"/>
        <v>0</v>
      </c>
      <c r="Y125" s="125">
        <f>VLOOKUP(A125,'31.12.25'!A:B,2,FALSE)</f>
        <v>7</v>
      </c>
      <c r="Z125" s="119">
        <f t="shared" si="75"/>
        <v>0</v>
      </c>
      <c r="AA125" s="119">
        <f t="shared" si="50"/>
        <v>0</v>
      </c>
    </row>
    <row r="126" spans="1:27" x14ac:dyDescent="0.25">
      <c r="A126" s="124" t="s">
        <v>85</v>
      </c>
      <c r="B126" s="124">
        <f>VLOOKUP(A126,'31.12.24'!A:F,6,FALSE)</f>
        <v>1</v>
      </c>
      <c r="C126" s="124">
        <f>VLOOKUP(A126,'31.01.25'!A:F,6,FALSE)</f>
        <v>1</v>
      </c>
      <c r="D126" s="119">
        <f t="shared" si="64"/>
        <v>0</v>
      </c>
      <c r="E126" s="124">
        <f>VLOOKUP(A126,'28.02.25'!A:F,6,FALSE)</f>
        <v>1</v>
      </c>
      <c r="F126" s="119">
        <f t="shared" si="65"/>
        <v>0</v>
      </c>
      <c r="G126" s="124">
        <f>VLOOKUP(A126,'31.03.25'!A:F,6,FALSE)</f>
        <v>1</v>
      </c>
      <c r="H126" s="119">
        <f t="shared" si="66"/>
        <v>0</v>
      </c>
      <c r="I126" s="124">
        <f>VLOOKUP(A126,'30.04.25'!A:F,6,FALSE)</f>
        <v>1</v>
      </c>
      <c r="J126" s="119">
        <f t="shared" si="67"/>
        <v>0</v>
      </c>
      <c r="K126" s="124">
        <f>VLOOKUP(A126,'31.05.25'!A:F,6,FALSE)</f>
        <v>1</v>
      </c>
      <c r="L126" s="119">
        <f t="shared" si="68"/>
        <v>0</v>
      </c>
      <c r="M126" s="119">
        <f>VLOOKUP(A126,'30.06.25'!A:F,6,FALSE)</f>
        <v>1</v>
      </c>
      <c r="N126" s="119">
        <f t="shared" si="69"/>
        <v>0</v>
      </c>
      <c r="O126" s="124">
        <f>VLOOKUP(A126,'31.07.25'!A:F,6,FALSE)</f>
        <v>1</v>
      </c>
      <c r="P126" s="119">
        <f t="shared" si="70"/>
        <v>0</v>
      </c>
      <c r="Q126" s="119">
        <f>VLOOKUP(A126,'31.08.25'!A:F,6,FALSE)</f>
        <v>1</v>
      </c>
      <c r="R126" s="119">
        <f t="shared" si="71"/>
        <v>0</v>
      </c>
      <c r="S126" s="119">
        <f>VLOOKUP(A126,'30.09.25'!A:F,6,FALSE)</f>
        <v>1</v>
      </c>
      <c r="T126" s="119">
        <f t="shared" si="72"/>
        <v>0</v>
      </c>
      <c r="U126" s="119">
        <f>VLOOKUP(A126,'31.10.25'!A:F,6,FALSE)</f>
        <v>1</v>
      </c>
      <c r="V126" s="119">
        <f t="shared" si="73"/>
        <v>0</v>
      </c>
      <c r="W126" s="119">
        <f>VLOOKUP(A126,'30.11.25'!A:F,6,FALSE)</f>
        <v>1</v>
      </c>
      <c r="X126" s="119">
        <f t="shared" si="74"/>
        <v>0</v>
      </c>
      <c r="Y126" s="125">
        <f>VLOOKUP(A126,'31.12.25'!A:B,2,FALSE)</f>
        <v>1</v>
      </c>
      <c r="Z126" s="119">
        <f t="shared" si="75"/>
        <v>0</v>
      </c>
      <c r="AA126" s="119">
        <f t="shared" si="50"/>
        <v>0</v>
      </c>
    </row>
    <row r="127" spans="1:27" x14ac:dyDescent="0.25">
      <c r="A127" s="124" t="s">
        <v>86</v>
      </c>
      <c r="B127" s="124">
        <f>VLOOKUP(A127,'31.12.24'!A:F,6,FALSE)</f>
        <v>72</v>
      </c>
      <c r="C127" s="124">
        <f>VLOOKUP(A127,'31.01.25'!A:F,6,FALSE)</f>
        <v>72</v>
      </c>
      <c r="D127" s="119">
        <f t="shared" si="64"/>
        <v>0</v>
      </c>
      <c r="E127" s="124">
        <f>VLOOKUP(A127,'28.02.25'!A:F,6,FALSE)</f>
        <v>72</v>
      </c>
      <c r="F127" s="119">
        <f t="shared" si="65"/>
        <v>0</v>
      </c>
      <c r="G127" s="124">
        <f>VLOOKUP(A127,'31.03.25'!A:F,6,FALSE)</f>
        <v>72</v>
      </c>
      <c r="H127" s="119">
        <f t="shared" si="66"/>
        <v>0</v>
      </c>
      <c r="I127" s="124">
        <f>VLOOKUP(A127,'30.04.25'!A:F,6,FALSE)</f>
        <v>72</v>
      </c>
      <c r="J127" s="119">
        <f t="shared" si="67"/>
        <v>0</v>
      </c>
      <c r="K127" s="124">
        <f>VLOOKUP(A127,'31.05.25'!A:F,6,FALSE)</f>
        <v>72</v>
      </c>
      <c r="L127" s="119">
        <f t="shared" si="68"/>
        <v>0</v>
      </c>
      <c r="M127" s="119">
        <f>VLOOKUP(A127,'30.06.25'!A:F,6,FALSE)</f>
        <v>72</v>
      </c>
      <c r="N127" s="119">
        <f t="shared" si="69"/>
        <v>0</v>
      </c>
      <c r="O127" s="124">
        <f>VLOOKUP(A127,'31.07.25'!A:F,6,FALSE)</f>
        <v>72</v>
      </c>
      <c r="P127" s="119">
        <f t="shared" si="70"/>
        <v>0</v>
      </c>
      <c r="Q127" s="119">
        <f>VLOOKUP(A127,'31.08.25'!A:F,6,FALSE)</f>
        <v>72</v>
      </c>
      <c r="R127" s="119">
        <f t="shared" si="71"/>
        <v>0</v>
      </c>
      <c r="S127" s="119">
        <f>VLOOKUP(A127,'30.09.25'!A:F,6,FALSE)</f>
        <v>72</v>
      </c>
      <c r="T127" s="119">
        <f t="shared" si="72"/>
        <v>0</v>
      </c>
      <c r="U127" s="119">
        <f>VLOOKUP(A127,'31.10.25'!A:F,6,FALSE)</f>
        <v>72</v>
      </c>
      <c r="V127" s="119">
        <f t="shared" si="73"/>
        <v>0</v>
      </c>
      <c r="W127" s="119">
        <f>VLOOKUP(A127,'30.11.25'!A:F,6,FALSE)</f>
        <v>72</v>
      </c>
      <c r="X127" s="119">
        <f t="shared" si="74"/>
        <v>0</v>
      </c>
      <c r="Y127" s="125">
        <f>VLOOKUP(A127,'31.12.25'!A:B,2,FALSE)</f>
        <v>72</v>
      </c>
      <c r="Z127" s="119">
        <f t="shared" si="75"/>
        <v>0</v>
      </c>
      <c r="AA127" s="119">
        <f t="shared" si="50"/>
        <v>0</v>
      </c>
    </row>
    <row r="128" spans="1:27" x14ac:dyDescent="0.25">
      <c r="A128" s="124" t="s">
        <v>87</v>
      </c>
      <c r="B128" s="124">
        <f>VLOOKUP(A128,'31.12.24'!A:F,6,FALSE)</f>
        <v>13</v>
      </c>
      <c r="C128" s="124">
        <f>VLOOKUP(A128,'31.01.25'!A:F,6,FALSE)</f>
        <v>13</v>
      </c>
      <c r="D128" s="119">
        <f t="shared" si="64"/>
        <v>0</v>
      </c>
      <c r="E128" s="124">
        <f>VLOOKUP(A128,'28.02.25'!A:F,6,FALSE)</f>
        <v>13</v>
      </c>
      <c r="F128" s="119">
        <f t="shared" si="65"/>
        <v>0</v>
      </c>
      <c r="G128" s="124">
        <f>VLOOKUP(A128,'31.03.25'!A:F,6,FALSE)</f>
        <v>13</v>
      </c>
      <c r="H128" s="119">
        <f t="shared" si="66"/>
        <v>0</v>
      </c>
      <c r="I128" s="124">
        <f>VLOOKUP(A128,'30.04.25'!A:F,6,FALSE)</f>
        <v>13</v>
      </c>
      <c r="J128" s="119">
        <f t="shared" si="67"/>
        <v>0</v>
      </c>
      <c r="K128" s="124">
        <f>VLOOKUP(A128,'31.05.25'!A:F,6,FALSE)</f>
        <v>13</v>
      </c>
      <c r="L128" s="119">
        <f t="shared" si="68"/>
        <v>0</v>
      </c>
      <c r="M128" s="119">
        <f>VLOOKUP(A128,'30.06.25'!A:F,6,FALSE)</f>
        <v>13</v>
      </c>
      <c r="N128" s="119">
        <f t="shared" si="69"/>
        <v>0</v>
      </c>
      <c r="O128" s="124">
        <f>VLOOKUP(A128,'31.07.25'!A:F,6,FALSE)</f>
        <v>13</v>
      </c>
      <c r="P128" s="119">
        <f t="shared" si="70"/>
        <v>0</v>
      </c>
      <c r="Q128" s="119">
        <f>VLOOKUP(A128,'31.08.25'!A:F,6,FALSE)</f>
        <v>13</v>
      </c>
      <c r="R128" s="119">
        <f t="shared" si="71"/>
        <v>0</v>
      </c>
      <c r="S128" s="119">
        <f>VLOOKUP(A128,'30.09.25'!A:F,6,FALSE)</f>
        <v>13</v>
      </c>
      <c r="T128" s="119">
        <f t="shared" si="72"/>
        <v>0</v>
      </c>
      <c r="U128" s="119">
        <f>VLOOKUP(A128,'31.10.25'!A:F,6,FALSE)</f>
        <v>13</v>
      </c>
      <c r="V128" s="119">
        <f t="shared" si="73"/>
        <v>0</v>
      </c>
      <c r="W128" s="119">
        <f>VLOOKUP(A128,'30.11.25'!A:F,6,FALSE)</f>
        <v>13</v>
      </c>
      <c r="X128" s="119">
        <f t="shared" si="74"/>
        <v>0</v>
      </c>
      <c r="Y128" s="125">
        <f>VLOOKUP(A128,'31.12.25'!A:B,2,FALSE)</f>
        <v>13</v>
      </c>
      <c r="Z128" s="119">
        <f t="shared" si="75"/>
        <v>0</v>
      </c>
      <c r="AA128" s="119">
        <f t="shared" si="50"/>
        <v>0</v>
      </c>
    </row>
    <row r="129" spans="1:27" x14ac:dyDescent="0.25">
      <c r="A129" s="124" t="s">
        <v>88</v>
      </c>
      <c r="B129" s="124">
        <f>VLOOKUP(A129,'31.12.24'!A:F,6,FALSE)</f>
        <v>4</v>
      </c>
      <c r="C129" s="124">
        <f>VLOOKUP(A129,'31.01.25'!A:F,6,FALSE)</f>
        <v>4</v>
      </c>
      <c r="D129" s="119">
        <f t="shared" si="64"/>
        <v>0</v>
      </c>
      <c r="E129" s="124">
        <f>VLOOKUP(A129,'28.02.25'!A:F,6,FALSE)</f>
        <v>4</v>
      </c>
      <c r="F129" s="119">
        <f t="shared" si="65"/>
        <v>0</v>
      </c>
      <c r="G129" s="124">
        <f>VLOOKUP(A129,'31.03.25'!A:F,6,FALSE)</f>
        <v>4</v>
      </c>
      <c r="H129" s="119">
        <f t="shared" si="66"/>
        <v>0</v>
      </c>
      <c r="I129" s="124">
        <f>VLOOKUP(A129,'30.04.25'!A:F,6,FALSE)</f>
        <v>4</v>
      </c>
      <c r="J129" s="119">
        <f t="shared" si="67"/>
        <v>0</v>
      </c>
      <c r="K129" s="124">
        <f>VLOOKUP(A129,'31.05.25'!A:F,6,FALSE)</f>
        <v>4</v>
      </c>
      <c r="L129" s="119">
        <f t="shared" si="68"/>
        <v>0</v>
      </c>
      <c r="M129" s="119">
        <f>VLOOKUP(A129,'30.06.25'!A:F,6,FALSE)</f>
        <v>4</v>
      </c>
      <c r="N129" s="119">
        <f t="shared" si="69"/>
        <v>0</v>
      </c>
      <c r="O129" s="124">
        <f>VLOOKUP(A129,'31.07.25'!A:F,6,FALSE)</f>
        <v>4</v>
      </c>
      <c r="P129" s="119">
        <f t="shared" si="70"/>
        <v>0</v>
      </c>
      <c r="Q129" s="119">
        <f>VLOOKUP(A129,'31.08.25'!A:F,6,FALSE)</f>
        <v>4</v>
      </c>
      <c r="R129" s="119">
        <f t="shared" si="71"/>
        <v>0</v>
      </c>
      <c r="S129" s="119">
        <f>VLOOKUP(A129,'30.09.25'!A:F,6,FALSE)</f>
        <v>4</v>
      </c>
      <c r="T129" s="119">
        <f t="shared" si="72"/>
        <v>0</v>
      </c>
      <c r="U129" s="119">
        <f>VLOOKUP(A129,'31.10.25'!A:F,6,FALSE)</f>
        <v>4</v>
      </c>
      <c r="V129" s="119">
        <f t="shared" si="73"/>
        <v>0</v>
      </c>
      <c r="W129" s="119">
        <f>VLOOKUP(A129,'30.11.25'!A:F,6,FALSE)</f>
        <v>4</v>
      </c>
      <c r="X129" s="119">
        <f t="shared" si="74"/>
        <v>0</v>
      </c>
      <c r="Y129" s="125">
        <f>VLOOKUP(A129,'31.12.25'!A:B,2,FALSE)</f>
        <v>4</v>
      </c>
      <c r="Z129" s="119">
        <f t="shared" si="75"/>
        <v>0</v>
      </c>
      <c r="AA129" s="119">
        <f t="shared" si="50"/>
        <v>0</v>
      </c>
    </row>
    <row r="130" spans="1:27" x14ac:dyDescent="0.25">
      <c r="A130" s="124" t="s">
        <v>89</v>
      </c>
      <c r="B130" s="124">
        <f>VLOOKUP(A130,'31.12.24'!A:F,6,FALSE)</f>
        <v>36</v>
      </c>
      <c r="C130" s="124">
        <f>VLOOKUP(A130,'31.01.25'!A:F,6,FALSE)</f>
        <v>36</v>
      </c>
      <c r="D130" s="119">
        <f t="shared" si="64"/>
        <v>0</v>
      </c>
      <c r="E130" s="124">
        <f>VLOOKUP(A130,'28.02.25'!A:F,6,FALSE)</f>
        <v>36</v>
      </c>
      <c r="F130" s="119">
        <f t="shared" si="65"/>
        <v>0</v>
      </c>
      <c r="G130" s="124">
        <f>VLOOKUP(A130,'31.03.25'!A:F,6,FALSE)</f>
        <v>36</v>
      </c>
      <c r="H130" s="119">
        <f t="shared" si="66"/>
        <v>0</v>
      </c>
      <c r="I130" s="124">
        <f>VLOOKUP(A130,'30.04.25'!A:F,6,FALSE)</f>
        <v>36</v>
      </c>
      <c r="J130" s="119">
        <f t="shared" si="67"/>
        <v>0</v>
      </c>
      <c r="K130" s="124">
        <f>VLOOKUP(A130,'31.05.25'!A:F,6,FALSE)</f>
        <v>36</v>
      </c>
      <c r="L130" s="119">
        <f t="shared" si="68"/>
        <v>0</v>
      </c>
      <c r="M130" s="119">
        <f>VLOOKUP(A130,'30.06.25'!A:F,6,FALSE)</f>
        <v>36</v>
      </c>
      <c r="N130" s="119">
        <f t="shared" si="69"/>
        <v>0</v>
      </c>
      <c r="O130" s="124">
        <f>VLOOKUP(A130,'31.07.25'!A:F,6,FALSE)</f>
        <v>36</v>
      </c>
      <c r="P130" s="119">
        <f t="shared" si="70"/>
        <v>0</v>
      </c>
      <c r="Q130" s="119">
        <f>VLOOKUP(A130,'31.08.25'!A:F,6,FALSE)</f>
        <v>36</v>
      </c>
      <c r="R130" s="119">
        <f t="shared" si="71"/>
        <v>0</v>
      </c>
      <c r="S130" s="119">
        <f>VLOOKUP(A130,'30.09.25'!A:F,6,FALSE)</f>
        <v>36</v>
      </c>
      <c r="T130" s="119">
        <f t="shared" si="72"/>
        <v>0</v>
      </c>
      <c r="U130" s="119">
        <f>VLOOKUP(A130,'31.10.25'!A:F,6,FALSE)</f>
        <v>36</v>
      </c>
      <c r="V130" s="119">
        <f t="shared" si="73"/>
        <v>0</v>
      </c>
      <c r="W130" s="119">
        <f>VLOOKUP(A130,'30.11.25'!A:F,6,FALSE)</f>
        <v>36</v>
      </c>
      <c r="X130" s="119">
        <f t="shared" si="74"/>
        <v>0</v>
      </c>
      <c r="Y130" s="125">
        <f>VLOOKUP(A130,'31.12.25'!A:B,2,FALSE)</f>
        <v>36</v>
      </c>
      <c r="Z130" s="119">
        <f t="shared" si="75"/>
        <v>0</v>
      </c>
      <c r="AA130" s="119">
        <f t="shared" si="50"/>
        <v>0</v>
      </c>
    </row>
    <row r="131" spans="1:27" x14ac:dyDescent="0.25">
      <c r="A131" s="124" t="s">
        <v>90</v>
      </c>
      <c r="B131" s="124">
        <f>VLOOKUP(A131,'31.12.24'!A:F,6,FALSE)</f>
        <v>78</v>
      </c>
      <c r="C131" s="124">
        <f>VLOOKUP(A131,'31.01.25'!A:F,6,FALSE)</f>
        <v>78</v>
      </c>
      <c r="D131" s="119">
        <f t="shared" si="64"/>
        <v>0</v>
      </c>
      <c r="E131" s="124">
        <f>VLOOKUP(A131,'28.02.25'!A:F,6,FALSE)</f>
        <v>78</v>
      </c>
      <c r="F131" s="119">
        <f t="shared" si="65"/>
        <v>0</v>
      </c>
      <c r="G131" s="124">
        <f>VLOOKUP(A131,'31.03.25'!A:F,6,FALSE)</f>
        <v>78</v>
      </c>
      <c r="H131" s="119">
        <f t="shared" si="66"/>
        <v>0</v>
      </c>
      <c r="I131" s="124">
        <f>VLOOKUP(A131,'30.04.25'!A:F,6,FALSE)</f>
        <v>78</v>
      </c>
      <c r="J131" s="119">
        <f t="shared" si="67"/>
        <v>0</v>
      </c>
      <c r="K131" s="124">
        <f>VLOOKUP(A131,'31.05.25'!A:F,6,FALSE)</f>
        <v>78</v>
      </c>
      <c r="L131" s="119">
        <f t="shared" si="68"/>
        <v>0</v>
      </c>
      <c r="M131" s="119">
        <f>VLOOKUP(A131,'30.06.25'!A:F,6,FALSE)</f>
        <v>78</v>
      </c>
      <c r="N131" s="119">
        <f t="shared" si="69"/>
        <v>0</v>
      </c>
      <c r="O131" s="124">
        <f>VLOOKUP(A131,'31.07.25'!A:F,6,FALSE)</f>
        <v>78</v>
      </c>
      <c r="P131" s="119">
        <f t="shared" si="70"/>
        <v>0</v>
      </c>
      <c r="Q131" s="119">
        <f>VLOOKUP(A131,'31.08.25'!A:F,6,FALSE)</f>
        <v>78</v>
      </c>
      <c r="R131" s="119">
        <f t="shared" si="71"/>
        <v>0</v>
      </c>
      <c r="S131" s="119">
        <f>VLOOKUP(A131,'30.09.25'!A:F,6,FALSE)</f>
        <v>78</v>
      </c>
      <c r="T131" s="119">
        <f t="shared" si="72"/>
        <v>0</v>
      </c>
      <c r="U131" s="119">
        <f>VLOOKUP(A131,'31.10.25'!A:F,6,FALSE)</f>
        <v>78</v>
      </c>
      <c r="V131" s="119">
        <f t="shared" si="73"/>
        <v>0</v>
      </c>
      <c r="W131" s="119">
        <f>VLOOKUP(A131,'30.11.25'!A:F,6,FALSE)</f>
        <v>78</v>
      </c>
      <c r="X131" s="119">
        <f t="shared" si="74"/>
        <v>0</v>
      </c>
      <c r="Y131" s="125">
        <f>VLOOKUP(A131,'31.12.25'!A:B,2,FALSE)</f>
        <v>78</v>
      </c>
      <c r="Z131" s="119">
        <f t="shared" si="75"/>
        <v>0</v>
      </c>
      <c r="AA131" s="119">
        <f t="shared" si="50"/>
        <v>0</v>
      </c>
    </row>
    <row r="132" spans="1:27" x14ac:dyDescent="0.25">
      <c r="A132" s="124" t="s">
        <v>91</v>
      </c>
      <c r="B132" s="124">
        <f>VLOOKUP(A132,'31.12.24'!A:F,6,FALSE)</f>
        <v>13</v>
      </c>
      <c r="C132" s="124">
        <f>VLOOKUP(A132,'31.01.25'!A:F,6,FALSE)</f>
        <v>13</v>
      </c>
      <c r="D132" s="119">
        <f t="shared" si="64"/>
        <v>0</v>
      </c>
      <c r="E132" s="124">
        <f>VLOOKUP(A132,'28.02.25'!A:F,6,FALSE)</f>
        <v>13</v>
      </c>
      <c r="F132" s="119">
        <f t="shared" si="65"/>
        <v>0</v>
      </c>
      <c r="G132" s="124">
        <f>VLOOKUP(A132,'31.03.25'!A:F,6,FALSE)</f>
        <v>13</v>
      </c>
      <c r="H132" s="119">
        <f t="shared" si="66"/>
        <v>0</v>
      </c>
      <c r="I132" s="124">
        <f>VLOOKUP(A132,'30.04.25'!A:F,6,FALSE)</f>
        <v>13</v>
      </c>
      <c r="J132" s="119">
        <f t="shared" si="67"/>
        <v>0</v>
      </c>
      <c r="K132" s="124">
        <f>VLOOKUP(A132,'31.05.25'!A:F,6,FALSE)</f>
        <v>13</v>
      </c>
      <c r="L132" s="119">
        <f t="shared" si="68"/>
        <v>0</v>
      </c>
      <c r="M132" s="119">
        <f>VLOOKUP(A132,'30.06.25'!A:F,6,FALSE)</f>
        <v>13</v>
      </c>
      <c r="N132" s="119">
        <f t="shared" si="69"/>
        <v>0</v>
      </c>
      <c r="O132" s="124">
        <f>VLOOKUP(A132,'31.07.25'!A:F,6,FALSE)</f>
        <v>13</v>
      </c>
      <c r="P132" s="119">
        <f t="shared" si="70"/>
        <v>0</v>
      </c>
      <c r="Q132" s="119">
        <f>VLOOKUP(A132,'31.08.25'!A:F,6,FALSE)</f>
        <v>13</v>
      </c>
      <c r="R132" s="119">
        <f t="shared" si="71"/>
        <v>0</v>
      </c>
      <c r="S132" s="119">
        <f>VLOOKUP(A132,'30.09.25'!A:F,6,FALSE)</f>
        <v>13</v>
      </c>
      <c r="T132" s="119">
        <f t="shared" si="72"/>
        <v>0</v>
      </c>
      <c r="U132" s="119">
        <f>VLOOKUP(A132,'31.10.25'!A:F,6,FALSE)</f>
        <v>13</v>
      </c>
      <c r="V132" s="119">
        <f t="shared" si="73"/>
        <v>0</v>
      </c>
      <c r="W132" s="119">
        <f>VLOOKUP(A132,'30.11.25'!A:F,6,FALSE)</f>
        <v>13</v>
      </c>
      <c r="X132" s="119">
        <f t="shared" si="74"/>
        <v>0</v>
      </c>
      <c r="Y132" s="125">
        <f>VLOOKUP(A132,'31.12.25'!A:B,2,FALSE)</f>
        <v>13</v>
      </c>
      <c r="Z132" s="119">
        <f t="shared" si="75"/>
        <v>0</v>
      </c>
      <c r="AA132" s="119">
        <f t="shared" ref="AA132:AA195" si="76">Y132-B132</f>
        <v>0</v>
      </c>
    </row>
    <row r="133" spans="1:27" x14ac:dyDescent="0.25">
      <c r="A133" s="124" t="s">
        <v>92</v>
      </c>
      <c r="B133" s="124">
        <f>VLOOKUP(A133,'31.12.24'!A:F,6,FALSE)</f>
        <v>5</v>
      </c>
      <c r="C133" s="124">
        <f>VLOOKUP(A133,'31.01.25'!A:F,6,FALSE)</f>
        <v>5</v>
      </c>
      <c r="D133" s="119">
        <f t="shared" si="64"/>
        <v>0</v>
      </c>
      <c r="E133" s="124">
        <f>VLOOKUP(A133,'28.02.25'!A:F,6,FALSE)</f>
        <v>5</v>
      </c>
      <c r="F133" s="119">
        <f t="shared" si="65"/>
        <v>0</v>
      </c>
      <c r="G133" s="124">
        <f>VLOOKUP(A133,'31.03.25'!A:F,6,FALSE)</f>
        <v>5</v>
      </c>
      <c r="H133" s="119">
        <f t="shared" si="66"/>
        <v>0</v>
      </c>
      <c r="I133" s="124">
        <f>VLOOKUP(A133,'30.04.25'!A:F,6,FALSE)</f>
        <v>5</v>
      </c>
      <c r="J133" s="119">
        <f t="shared" si="67"/>
        <v>0</v>
      </c>
      <c r="K133" s="124">
        <f>VLOOKUP(A133,'31.05.25'!A:F,6,FALSE)</f>
        <v>5</v>
      </c>
      <c r="L133" s="119">
        <f t="shared" si="68"/>
        <v>0</v>
      </c>
      <c r="M133" s="119">
        <f>VLOOKUP(A133,'30.06.25'!A:F,6,FALSE)</f>
        <v>5</v>
      </c>
      <c r="N133" s="119">
        <f t="shared" si="69"/>
        <v>0</v>
      </c>
      <c r="O133" s="124">
        <f>VLOOKUP(A133,'31.07.25'!A:F,6,FALSE)</f>
        <v>5</v>
      </c>
      <c r="P133" s="119">
        <f t="shared" si="70"/>
        <v>0</v>
      </c>
      <c r="Q133" s="119">
        <f>VLOOKUP(A133,'31.08.25'!A:F,6,FALSE)</f>
        <v>5</v>
      </c>
      <c r="R133" s="119">
        <f t="shared" si="71"/>
        <v>0</v>
      </c>
      <c r="S133" s="119">
        <f>VLOOKUP(A133,'30.09.25'!A:F,6,FALSE)</f>
        <v>5</v>
      </c>
      <c r="T133" s="119">
        <f t="shared" si="72"/>
        <v>0</v>
      </c>
      <c r="U133" s="119">
        <f>VLOOKUP(A133,'31.10.25'!A:F,6,FALSE)</f>
        <v>5</v>
      </c>
      <c r="V133" s="119">
        <f t="shared" si="73"/>
        <v>0</v>
      </c>
      <c r="W133" s="119">
        <f>VLOOKUP(A133,'30.11.25'!A:F,6,FALSE)</f>
        <v>5</v>
      </c>
      <c r="X133" s="119">
        <f t="shared" si="74"/>
        <v>0</v>
      </c>
      <c r="Y133" s="125">
        <f>VLOOKUP(A133,'31.12.25'!A:B,2,FALSE)</f>
        <v>5</v>
      </c>
      <c r="Z133" s="119">
        <f t="shared" si="75"/>
        <v>0</v>
      </c>
      <c r="AA133" s="119">
        <f t="shared" si="76"/>
        <v>0</v>
      </c>
    </row>
    <row r="134" spans="1:27" x14ac:dyDescent="0.25">
      <c r="A134" s="124" t="s">
        <v>93</v>
      </c>
      <c r="B134" s="124">
        <f>VLOOKUP(A134,'31.12.24'!A:F,6,FALSE)</f>
        <v>62</v>
      </c>
      <c r="C134" s="124">
        <f>VLOOKUP(A134,'31.01.25'!A:F,6,FALSE)</f>
        <v>62</v>
      </c>
      <c r="D134" s="119">
        <f t="shared" si="64"/>
        <v>0</v>
      </c>
      <c r="E134" s="124">
        <f>VLOOKUP(A134,'28.02.25'!A:F,6,FALSE)</f>
        <v>62</v>
      </c>
      <c r="F134" s="119">
        <f t="shared" si="65"/>
        <v>0</v>
      </c>
      <c r="G134" s="124">
        <f>VLOOKUP(A134,'31.03.25'!A:F,6,FALSE)</f>
        <v>62</v>
      </c>
      <c r="H134" s="119">
        <f t="shared" si="66"/>
        <v>0</v>
      </c>
      <c r="I134" s="124">
        <f>VLOOKUP(A134,'30.04.25'!A:F,6,FALSE)</f>
        <v>62</v>
      </c>
      <c r="J134" s="119">
        <f t="shared" si="67"/>
        <v>0</v>
      </c>
      <c r="K134" s="124">
        <f>VLOOKUP(A134,'31.05.25'!A:F,6,FALSE)</f>
        <v>62</v>
      </c>
      <c r="L134" s="119">
        <f t="shared" si="68"/>
        <v>0</v>
      </c>
      <c r="M134" s="119">
        <f>VLOOKUP(A134,'30.06.25'!A:F,6,FALSE)</f>
        <v>62</v>
      </c>
      <c r="N134" s="119">
        <f t="shared" si="69"/>
        <v>0</v>
      </c>
      <c r="O134" s="124">
        <f>VLOOKUP(A134,'31.07.25'!A:F,6,FALSE)</f>
        <v>62</v>
      </c>
      <c r="P134" s="119">
        <f t="shared" si="70"/>
        <v>0</v>
      </c>
      <c r="Q134" s="119">
        <f>VLOOKUP(A134,'31.08.25'!A:F,6,FALSE)</f>
        <v>62</v>
      </c>
      <c r="R134" s="119">
        <f t="shared" si="71"/>
        <v>0</v>
      </c>
      <c r="S134" s="119">
        <f>VLOOKUP(A134,'30.09.25'!A:F,6,FALSE)</f>
        <v>62</v>
      </c>
      <c r="T134" s="119">
        <f t="shared" si="72"/>
        <v>0</v>
      </c>
      <c r="U134" s="119">
        <f>VLOOKUP(A134,'31.10.25'!A:F,6,FALSE)</f>
        <v>62</v>
      </c>
      <c r="V134" s="119">
        <f t="shared" si="73"/>
        <v>0</v>
      </c>
      <c r="W134" s="119">
        <f>VLOOKUP(A134,'30.11.25'!A:F,6,FALSE)</f>
        <v>62</v>
      </c>
      <c r="X134" s="119">
        <f t="shared" si="74"/>
        <v>0</v>
      </c>
      <c r="Y134" s="125">
        <f>VLOOKUP(A134,'31.12.25'!A:B,2,FALSE)</f>
        <v>62</v>
      </c>
      <c r="Z134" s="119">
        <f t="shared" si="75"/>
        <v>0</v>
      </c>
      <c r="AA134" s="119">
        <f t="shared" si="76"/>
        <v>0</v>
      </c>
    </row>
    <row r="135" spans="1:27" x14ac:dyDescent="0.25">
      <c r="A135" s="124" t="s">
        <v>94</v>
      </c>
      <c r="B135" s="124">
        <f>VLOOKUP(A135,'31.12.24'!A:F,6,FALSE)</f>
        <v>6</v>
      </c>
      <c r="C135" s="124">
        <f>VLOOKUP(A135,'31.01.25'!A:F,6,FALSE)</f>
        <v>6</v>
      </c>
      <c r="D135" s="119">
        <f t="shared" si="64"/>
        <v>0</v>
      </c>
      <c r="E135" s="124">
        <f>VLOOKUP(A135,'28.02.25'!A:F,6,FALSE)</f>
        <v>6</v>
      </c>
      <c r="F135" s="119">
        <f t="shared" si="65"/>
        <v>0</v>
      </c>
      <c r="G135" s="124">
        <f>VLOOKUP(A135,'31.03.25'!A:F,6,FALSE)</f>
        <v>6</v>
      </c>
      <c r="H135" s="119">
        <f t="shared" si="66"/>
        <v>0</v>
      </c>
      <c r="I135" s="124">
        <f>VLOOKUP(A135,'30.04.25'!A:F,6,FALSE)</f>
        <v>6</v>
      </c>
      <c r="J135" s="119">
        <f t="shared" si="67"/>
        <v>0</v>
      </c>
      <c r="K135" s="124">
        <f>VLOOKUP(A135,'31.05.25'!A:F,6,FALSE)</f>
        <v>6</v>
      </c>
      <c r="L135" s="119">
        <f t="shared" si="68"/>
        <v>0</v>
      </c>
      <c r="M135" s="119">
        <f>VLOOKUP(A135,'30.06.25'!A:F,6,FALSE)</f>
        <v>6</v>
      </c>
      <c r="N135" s="119">
        <f t="shared" si="69"/>
        <v>0</v>
      </c>
      <c r="O135" s="124">
        <f>VLOOKUP(A135,'31.07.25'!A:F,6,FALSE)</f>
        <v>6</v>
      </c>
      <c r="P135" s="119">
        <f t="shared" si="70"/>
        <v>0</v>
      </c>
      <c r="Q135" s="119">
        <f>VLOOKUP(A135,'31.08.25'!A:F,6,FALSE)</f>
        <v>6</v>
      </c>
      <c r="R135" s="119">
        <f t="shared" si="71"/>
        <v>0</v>
      </c>
      <c r="S135" s="119">
        <f>VLOOKUP(A135,'30.09.25'!A:F,6,FALSE)</f>
        <v>6</v>
      </c>
      <c r="T135" s="119">
        <f t="shared" si="72"/>
        <v>0</v>
      </c>
      <c r="U135" s="119">
        <f>VLOOKUP(A135,'31.10.25'!A:F,6,FALSE)</f>
        <v>6</v>
      </c>
      <c r="V135" s="119">
        <f t="shared" si="73"/>
        <v>0</v>
      </c>
      <c r="W135" s="119">
        <f>VLOOKUP(A135,'30.11.25'!A:F,6,FALSE)</f>
        <v>6</v>
      </c>
      <c r="X135" s="119">
        <f t="shared" si="74"/>
        <v>0</v>
      </c>
      <c r="Y135" s="125">
        <f>VLOOKUP(A135,'31.12.25'!A:B,2,FALSE)</f>
        <v>6</v>
      </c>
      <c r="Z135" s="119">
        <f t="shared" si="75"/>
        <v>0</v>
      </c>
      <c r="AA135" s="119">
        <f t="shared" si="76"/>
        <v>0</v>
      </c>
    </row>
    <row r="136" spans="1:27" x14ac:dyDescent="0.25">
      <c r="A136" s="124" t="s">
        <v>95</v>
      </c>
      <c r="B136" s="124">
        <f>VLOOKUP(A136,'31.12.24'!A:F,6,FALSE)</f>
        <v>8</v>
      </c>
      <c r="C136" s="124">
        <f>VLOOKUP(A136,'31.01.25'!A:F,6,FALSE)</f>
        <v>8</v>
      </c>
      <c r="D136" s="119">
        <f t="shared" si="64"/>
        <v>0</v>
      </c>
      <c r="E136" s="124">
        <f>VLOOKUP(A136,'28.02.25'!A:F,6,FALSE)</f>
        <v>8</v>
      </c>
      <c r="F136" s="119">
        <f t="shared" si="65"/>
        <v>0</v>
      </c>
      <c r="G136" s="124">
        <f>VLOOKUP(A136,'31.03.25'!A:F,6,FALSE)</f>
        <v>8</v>
      </c>
      <c r="H136" s="119">
        <f t="shared" si="66"/>
        <v>0</v>
      </c>
      <c r="I136" s="124">
        <f>VLOOKUP(A136,'30.04.25'!A:F,6,FALSE)</f>
        <v>8</v>
      </c>
      <c r="J136" s="119">
        <f t="shared" si="67"/>
        <v>0</v>
      </c>
      <c r="K136" s="124">
        <f>VLOOKUP(A136,'31.05.25'!A:F,6,FALSE)</f>
        <v>8</v>
      </c>
      <c r="L136" s="119">
        <f t="shared" si="68"/>
        <v>0</v>
      </c>
      <c r="M136" s="119">
        <f>VLOOKUP(A136,'30.06.25'!A:F,6,FALSE)</f>
        <v>8</v>
      </c>
      <c r="N136" s="119">
        <f t="shared" si="69"/>
        <v>0</v>
      </c>
      <c r="O136" s="124">
        <f>VLOOKUP(A136,'31.07.25'!A:F,6,FALSE)</f>
        <v>8</v>
      </c>
      <c r="P136" s="119">
        <f t="shared" si="70"/>
        <v>0</v>
      </c>
      <c r="Q136" s="119">
        <f>VLOOKUP(A136,'31.08.25'!A:F,6,FALSE)</f>
        <v>8</v>
      </c>
      <c r="R136" s="119">
        <f t="shared" si="71"/>
        <v>0</v>
      </c>
      <c r="S136" s="119">
        <f>VLOOKUP(A136,'30.09.25'!A:F,6,FALSE)</f>
        <v>8</v>
      </c>
      <c r="T136" s="119">
        <f t="shared" si="72"/>
        <v>0</v>
      </c>
      <c r="U136" s="119">
        <f>VLOOKUP(A136,'31.10.25'!A:F,6,FALSE)</f>
        <v>8</v>
      </c>
      <c r="V136" s="119">
        <f t="shared" si="73"/>
        <v>0</v>
      </c>
      <c r="W136" s="119">
        <f>VLOOKUP(A136,'30.11.25'!A:F,6,FALSE)</f>
        <v>8</v>
      </c>
      <c r="X136" s="119">
        <f t="shared" si="74"/>
        <v>0</v>
      </c>
      <c r="Y136" s="125">
        <f>VLOOKUP(A136,'31.12.25'!A:B,2,FALSE)</f>
        <v>8</v>
      </c>
      <c r="Z136" s="119">
        <f t="shared" si="75"/>
        <v>0</v>
      </c>
      <c r="AA136" s="119">
        <f t="shared" si="76"/>
        <v>0</v>
      </c>
    </row>
    <row r="137" spans="1:27" x14ac:dyDescent="0.25">
      <c r="A137" s="124" t="s">
        <v>96</v>
      </c>
      <c r="B137" s="124">
        <f>VLOOKUP(A137,'31.12.24'!A:F,6,FALSE)</f>
        <v>4</v>
      </c>
      <c r="C137" s="124">
        <f>VLOOKUP(A137,'31.01.25'!A:F,6,FALSE)</f>
        <v>4</v>
      </c>
      <c r="D137" s="119">
        <f t="shared" si="64"/>
        <v>0</v>
      </c>
      <c r="E137" s="124">
        <f>VLOOKUP(A137,'28.02.25'!A:F,6,FALSE)</f>
        <v>4</v>
      </c>
      <c r="F137" s="119">
        <f t="shared" si="65"/>
        <v>0</v>
      </c>
      <c r="G137" s="124">
        <f>VLOOKUP(A137,'31.03.25'!A:F,6,FALSE)</f>
        <v>4</v>
      </c>
      <c r="H137" s="119">
        <f t="shared" si="66"/>
        <v>0</v>
      </c>
      <c r="I137" s="124">
        <f>VLOOKUP(A137,'30.04.25'!A:F,6,FALSE)</f>
        <v>4</v>
      </c>
      <c r="J137" s="119">
        <f t="shared" si="67"/>
        <v>0</v>
      </c>
      <c r="K137" s="124">
        <f>VLOOKUP(A137,'31.05.25'!A:F,6,FALSE)</f>
        <v>4</v>
      </c>
      <c r="L137" s="119">
        <f t="shared" si="68"/>
        <v>0</v>
      </c>
      <c r="M137" s="119">
        <f>VLOOKUP(A137,'30.06.25'!A:F,6,FALSE)</f>
        <v>4</v>
      </c>
      <c r="N137" s="119">
        <f t="shared" si="69"/>
        <v>0</v>
      </c>
      <c r="O137" s="124">
        <f>VLOOKUP(A137,'31.07.25'!A:F,6,FALSE)</f>
        <v>4</v>
      </c>
      <c r="P137" s="119">
        <f t="shared" si="70"/>
        <v>0</v>
      </c>
      <c r="Q137" s="119">
        <f>VLOOKUP(A137,'31.08.25'!A:F,6,FALSE)</f>
        <v>4</v>
      </c>
      <c r="R137" s="119">
        <f t="shared" si="71"/>
        <v>0</v>
      </c>
      <c r="S137" s="119">
        <f>VLOOKUP(A137,'30.09.25'!A:F,6,FALSE)</f>
        <v>4</v>
      </c>
      <c r="T137" s="119">
        <f t="shared" si="72"/>
        <v>0</v>
      </c>
      <c r="U137" s="119">
        <f>VLOOKUP(A137,'31.10.25'!A:F,6,FALSE)</f>
        <v>4</v>
      </c>
      <c r="V137" s="119">
        <f t="shared" si="73"/>
        <v>0</v>
      </c>
      <c r="W137" s="119">
        <f>VLOOKUP(A137,'30.11.25'!A:F,6,FALSE)</f>
        <v>4</v>
      </c>
      <c r="X137" s="119">
        <f t="shared" si="74"/>
        <v>0</v>
      </c>
      <c r="Y137" s="125">
        <f>VLOOKUP(A137,'31.12.25'!A:B,2,FALSE)</f>
        <v>4</v>
      </c>
      <c r="Z137" s="119">
        <f t="shared" si="75"/>
        <v>0</v>
      </c>
      <c r="AA137" s="119">
        <f t="shared" si="76"/>
        <v>0</v>
      </c>
    </row>
    <row r="138" spans="1:27" x14ac:dyDescent="0.25">
      <c r="A138" s="124" t="s">
        <v>97</v>
      </c>
      <c r="B138" s="124">
        <f>VLOOKUP(A138,'31.12.24'!A:F,6,FALSE)</f>
        <v>2</v>
      </c>
      <c r="C138" s="124">
        <f>VLOOKUP(A138,'31.01.25'!A:F,6,FALSE)</f>
        <v>2</v>
      </c>
      <c r="D138" s="119">
        <f t="shared" si="64"/>
        <v>0</v>
      </c>
      <c r="E138" s="124">
        <f>VLOOKUP(A138,'28.02.25'!A:F,6,FALSE)</f>
        <v>2</v>
      </c>
      <c r="F138" s="119">
        <f t="shared" si="65"/>
        <v>0</v>
      </c>
      <c r="G138" s="124">
        <f>VLOOKUP(A138,'31.03.25'!A:F,6,FALSE)</f>
        <v>2</v>
      </c>
      <c r="H138" s="119">
        <f t="shared" si="66"/>
        <v>0</v>
      </c>
      <c r="I138" s="124">
        <f>VLOOKUP(A138,'30.04.25'!A:F,6,FALSE)</f>
        <v>2</v>
      </c>
      <c r="J138" s="119">
        <f t="shared" si="67"/>
        <v>0</v>
      </c>
      <c r="K138" s="124">
        <f>VLOOKUP(A138,'31.05.25'!A:F,6,FALSE)</f>
        <v>2</v>
      </c>
      <c r="L138" s="119">
        <f t="shared" si="68"/>
        <v>0</v>
      </c>
      <c r="M138" s="119">
        <f>VLOOKUP(A138,'30.06.25'!A:F,6,FALSE)</f>
        <v>2</v>
      </c>
      <c r="N138" s="119">
        <f t="shared" si="69"/>
        <v>0</v>
      </c>
      <c r="O138" s="124">
        <f>VLOOKUP(A138,'31.07.25'!A:F,6,FALSE)</f>
        <v>2</v>
      </c>
      <c r="P138" s="119">
        <f t="shared" si="70"/>
        <v>0</v>
      </c>
      <c r="Q138" s="119">
        <f>VLOOKUP(A138,'31.08.25'!A:F,6,FALSE)</f>
        <v>2</v>
      </c>
      <c r="R138" s="119">
        <f t="shared" si="71"/>
        <v>0</v>
      </c>
      <c r="S138" s="119">
        <f>VLOOKUP(A138,'30.09.25'!A:F,6,FALSE)</f>
        <v>2</v>
      </c>
      <c r="T138" s="119">
        <f t="shared" si="72"/>
        <v>0</v>
      </c>
      <c r="U138" s="119">
        <f>VLOOKUP(A138,'31.10.25'!A:F,6,FALSE)</f>
        <v>2</v>
      </c>
      <c r="V138" s="119">
        <f t="shared" si="73"/>
        <v>0</v>
      </c>
      <c r="W138" s="119">
        <f>VLOOKUP(A138,'30.11.25'!A:F,6,FALSE)</f>
        <v>2</v>
      </c>
      <c r="X138" s="119">
        <f t="shared" si="74"/>
        <v>0</v>
      </c>
      <c r="Y138" s="125">
        <f>VLOOKUP(A138,'31.12.25'!A:B,2,FALSE)</f>
        <v>2</v>
      </c>
      <c r="Z138" s="119">
        <f t="shared" si="75"/>
        <v>0</v>
      </c>
      <c r="AA138" s="119">
        <f t="shared" si="76"/>
        <v>0</v>
      </c>
    </row>
    <row r="139" spans="1:27" x14ac:dyDescent="0.25">
      <c r="A139" s="124" t="s">
        <v>204</v>
      </c>
      <c r="B139" s="124">
        <f>VLOOKUP(A139,'31.12.24'!A:F,6,FALSE)</f>
        <v>3</v>
      </c>
      <c r="C139" s="124">
        <f>VLOOKUP(A139,'31.01.25'!A:F,6,FALSE)</f>
        <v>3</v>
      </c>
      <c r="D139" s="119">
        <f t="shared" si="64"/>
        <v>0</v>
      </c>
      <c r="E139" s="124">
        <f>VLOOKUP(A139,'28.02.25'!A:F,6,FALSE)</f>
        <v>3</v>
      </c>
      <c r="F139" s="119">
        <f t="shared" si="65"/>
        <v>0</v>
      </c>
      <c r="G139" s="124">
        <f>VLOOKUP(A139,'31.03.25'!A:F,6,FALSE)</f>
        <v>3</v>
      </c>
      <c r="H139" s="119">
        <f t="shared" si="66"/>
        <v>0</v>
      </c>
      <c r="I139" s="124">
        <f>VLOOKUP(A139,'30.04.25'!A:F,6,FALSE)</f>
        <v>3</v>
      </c>
      <c r="J139" s="119">
        <f t="shared" si="67"/>
        <v>0</v>
      </c>
      <c r="K139" s="124">
        <f>VLOOKUP(A139,'31.05.25'!A:F,6,FALSE)</f>
        <v>3</v>
      </c>
      <c r="L139" s="119">
        <f t="shared" si="68"/>
        <v>0</v>
      </c>
      <c r="M139" s="119">
        <f>VLOOKUP(A139,'30.06.25'!A:F,6,FALSE)</f>
        <v>3</v>
      </c>
      <c r="N139" s="119">
        <f t="shared" si="69"/>
        <v>0</v>
      </c>
      <c r="O139" s="124">
        <f>VLOOKUP(A139,'31.07.25'!A:F,6,FALSE)</f>
        <v>3</v>
      </c>
      <c r="P139" s="119">
        <f t="shared" si="70"/>
        <v>0</v>
      </c>
      <c r="Q139" s="119">
        <f>VLOOKUP(A139,'31.08.25'!A:F,6,FALSE)</f>
        <v>3</v>
      </c>
      <c r="R139" s="119">
        <f t="shared" si="71"/>
        <v>0</v>
      </c>
      <c r="S139" s="119">
        <f>VLOOKUP(A139,'30.09.25'!A:F,6,FALSE)</f>
        <v>3</v>
      </c>
      <c r="T139" s="119">
        <f t="shared" si="72"/>
        <v>0</v>
      </c>
      <c r="U139" s="119">
        <f>VLOOKUP(A139,'31.10.25'!A:F,6,FALSE)</f>
        <v>3</v>
      </c>
      <c r="V139" s="119">
        <f t="shared" si="73"/>
        <v>0</v>
      </c>
      <c r="W139" s="119">
        <f>VLOOKUP(A139,'30.11.25'!A:F,6,FALSE)</f>
        <v>3</v>
      </c>
      <c r="X139" s="119">
        <f t="shared" si="74"/>
        <v>0</v>
      </c>
      <c r="Y139" s="125">
        <f>VLOOKUP(A139,'31.12.25'!A:B,2,FALSE)</f>
        <v>3</v>
      </c>
      <c r="Z139" s="119">
        <f t="shared" si="75"/>
        <v>0</v>
      </c>
      <c r="AA139" s="119">
        <f t="shared" si="76"/>
        <v>0</v>
      </c>
    </row>
    <row r="140" spans="1:27" x14ac:dyDescent="0.25">
      <c r="A140" s="124" t="s">
        <v>205</v>
      </c>
      <c r="B140" s="124">
        <f>VLOOKUP(A140,'31.12.24'!A:F,6,FALSE)</f>
        <v>1</v>
      </c>
      <c r="C140" s="124">
        <f>VLOOKUP(A140,'31.01.25'!A:F,6,FALSE)</f>
        <v>1</v>
      </c>
      <c r="D140" s="119">
        <f t="shared" si="64"/>
        <v>0</v>
      </c>
      <c r="E140" s="124">
        <f>VLOOKUP(A140,'28.02.25'!A:F,6,FALSE)</f>
        <v>1</v>
      </c>
      <c r="F140" s="119">
        <f t="shared" si="65"/>
        <v>0</v>
      </c>
      <c r="G140" s="124">
        <f>VLOOKUP(A140,'31.03.25'!A:F,6,FALSE)</f>
        <v>1</v>
      </c>
      <c r="H140" s="119">
        <f t="shared" si="66"/>
        <v>0</v>
      </c>
      <c r="I140" s="124">
        <f>VLOOKUP(A140,'30.04.25'!A:F,6,FALSE)</f>
        <v>1</v>
      </c>
      <c r="J140" s="119">
        <f t="shared" si="67"/>
        <v>0</v>
      </c>
      <c r="K140" s="124">
        <f>VLOOKUP(A140,'31.05.25'!A:F,6,FALSE)</f>
        <v>1</v>
      </c>
      <c r="L140" s="119">
        <f t="shared" si="68"/>
        <v>0</v>
      </c>
      <c r="M140" s="119">
        <f>VLOOKUP(A140,'30.06.25'!A:F,6,FALSE)</f>
        <v>1</v>
      </c>
      <c r="N140" s="119">
        <f t="shared" si="69"/>
        <v>0</v>
      </c>
      <c r="O140" s="124">
        <f>VLOOKUP(A140,'31.07.25'!A:F,6,FALSE)</f>
        <v>1</v>
      </c>
      <c r="P140" s="119">
        <f t="shared" si="70"/>
        <v>0</v>
      </c>
      <c r="Q140" s="119">
        <f>VLOOKUP(A140,'31.08.25'!A:F,6,FALSE)</f>
        <v>1</v>
      </c>
      <c r="R140" s="119">
        <f t="shared" si="71"/>
        <v>0</v>
      </c>
      <c r="S140" s="119">
        <f>VLOOKUP(A140,'30.09.25'!A:F,6,FALSE)</f>
        <v>1</v>
      </c>
      <c r="T140" s="119">
        <f t="shared" si="72"/>
        <v>0</v>
      </c>
      <c r="U140" s="119">
        <f>VLOOKUP(A140,'31.10.25'!A:F,6,FALSE)</f>
        <v>1</v>
      </c>
      <c r="V140" s="119">
        <f t="shared" si="73"/>
        <v>0</v>
      </c>
      <c r="W140" s="119">
        <f>VLOOKUP(A140,'30.11.25'!A:F,6,FALSE)</f>
        <v>1</v>
      </c>
      <c r="X140" s="119">
        <f t="shared" si="74"/>
        <v>0</v>
      </c>
      <c r="Y140" s="125">
        <f>VLOOKUP(A140,'31.12.25'!A:B,2,FALSE)</f>
        <v>1</v>
      </c>
      <c r="Z140" s="119">
        <f t="shared" si="75"/>
        <v>0</v>
      </c>
      <c r="AA140" s="119">
        <f t="shared" si="76"/>
        <v>0</v>
      </c>
    </row>
    <row r="141" spans="1:27" ht="15" customHeight="1" x14ac:dyDescent="0.25">
      <c r="A141" s="124" t="s">
        <v>206</v>
      </c>
      <c r="B141" s="124">
        <f>VLOOKUP(A141,'31.12.24'!A:F,6,FALSE)</f>
        <v>1</v>
      </c>
      <c r="C141" s="124">
        <f>VLOOKUP(A141,'31.01.25'!A:F,6,FALSE)</f>
        <v>1</v>
      </c>
      <c r="D141" s="119">
        <f t="shared" ref="D141" si="77">C141-B141</f>
        <v>0</v>
      </c>
      <c r="E141" s="124">
        <f>VLOOKUP(A141,'28.02.25'!A:F,6,FALSE)</f>
        <v>1</v>
      </c>
      <c r="F141" s="119">
        <f t="shared" ref="F141" si="78">E141-C141</f>
        <v>0</v>
      </c>
      <c r="G141" s="124">
        <f>VLOOKUP(A141,'31.03.25'!A:F,6,FALSE)</f>
        <v>1</v>
      </c>
      <c r="H141" s="119">
        <f t="shared" ref="H141" si="79">G141-E141</f>
        <v>0</v>
      </c>
      <c r="I141" s="124">
        <f>VLOOKUP(A141,'30.04.25'!A:F,6,FALSE)</f>
        <v>1</v>
      </c>
      <c r="J141" s="119">
        <f t="shared" ref="J141" si="80">I141-G141</f>
        <v>0</v>
      </c>
      <c r="K141" s="124">
        <f>VLOOKUP(A141,'31.05.25'!A:F,6,FALSE)</f>
        <v>1</v>
      </c>
      <c r="L141" s="119">
        <f t="shared" ref="L141" si="81">K141-I141</f>
        <v>0</v>
      </c>
      <c r="M141" s="119">
        <f>VLOOKUP(A141,'30.06.25'!A:F,6,FALSE)</f>
        <v>1</v>
      </c>
      <c r="N141" s="119">
        <f t="shared" ref="N141" si="82">M141-K141</f>
        <v>0</v>
      </c>
      <c r="O141" s="124">
        <f>VLOOKUP(A141,'31.07.25'!A:F,6,FALSE)</f>
        <v>1</v>
      </c>
      <c r="P141" s="119">
        <f t="shared" ref="P141" si="83">O141-M141</f>
        <v>0</v>
      </c>
      <c r="Q141" s="119">
        <f>VLOOKUP(A141,'31.08.25'!A:F,6,FALSE)</f>
        <v>1</v>
      </c>
      <c r="R141" s="119">
        <f t="shared" ref="R141" si="84">Q141-O141</f>
        <v>0</v>
      </c>
      <c r="S141" s="119">
        <f>VLOOKUP(A141,'30.09.25'!A:F,6,FALSE)</f>
        <v>1</v>
      </c>
      <c r="T141" s="119">
        <f t="shared" ref="T141" si="85">S141-Q141</f>
        <v>0</v>
      </c>
      <c r="U141" s="119">
        <f>VLOOKUP(A141,'31.10.25'!A:F,6,FALSE)</f>
        <v>1</v>
      </c>
      <c r="V141" s="119">
        <f t="shared" ref="V141" si="86">U141-S141</f>
        <v>0</v>
      </c>
      <c r="W141" s="119">
        <f>VLOOKUP(A141,'30.11.25'!A:F,6,FALSE)</f>
        <v>1</v>
      </c>
      <c r="X141" s="119">
        <f t="shared" ref="X141:Z141" si="87">W141-U141</f>
        <v>0</v>
      </c>
      <c r="Y141" s="125">
        <f>VLOOKUP(A141,'31.12.25'!A:B,2,FALSE)</f>
        <v>1</v>
      </c>
      <c r="Z141" s="119">
        <f t="shared" si="87"/>
        <v>0</v>
      </c>
      <c r="AA141" s="119">
        <f t="shared" si="76"/>
        <v>0</v>
      </c>
    </row>
    <row r="142" spans="1:27" x14ac:dyDescent="0.25">
      <c r="A142" s="124" t="s">
        <v>137</v>
      </c>
      <c r="B142" s="124"/>
      <c r="C142" s="124"/>
      <c r="D142" s="119">
        <f t="shared" ref="D142:D171" si="88">C142-B142</f>
        <v>0</v>
      </c>
      <c r="E142" s="124"/>
      <c r="F142" s="119">
        <f t="shared" ref="F142:F171" si="89">E142-C142</f>
        <v>0</v>
      </c>
      <c r="G142" s="124"/>
      <c r="H142" s="119">
        <f t="shared" ref="H142:H171" si="90">G142-E142</f>
        <v>0</v>
      </c>
      <c r="I142" s="124"/>
      <c r="J142" s="119">
        <f t="shared" ref="J142:J171" si="91">I142-G142</f>
        <v>0</v>
      </c>
      <c r="K142" s="124"/>
      <c r="L142" s="119">
        <f t="shared" ref="L142:L171" si="92">K142-I142</f>
        <v>0</v>
      </c>
      <c r="M142" s="119"/>
      <c r="N142" s="119">
        <f t="shared" ref="N142:N171" si="93">M142-K142</f>
        <v>0</v>
      </c>
      <c r="O142" s="124"/>
      <c r="P142" s="119">
        <f t="shared" ref="P142:P171" si="94">O142-M142</f>
        <v>0</v>
      </c>
      <c r="Q142" s="119"/>
      <c r="R142" s="119">
        <f t="shared" ref="R142:R171" si="95">Q142-O142</f>
        <v>0</v>
      </c>
      <c r="S142" s="119"/>
      <c r="T142" s="119">
        <f t="shared" ref="T142:T171" si="96">S142-Q142</f>
        <v>0</v>
      </c>
      <c r="U142" s="119">
        <f>VLOOKUP(A142,'31.10.25'!A:F,6,FALSE)</f>
        <v>3</v>
      </c>
      <c r="V142" s="119">
        <f t="shared" ref="V142:V171" si="97">U142-S142</f>
        <v>3</v>
      </c>
      <c r="W142" s="119">
        <f>VLOOKUP(A142,'30.11.25'!A:F,6,FALSE)</f>
        <v>3</v>
      </c>
      <c r="X142" s="119">
        <f t="shared" ref="X142:X171" si="98">W142-U142</f>
        <v>0</v>
      </c>
      <c r="Y142" s="125">
        <f>VLOOKUP(A142,'31.12.25'!A:B,2,FALSE)</f>
        <v>3</v>
      </c>
      <c r="Z142" s="119">
        <f t="shared" ref="Z142:Z171" si="99">Y142-W142</f>
        <v>0</v>
      </c>
      <c r="AA142" s="119">
        <f t="shared" si="76"/>
        <v>3</v>
      </c>
    </row>
    <row r="143" spans="1:27" x14ac:dyDescent="0.25">
      <c r="A143" s="124" t="s">
        <v>138</v>
      </c>
      <c r="B143" s="124"/>
      <c r="C143" s="124"/>
      <c r="D143" s="119">
        <f t="shared" si="88"/>
        <v>0</v>
      </c>
      <c r="E143" s="124"/>
      <c r="F143" s="119">
        <f t="shared" si="89"/>
        <v>0</v>
      </c>
      <c r="G143" s="124"/>
      <c r="H143" s="119">
        <f t="shared" si="90"/>
        <v>0</v>
      </c>
      <c r="I143" s="124"/>
      <c r="J143" s="119">
        <f t="shared" si="91"/>
        <v>0</v>
      </c>
      <c r="K143" s="124"/>
      <c r="L143" s="119">
        <f t="shared" si="92"/>
        <v>0</v>
      </c>
      <c r="M143" s="119"/>
      <c r="N143" s="119">
        <f t="shared" si="93"/>
        <v>0</v>
      </c>
      <c r="O143" s="124"/>
      <c r="P143" s="119">
        <f t="shared" si="94"/>
        <v>0</v>
      </c>
      <c r="Q143" s="119"/>
      <c r="R143" s="119">
        <f t="shared" si="95"/>
        <v>0</v>
      </c>
      <c r="S143" s="119"/>
      <c r="T143" s="119">
        <f t="shared" si="96"/>
        <v>0</v>
      </c>
      <c r="U143" s="119">
        <f>VLOOKUP(A143,'31.10.25'!A:F,6,FALSE)</f>
        <v>2</v>
      </c>
      <c r="V143" s="119">
        <f t="shared" si="97"/>
        <v>2</v>
      </c>
      <c r="W143" s="119">
        <f>VLOOKUP(A143,'30.11.25'!A:F,6,FALSE)</f>
        <v>2</v>
      </c>
      <c r="X143" s="119">
        <f t="shared" si="98"/>
        <v>0</v>
      </c>
      <c r="Y143" s="125">
        <v>0</v>
      </c>
      <c r="Z143" s="119">
        <f t="shared" si="99"/>
        <v>-2</v>
      </c>
      <c r="AA143" s="119">
        <f t="shared" si="76"/>
        <v>0</v>
      </c>
    </row>
    <row r="144" spans="1:27" x14ac:dyDescent="0.25">
      <c r="A144" s="124" t="s">
        <v>124</v>
      </c>
      <c r="B144" s="124"/>
      <c r="C144" s="124"/>
      <c r="D144" s="119">
        <f t="shared" si="88"/>
        <v>0</v>
      </c>
      <c r="E144" s="124"/>
      <c r="F144" s="119">
        <f t="shared" si="89"/>
        <v>0</v>
      </c>
      <c r="G144" s="124"/>
      <c r="H144" s="119">
        <f t="shared" si="90"/>
        <v>0</v>
      </c>
      <c r="I144" s="124"/>
      <c r="J144" s="119">
        <f t="shared" si="91"/>
        <v>0</v>
      </c>
      <c r="K144" s="124"/>
      <c r="L144" s="119">
        <f t="shared" si="92"/>
        <v>0</v>
      </c>
      <c r="M144" s="119"/>
      <c r="N144" s="119">
        <f t="shared" si="93"/>
        <v>0</v>
      </c>
      <c r="O144" s="124"/>
      <c r="P144" s="119">
        <f t="shared" si="94"/>
        <v>0</v>
      </c>
      <c r="Q144" s="119"/>
      <c r="R144" s="119">
        <f t="shared" si="95"/>
        <v>0</v>
      </c>
      <c r="S144" s="119">
        <f>VLOOKUP(A144,'30.09.25'!A:F,6,FALSE)</f>
        <v>5</v>
      </c>
      <c r="T144" s="119">
        <f t="shared" si="96"/>
        <v>5</v>
      </c>
      <c r="U144" s="119">
        <f>VLOOKUP(A144,'31.10.25'!A:F,6,FALSE)</f>
        <v>14</v>
      </c>
      <c r="V144" s="119">
        <f t="shared" si="97"/>
        <v>9</v>
      </c>
      <c r="W144" s="119">
        <f>VLOOKUP(A144,'30.11.25'!A:F,6,FALSE)</f>
        <v>22</v>
      </c>
      <c r="X144" s="119">
        <f t="shared" si="98"/>
        <v>8</v>
      </c>
      <c r="Y144" s="125">
        <f>VLOOKUP(A144,'31.12.25'!A:B,2,FALSE)</f>
        <v>24</v>
      </c>
      <c r="Z144" s="119">
        <f t="shared" si="99"/>
        <v>2</v>
      </c>
      <c r="AA144" s="119">
        <f t="shared" si="76"/>
        <v>24</v>
      </c>
    </row>
    <row r="145" spans="1:27" x14ac:dyDescent="0.25">
      <c r="A145" s="124" t="s">
        <v>139</v>
      </c>
      <c r="B145" s="124"/>
      <c r="C145" s="124"/>
      <c r="D145" s="119">
        <f t="shared" si="88"/>
        <v>0</v>
      </c>
      <c r="E145" s="124"/>
      <c r="F145" s="119">
        <f t="shared" si="89"/>
        <v>0</v>
      </c>
      <c r="G145" s="124"/>
      <c r="H145" s="119">
        <f t="shared" si="90"/>
        <v>0</v>
      </c>
      <c r="I145" s="124"/>
      <c r="J145" s="119">
        <f t="shared" si="91"/>
        <v>0</v>
      </c>
      <c r="K145" s="124"/>
      <c r="L145" s="119">
        <f t="shared" si="92"/>
        <v>0</v>
      </c>
      <c r="M145" s="119"/>
      <c r="N145" s="119">
        <f t="shared" si="93"/>
        <v>0</v>
      </c>
      <c r="O145" s="124"/>
      <c r="P145" s="119">
        <f t="shared" si="94"/>
        <v>0</v>
      </c>
      <c r="Q145" s="119"/>
      <c r="R145" s="119">
        <f t="shared" si="95"/>
        <v>0</v>
      </c>
      <c r="S145" s="119"/>
      <c r="T145" s="119">
        <f t="shared" si="96"/>
        <v>0</v>
      </c>
      <c r="U145" s="119">
        <f>VLOOKUP(A145,'31.10.25'!A:F,6,FALSE)</f>
        <v>8</v>
      </c>
      <c r="V145" s="119">
        <f t="shared" si="97"/>
        <v>8</v>
      </c>
      <c r="W145" s="119">
        <f>VLOOKUP(A145,'30.11.25'!A:F,6,FALSE)</f>
        <v>8</v>
      </c>
      <c r="X145" s="119">
        <f t="shared" si="98"/>
        <v>0</v>
      </c>
      <c r="Y145" s="125">
        <f>VLOOKUP(A145,'31.12.25'!A:B,2,FALSE)</f>
        <v>8</v>
      </c>
      <c r="Z145" s="119">
        <f t="shared" si="99"/>
        <v>0</v>
      </c>
      <c r="AA145" s="119">
        <f t="shared" si="76"/>
        <v>8</v>
      </c>
    </row>
    <row r="146" spans="1:27" x14ac:dyDescent="0.25">
      <c r="A146" s="124" t="s">
        <v>140</v>
      </c>
      <c r="B146" s="124"/>
      <c r="C146" s="124"/>
      <c r="D146" s="119">
        <f t="shared" si="88"/>
        <v>0</v>
      </c>
      <c r="E146" s="124"/>
      <c r="F146" s="119">
        <f t="shared" si="89"/>
        <v>0</v>
      </c>
      <c r="G146" s="124"/>
      <c r="H146" s="119">
        <f t="shared" si="90"/>
        <v>0</v>
      </c>
      <c r="I146" s="124"/>
      <c r="J146" s="119">
        <f t="shared" si="91"/>
        <v>0</v>
      </c>
      <c r="K146" s="124"/>
      <c r="L146" s="119">
        <f t="shared" si="92"/>
        <v>0</v>
      </c>
      <c r="M146" s="119"/>
      <c r="N146" s="119">
        <f t="shared" si="93"/>
        <v>0</v>
      </c>
      <c r="O146" s="124"/>
      <c r="P146" s="119">
        <f t="shared" si="94"/>
        <v>0</v>
      </c>
      <c r="Q146" s="119"/>
      <c r="R146" s="119">
        <f t="shared" si="95"/>
        <v>0</v>
      </c>
      <c r="S146" s="119"/>
      <c r="T146" s="119">
        <f t="shared" si="96"/>
        <v>0</v>
      </c>
      <c r="U146" s="119">
        <f>VLOOKUP(A146,'31.10.25'!A:F,6,FALSE)</f>
        <v>10</v>
      </c>
      <c r="V146" s="119">
        <f t="shared" si="97"/>
        <v>10</v>
      </c>
      <c r="W146" s="119">
        <f>VLOOKUP(A146,'30.11.25'!A:F,6,FALSE)</f>
        <v>18</v>
      </c>
      <c r="X146" s="119">
        <f t="shared" si="98"/>
        <v>8</v>
      </c>
      <c r="Y146" s="125">
        <f>VLOOKUP(A146,'31.12.25'!A:B,2,FALSE)</f>
        <v>18</v>
      </c>
      <c r="Z146" s="119">
        <f t="shared" si="99"/>
        <v>0</v>
      </c>
      <c r="AA146" s="119">
        <f t="shared" si="76"/>
        <v>18</v>
      </c>
    </row>
    <row r="147" spans="1:27" x14ac:dyDescent="0.25">
      <c r="A147" s="124" t="s">
        <v>141</v>
      </c>
      <c r="B147" s="124"/>
      <c r="C147" s="124"/>
      <c r="D147" s="119">
        <f t="shared" si="88"/>
        <v>0</v>
      </c>
      <c r="E147" s="124"/>
      <c r="F147" s="119">
        <f t="shared" si="89"/>
        <v>0</v>
      </c>
      <c r="G147" s="124"/>
      <c r="H147" s="119">
        <f t="shared" si="90"/>
        <v>0</v>
      </c>
      <c r="I147" s="124"/>
      <c r="J147" s="119">
        <f t="shared" si="91"/>
        <v>0</v>
      </c>
      <c r="K147" s="124"/>
      <c r="L147" s="119">
        <f t="shared" si="92"/>
        <v>0</v>
      </c>
      <c r="M147" s="119"/>
      <c r="N147" s="119">
        <f t="shared" si="93"/>
        <v>0</v>
      </c>
      <c r="O147" s="124"/>
      <c r="P147" s="119">
        <f t="shared" si="94"/>
        <v>0</v>
      </c>
      <c r="Q147" s="119"/>
      <c r="R147" s="119">
        <f t="shared" si="95"/>
        <v>0</v>
      </c>
      <c r="S147" s="119"/>
      <c r="T147" s="119">
        <f t="shared" si="96"/>
        <v>0</v>
      </c>
      <c r="U147" s="119">
        <f>VLOOKUP(A147,'31.10.25'!A:F,6,FALSE)</f>
        <v>4</v>
      </c>
      <c r="V147" s="119">
        <f t="shared" si="97"/>
        <v>4</v>
      </c>
      <c r="W147" s="119">
        <f>VLOOKUP(A147,'30.11.25'!A:F,6,FALSE)</f>
        <v>4</v>
      </c>
      <c r="X147" s="119">
        <f t="shared" si="98"/>
        <v>0</v>
      </c>
      <c r="Y147" s="125">
        <f>VLOOKUP(A147,'31.12.25'!A:B,2,FALSE)</f>
        <v>4</v>
      </c>
      <c r="Z147" s="119">
        <f t="shared" si="99"/>
        <v>0</v>
      </c>
      <c r="AA147" s="119">
        <f t="shared" si="76"/>
        <v>4</v>
      </c>
    </row>
    <row r="148" spans="1:27" x14ac:dyDescent="0.25">
      <c r="A148" s="124" t="s">
        <v>142</v>
      </c>
      <c r="B148" s="124"/>
      <c r="C148" s="124"/>
      <c r="D148" s="119">
        <f t="shared" si="88"/>
        <v>0</v>
      </c>
      <c r="E148" s="124"/>
      <c r="F148" s="119">
        <f t="shared" si="89"/>
        <v>0</v>
      </c>
      <c r="G148" s="124"/>
      <c r="H148" s="119">
        <f t="shared" si="90"/>
        <v>0</v>
      </c>
      <c r="I148" s="124"/>
      <c r="J148" s="119">
        <f t="shared" si="91"/>
        <v>0</v>
      </c>
      <c r="K148" s="124"/>
      <c r="L148" s="119">
        <f t="shared" si="92"/>
        <v>0</v>
      </c>
      <c r="M148" s="119"/>
      <c r="N148" s="119">
        <f t="shared" si="93"/>
        <v>0</v>
      </c>
      <c r="O148" s="124"/>
      <c r="P148" s="119">
        <f t="shared" si="94"/>
        <v>0</v>
      </c>
      <c r="Q148" s="119"/>
      <c r="R148" s="119">
        <f t="shared" si="95"/>
        <v>0</v>
      </c>
      <c r="S148" s="119"/>
      <c r="T148" s="119">
        <f t="shared" si="96"/>
        <v>0</v>
      </c>
      <c r="U148" s="119">
        <f>VLOOKUP(A148,'31.10.25'!A:F,6,FALSE)</f>
        <v>12</v>
      </c>
      <c r="V148" s="119">
        <f t="shared" si="97"/>
        <v>12</v>
      </c>
      <c r="W148" s="119">
        <f>VLOOKUP(A148,'30.11.25'!A:F,6,FALSE)</f>
        <v>18</v>
      </c>
      <c r="X148" s="119">
        <f t="shared" si="98"/>
        <v>6</v>
      </c>
      <c r="Y148" s="125">
        <f>VLOOKUP(A148,'31.12.25'!A:B,2,FALSE)</f>
        <v>18</v>
      </c>
      <c r="Z148" s="119">
        <f t="shared" si="99"/>
        <v>0</v>
      </c>
      <c r="AA148" s="119">
        <f t="shared" si="76"/>
        <v>18</v>
      </c>
    </row>
    <row r="149" spans="1:27" x14ac:dyDescent="0.25">
      <c r="A149" s="124" t="s">
        <v>143</v>
      </c>
      <c r="B149" s="124"/>
      <c r="C149" s="124"/>
      <c r="D149" s="119">
        <f t="shared" si="88"/>
        <v>0</v>
      </c>
      <c r="E149" s="124"/>
      <c r="F149" s="119">
        <f t="shared" si="89"/>
        <v>0</v>
      </c>
      <c r="G149" s="124"/>
      <c r="H149" s="119">
        <f t="shared" si="90"/>
        <v>0</v>
      </c>
      <c r="I149" s="124"/>
      <c r="J149" s="119">
        <f t="shared" si="91"/>
        <v>0</v>
      </c>
      <c r="K149" s="124"/>
      <c r="L149" s="119">
        <f t="shared" si="92"/>
        <v>0</v>
      </c>
      <c r="M149" s="119"/>
      <c r="N149" s="119">
        <f t="shared" si="93"/>
        <v>0</v>
      </c>
      <c r="O149" s="124"/>
      <c r="P149" s="119">
        <f t="shared" si="94"/>
        <v>0</v>
      </c>
      <c r="Q149" s="119"/>
      <c r="R149" s="119">
        <f t="shared" si="95"/>
        <v>0</v>
      </c>
      <c r="S149" s="119"/>
      <c r="T149" s="119">
        <f t="shared" si="96"/>
        <v>0</v>
      </c>
      <c r="U149" s="119">
        <f>VLOOKUP(A149,'31.10.25'!A:F,6,FALSE)</f>
        <v>17</v>
      </c>
      <c r="V149" s="119">
        <f t="shared" si="97"/>
        <v>17</v>
      </c>
      <c r="W149" s="119">
        <f>VLOOKUP(A149,'30.11.25'!A:F,6,FALSE)</f>
        <v>17</v>
      </c>
      <c r="X149" s="119">
        <f t="shared" si="98"/>
        <v>0</v>
      </c>
      <c r="Y149" s="125">
        <f>VLOOKUP(A149,'31.12.25'!A:B,2,FALSE)</f>
        <v>17</v>
      </c>
      <c r="Z149" s="119">
        <f t="shared" si="99"/>
        <v>0</v>
      </c>
      <c r="AA149" s="119">
        <f t="shared" si="76"/>
        <v>17</v>
      </c>
    </row>
    <row r="150" spans="1:27" x14ac:dyDescent="0.25">
      <c r="A150" s="124" t="s">
        <v>144</v>
      </c>
      <c r="B150" s="124"/>
      <c r="C150" s="124"/>
      <c r="D150" s="119">
        <f t="shared" si="88"/>
        <v>0</v>
      </c>
      <c r="E150" s="124"/>
      <c r="F150" s="119">
        <f t="shared" si="89"/>
        <v>0</v>
      </c>
      <c r="G150" s="124"/>
      <c r="H150" s="119">
        <f t="shared" si="90"/>
        <v>0</v>
      </c>
      <c r="I150" s="124"/>
      <c r="J150" s="119">
        <f t="shared" si="91"/>
        <v>0</v>
      </c>
      <c r="K150" s="124"/>
      <c r="L150" s="119">
        <f t="shared" si="92"/>
        <v>0</v>
      </c>
      <c r="M150" s="119"/>
      <c r="N150" s="119">
        <f t="shared" si="93"/>
        <v>0</v>
      </c>
      <c r="O150" s="124"/>
      <c r="P150" s="119">
        <f t="shared" si="94"/>
        <v>0</v>
      </c>
      <c r="Q150" s="119"/>
      <c r="R150" s="119">
        <f t="shared" si="95"/>
        <v>0</v>
      </c>
      <c r="S150" s="119"/>
      <c r="T150" s="119">
        <f t="shared" si="96"/>
        <v>0</v>
      </c>
      <c r="U150" s="119">
        <f>VLOOKUP(A150,'31.10.25'!A:F,6,FALSE)</f>
        <v>6</v>
      </c>
      <c r="V150" s="119">
        <f t="shared" si="97"/>
        <v>6</v>
      </c>
      <c r="W150" s="119">
        <f>VLOOKUP(A150,'30.11.25'!A:F,6,FALSE)</f>
        <v>17</v>
      </c>
      <c r="X150" s="119">
        <f t="shared" si="98"/>
        <v>11</v>
      </c>
      <c r="Y150" s="125">
        <f>VLOOKUP(A150,'31.12.25'!A:B,2,FALSE)</f>
        <v>17</v>
      </c>
      <c r="Z150" s="119">
        <f t="shared" si="99"/>
        <v>0</v>
      </c>
      <c r="AA150" s="119">
        <f t="shared" si="76"/>
        <v>17</v>
      </c>
    </row>
    <row r="151" spans="1:27" x14ac:dyDescent="0.25">
      <c r="A151" s="124" t="s">
        <v>145</v>
      </c>
      <c r="B151" s="124"/>
      <c r="C151" s="124"/>
      <c r="D151" s="119">
        <f t="shared" si="88"/>
        <v>0</v>
      </c>
      <c r="E151" s="124"/>
      <c r="F151" s="119">
        <f t="shared" si="89"/>
        <v>0</v>
      </c>
      <c r="G151" s="124"/>
      <c r="H151" s="119">
        <f t="shared" si="90"/>
        <v>0</v>
      </c>
      <c r="I151" s="124"/>
      <c r="J151" s="119">
        <f t="shared" si="91"/>
        <v>0</v>
      </c>
      <c r="K151" s="124"/>
      <c r="L151" s="119">
        <f t="shared" si="92"/>
        <v>0</v>
      </c>
      <c r="M151" s="119"/>
      <c r="N151" s="119">
        <f t="shared" si="93"/>
        <v>0</v>
      </c>
      <c r="O151" s="124"/>
      <c r="P151" s="119">
        <f t="shared" si="94"/>
        <v>0</v>
      </c>
      <c r="Q151" s="119"/>
      <c r="R151" s="119">
        <f t="shared" si="95"/>
        <v>0</v>
      </c>
      <c r="S151" s="119"/>
      <c r="T151" s="119">
        <f t="shared" si="96"/>
        <v>0</v>
      </c>
      <c r="U151" s="119">
        <f>VLOOKUP(A151,'31.10.25'!A:F,6,FALSE)</f>
        <v>5</v>
      </c>
      <c r="V151" s="119">
        <f t="shared" si="97"/>
        <v>5</v>
      </c>
      <c r="W151" s="119">
        <f>VLOOKUP(A151,'30.11.25'!A:F,6,FALSE)</f>
        <v>5</v>
      </c>
      <c r="X151" s="119">
        <f t="shared" si="98"/>
        <v>0</v>
      </c>
      <c r="Y151" s="125">
        <f>VLOOKUP(A151,'31.12.25'!A:B,2,FALSE)</f>
        <v>5</v>
      </c>
      <c r="Z151" s="119">
        <f t="shared" si="99"/>
        <v>0</v>
      </c>
      <c r="AA151" s="119">
        <f t="shared" si="76"/>
        <v>5</v>
      </c>
    </row>
    <row r="152" spans="1:27" x14ac:dyDescent="0.25">
      <c r="A152" s="124" t="s">
        <v>98</v>
      </c>
      <c r="B152" s="124">
        <f>VLOOKUP(A152,'31.12.24'!A:F,6,FALSE)</f>
        <v>20</v>
      </c>
      <c r="C152" s="124">
        <f>VLOOKUP(A152,'31.01.25'!A:F,6,FALSE)</f>
        <v>20</v>
      </c>
      <c r="D152" s="119">
        <f t="shared" si="88"/>
        <v>0</v>
      </c>
      <c r="E152" s="124">
        <f>VLOOKUP(A152,'28.02.25'!A:F,6,FALSE)</f>
        <v>20</v>
      </c>
      <c r="F152" s="119">
        <f t="shared" si="89"/>
        <v>0</v>
      </c>
      <c r="G152" s="124">
        <f>VLOOKUP(A152,'31.03.25'!A:F,6,FALSE)</f>
        <v>20</v>
      </c>
      <c r="H152" s="119">
        <f t="shared" si="90"/>
        <v>0</v>
      </c>
      <c r="I152" s="124">
        <f>VLOOKUP(A152,'30.04.25'!A:F,6,FALSE)</f>
        <v>20</v>
      </c>
      <c r="J152" s="119">
        <f t="shared" si="91"/>
        <v>0</v>
      </c>
      <c r="K152" s="124">
        <f>VLOOKUP(A152,'31.05.25'!A:F,6,FALSE)</f>
        <v>20</v>
      </c>
      <c r="L152" s="119">
        <f t="shared" si="92"/>
        <v>0</v>
      </c>
      <c r="M152" s="119">
        <f>VLOOKUP(A152,'30.06.25'!A:F,6,FALSE)</f>
        <v>20</v>
      </c>
      <c r="N152" s="119">
        <f t="shared" si="93"/>
        <v>0</v>
      </c>
      <c r="O152" s="124">
        <f>VLOOKUP(A152,'31.07.25'!A:F,6,FALSE)</f>
        <v>20</v>
      </c>
      <c r="P152" s="119">
        <f t="shared" si="94"/>
        <v>0</v>
      </c>
      <c r="Q152" s="119">
        <f>VLOOKUP(A152,'31.08.25'!A:F,6,FALSE)</f>
        <v>20</v>
      </c>
      <c r="R152" s="119">
        <f t="shared" si="95"/>
        <v>0</v>
      </c>
      <c r="S152" s="119">
        <f>VLOOKUP(A152,'30.09.25'!A:F,6,FALSE)</f>
        <v>20</v>
      </c>
      <c r="T152" s="119">
        <f t="shared" si="96"/>
        <v>0</v>
      </c>
      <c r="U152" s="119">
        <f>VLOOKUP(A152,'31.10.25'!A:F,6,FALSE)</f>
        <v>20</v>
      </c>
      <c r="V152" s="119">
        <f t="shared" si="97"/>
        <v>0</v>
      </c>
      <c r="W152" s="119">
        <f>VLOOKUP(A152,'30.11.25'!A:F,6,FALSE)</f>
        <v>20</v>
      </c>
      <c r="X152" s="119">
        <f t="shared" si="98"/>
        <v>0</v>
      </c>
      <c r="Y152" s="125">
        <f>VLOOKUP(A152,'31.12.25'!A:B,2,FALSE)</f>
        <v>20</v>
      </c>
      <c r="Z152" s="119">
        <f t="shared" si="99"/>
        <v>0</v>
      </c>
      <c r="AA152" s="119">
        <f t="shared" si="76"/>
        <v>0</v>
      </c>
    </row>
    <row r="153" spans="1:27" x14ac:dyDescent="0.25">
      <c r="A153" s="124" t="s">
        <v>99</v>
      </c>
      <c r="B153" s="124">
        <f>VLOOKUP(A153,'31.12.24'!A:F,6,FALSE)</f>
        <v>16</v>
      </c>
      <c r="C153" s="124">
        <f>VLOOKUP(A153,'31.01.25'!A:F,6,FALSE)</f>
        <v>16</v>
      </c>
      <c r="D153" s="119">
        <f t="shared" si="88"/>
        <v>0</v>
      </c>
      <c r="E153" s="124">
        <f>VLOOKUP(A153,'28.02.25'!A:F,6,FALSE)</f>
        <v>16</v>
      </c>
      <c r="F153" s="119">
        <f t="shared" si="89"/>
        <v>0</v>
      </c>
      <c r="G153" s="124">
        <f>VLOOKUP(A153,'31.03.25'!A:F,6,FALSE)</f>
        <v>16</v>
      </c>
      <c r="H153" s="119">
        <f t="shared" si="90"/>
        <v>0</v>
      </c>
      <c r="I153" s="124">
        <f>VLOOKUP(A153,'30.04.25'!A:F,6,FALSE)</f>
        <v>16</v>
      </c>
      <c r="J153" s="119">
        <f t="shared" si="91"/>
        <v>0</v>
      </c>
      <c r="K153" s="124">
        <f>VLOOKUP(A153,'31.05.25'!A:F,6,FALSE)</f>
        <v>16</v>
      </c>
      <c r="L153" s="119">
        <f t="shared" si="92"/>
        <v>0</v>
      </c>
      <c r="M153" s="119">
        <f>VLOOKUP(A153,'30.06.25'!A:F,6,FALSE)</f>
        <v>17</v>
      </c>
      <c r="N153" s="119">
        <f t="shared" si="93"/>
        <v>1</v>
      </c>
      <c r="O153" s="124">
        <f>VLOOKUP(A153,'31.07.25'!A:F,6,FALSE)</f>
        <v>17</v>
      </c>
      <c r="P153" s="119">
        <f t="shared" si="94"/>
        <v>0</v>
      </c>
      <c r="Q153" s="119">
        <f>VLOOKUP(A153,'31.08.25'!A:F,6,FALSE)</f>
        <v>17</v>
      </c>
      <c r="R153" s="119">
        <f t="shared" si="95"/>
        <v>0</v>
      </c>
      <c r="S153" s="119">
        <f>VLOOKUP(A153,'30.09.25'!A:F,6,FALSE)</f>
        <v>17</v>
      </c>
      <c r="T153" s="119">
        <f t="shared" si="96"/>
        <v>0</v>
      </c>
      <c r="U153" s="119">
        <f>VLOOKUP(A153,'31.10.25'!A:F,6,FALSE)</f>
        <v>17</v>
      </c>
      <c r="V153" s="119">
        <f t="shared" si="97"/>
        <v>0</v>
      </c>
      <c r="W153" s="119">
        <f>VLOOKUP(A153,'30.11.25'!A:F,6,FALSE)</f>
        <v>17</v>
      </c>
      <c r="X153" s="119">
        <f t="shared" si="98"/>
        <v>0</v>
      </c>
      <c r="Y153" s="125">
        <f>VLOOKUP(A153,'31.12.25'!A:B,2,FALSE)</f>
        <v>17</v>
      </c>
      <c r="Z153" s="119">
        <f t="shared" si="99"/>
        <v>0</v>
      </c>
      <c r="AA153" s="119">
        <f t="shared" si="76"/>
        <v>1</v>
      </c>
    </row>
    <row r="154" spans="1:27" x14ac:dyDescent="0.25">
      <c r="A154" s="124" t="s">
        <v>100</v>
      </c>
      <c r="B154" s="124">
        <f>VLOOKUP(A154,'31.12.24'!A:F,6,FALSE)</f>
        <v>16</v>
      </c>
      <c r="C154" s="124">
        <f>VLOOKUP(A154,'31.01.25'!A:F,6,FALSE)</f>
        <v>16</v>
      </c>
      <c r="D154" s="119">
        <f t="shared" si="88"/>
        <v>0</v>
      </c>
      <c r="E154" s="124">
        <f>VLOOKUP(A154,'28.02.25'!A:F,6,FALSE)</f>
        <v>16</v>
      </c>
      <c r="F154" s="119">
        <f t="shared" si="89"/>
        <v>0</v>
      </c>
      <c r="G154" s="124">
        <f>VLOOKUP(A154,'31.03.25'!A:F,6,FALSE)</f>
        <v>16</v>
      </c>
      <c r="H154" s="119">
        <f t="shared" si="90"/>
        <v>0</v>
      </c>
      <c r="I154" s="124">
        <f>VLOOKUP(A154,'30.04.25'!A:F,6,FALSE)</f>
        <v>16</v>
      </c>
      <c r="J154" s="119">
        <f t="shared" si="91"/>
        <v>0</v>
      </c>
      <c r="K154" s="124">
        <f>VLOOKUP(A154,'31.05.25'!A:F,6,FALSE)</f>
        <v>16</v>
      </c>
      <c r="L154" s="119">
        <f t="shared" si="92"/>
        <v>0</v>
      </c>
      <c r="M154" s="119">
        <f>VLOOKUP(A154,'30.06.25'!A:F,6,FALSE)</f>
        <v>16</v>
      </c>
      <c r="N154" s="119">
        <f t="shared" si="93"/>
        <v>0</v>
      </c>
      <c r="O154" s="124">
        <f>VLOOKUP(A154,'31.07.25'!A:F,6,FALSE)</f>
        <v>16</v>
      </c>
      <c r="P154" s="119">
        <f t="shared" si="94"/>
        <v>0</v>
      </c>
      <c r="Q154" s="119">
        <f>VLOOKUP(A154,'31.08.25'!A:F,6,FALSE)</f>
        <v>16</v>
      </c>
      <c r="R154" s="119">
        <f t="shared" si="95"/>
        <v>0</v>
      </c>
      <c r="S154" s="119">
        <f>VLOOKUP(A154,'30.09.25'!A:F,6,FALSE)</f>
        <v>16</v>
      </c>
      <c r="T154" s="119">
        <f t="shared" si="96"/>
        <v>0</v>
      </c>
      <c r="U154" s="119">
        <f>VLOOKUP(A154,'31.10.25'!A:F,6,FALSE)</f>
        <v>16</v>
      </c>
      <c r="V154" s="119">
        <f t="shared" si="97"/>
        <v>0</v>
      </c>
      <c r="W154" s="119">
        <f>VLOOKUP(A154,'30.11.25'!A:F,6,FALSE)</f>
        <v>16</v>
      </c>
      <c r="X154" s="119">
        <f t="shared" si="98"/>
        <v>0</v>
      </c>
      <c r="Y154" s="125">
        <f>VLOOKUP(A154,'31.12.25'!A:B,2,FALSE)</f>
        <v>16</v>
      </c>
      <c r="Z154" s="119">
        <f t="shared" si="99"/>
        <v>0</v>
      </c>
      <c r="AA154" s="119">
        <f t="shared" si="76"/>
        <v>0</v>
      </c>
    </row>
    <row r="155" spans="1:27" x14ac:dyDescent="0.25">
      <c r="A155" s="124" t="s">
        <v>125</v>
      </c>
      <c r="B155" s="124"/>
      <c r="C155" s="124"/>
      <c r="D155" s="119">
        <f t="shared" si="88"/>
        <v>0</v>
      </c>
      <c r="E155" s="124"/>
      <c r="F155" s="119">
        <f t="shared" si="89"/>
        <v>0</v>
      </c>
      <c r="G155" s="124"/>
      <c r="H155" s="119">
        <f t="shared" si="90"/>
        <v>0</v>
      </c>
      <c r="I155" s="124"/>
      <c r="J155" s="119">
        <f t="shared" si="91"/>
        <v>0</v>
      </c>
      <c r="K155" s="124"/>
      <c r="L155" s="119">
        <f t="shared" si="92"/>
        <v>0</v>
      </c>
      <c r="M155" s="119"/>
      <c r="N155" s="119">
        <f t="shared" si="93"/>
        <v>0</v>
      </c>
      <c r="O155" s="124"/>
      <c r="P155" s="119">
        <f t="shared" si="94"/>
        <v>0</v>
      </c>
      <c r="Q155" s="119"/>
      <c r="R155" s="119">
        <f t="shared" si="95"/>
        <v>0</v>
      </c>
      <c r="S155" s="119">
        <f>VLOOKUP(A155,'30.09.25'!A:F,6,FALSE)</f>
        <v>2</v>
      </c>
      <c r="T155" s="119">
        <f t="shared" si="96"/>
        <v>2</v>
      </c>
      <c r="U155" s="119">
        <f>VLOOKUP(A155,'31.10.25'!A:F,6,FALSE)</f>
        <v>9</v>
      </c>
      <c r="V155" s="119">
        <f t="shared" si="97"/>
        <v>7</v>
      </c>
      <c r="W155" s="119">
        <f>VLOOKUP(A155,'30.11.25'!A:F,6,FALSE)</f>
        <v>9</v>
      </c>
      <c r="X155" s="119">
        <f t="shared" si="98"/>
        <v>0</v>
      </c>
      <c r="Y155" s="125">
        <f>VLOOKUP(A155,'31.12.25'!A:B,2,FALSE)</f>
        <v>9</v>
      </c>
      <c r="Z155" s="119">
        <f t="shared" si="99"/>
        <v>0</v>
      </c>
      <c r="AA155" s="119">
        <f t="shared" si="76"/>
        <v>9</v>
      </c>
    </row>
    <row r="156" spans="1:27" x14ac:dyDescent="0.25">
      <c r="A156" s="124" t="s">
        <v>101</v>
      </c>
      <c r="B156" s="124">
        <f>VLOOKUP(A156,'31.12.24'!A:F,6,FALSE)</f>
        <v>23</v>
      </c>
      <c r="C156" s="124">
        <f>VLOOKUP(A156,'31.01.25'!A:F,6,FALSE)</f>
        <v>23</v>
      </c>
      <c r="D156" s="119">
        <f t="shared" si="88"/>
        <v>0</v>
      </c>
      <c r="E156" s="124">
        <f>VLOOKUP(A156,'28.02.25'!A:F,6,FALSE)</f>
        <v>22</v>
      </c>
      <c r="F156" s="119">
        <f t="shared" si="89"/>
        <v>-1</v>
      </c>
      <c r="G156" s="124">
        <f>VLOOKUP(A156,'31.03.25'!A:F,6,FALSE)</f>
        <v>23</v>
      </c>
      <c r="H156" s="119">
        <f t="shared" si="90"/>
        <v>1</v>
      </c>
      <c r="I156" s="124">
        <f>VLOOKUP(A156,'30.04.25'!A:F,6,FALSE)</f>
        <v>23</v>
      </c>
      <c r="J156" s="119">
        <f t="shared" si="91"/>
        <v>0</v>
      </c>
      <c r="K156" s="124">
        <f>VLOOKUP(A156,'31.05.25'!A:F,6,FALSE)</f>
        <v>23</v>
      </c>
      <c r="L156" s="119">
        <f t="shared" si="92"/>
        <v>0</v>
      </c>
      <c r="M156" s="119">
        <f>VLOOKUP(A156,'30.06.25'!A:F,6,FALSE)</f>
        <v>23</v>
      </c>
      <c r="N156" s="119">
        <f t="shared" si="93"/>
        <v>0</v>
      </c>
      <c r="O156" s="124">
        <f>VLOOKUP(A156,'31.07.25'!A:F,6,FALSE)</f>
        <v>23</v>
      </c>
      <c r="P156" s="119">
        <f t="shared" si="94"/>
        <v>0</v>
      </c>
      <c r="Q156" s="119">
        <f>VLOOKUP(A156,'31.08.25'!A:F,6,FALSE)</f>
        <v>23</v>
      </c>
      <c r="R156" s="119">
        <f t="shared" si="95"/>
        <v>0</v>
      </c>
      <c r="S156" s="119">
        <f>VLOOKUP(A156,'30.09.25'!A:F,6,FALSE)</f>
        <v>23</v>
      </c>
      <c r="T156" s="119">
        <f t="shared" si="96"/>
        <v>0</v>
      </c>
      <c r="U156" s="119">
        <f>VLOOKUP(A156,'31.10.25'!A:F,6,FALSE)</f>
        <v>23</v>
      </c>
      <c r="V156" s="119">
        <f t="shared" si="97"/>
        <v>0</v>
      </c>
      <c r="W156" s="119">
        <f>VLOOKUP(A156,'30.11.25'!A:F,6,FALSE)</f>
        <v>23</v>
      </c>
      <c r="X156" s="119">
        <f t="shared" si="98"/>
        <v>0</v>
      </c>
      <c r="Y156" s="125">
        <f>VLOOKUP(A156,'31.12.25'!A:B,2,FALSE)</f>
        <v>23</v>
      </c>
      <c r="Z156" s="119">
        <f t="shared" si="99"/>
        <v>0</v>
      </c>
      <c r="AA156" s="119">
        <f t="shared" si="76"/>
        <v>0</v>
      </c>
    </row>
    <row r="157" spans="1:27" x14ac:dyDescent="0.25">
      <c r="A157" s="124" t="s">
        <v>126</v>
      </c>
      <c r="B157" s="124"/>
      <c r="C157" s="124"/>
      <c r="D157" s="119">
        <f t="shared" si="88"/>
        <v>0</v>
      </c>
      <c r="E157" s="124"/>
      <c r="F157" s="119">
        <f t="shared" si="89"/>
        <v>0</v>
      </c>
      <c r="G157" s="124"/>
      <c r="H157" s="119">
        <f t="shared" si="90"/>
        <v>0</v>
      </c>
      <c r="I157" s="124"/>
      <c r="J157" s="119">
        <f t="shared" si="91"/>
        <v>0</v>
      </c>
      <c r="K157" s="124"/>
      <c r="L157" s="119">
        <f t="shared" si="92"/>
        <v>0</v>
      </c>
      <c r="M157" s="119"/>
      <c r="N157" s="119">
        <f t="shared" si="93"/>
        <v>0</v>
      </c>
      <c r="O157" s="124"/>
      <c r="P157" s="119">
        <f t="shared" si="94"/>
        <v>0</v>
      </c>
      <c r="Q157" s="119"/>
      <c r="R157" s="119">
        <f t="shared" si="95"/>
        <v>0</v>
      </c>
      <c r="S157" s="119">
        <f>VLOOKUP(A157,'30.09.25'!A:F,6,FALSE)</f>
        <v>9</v>
      </c>
      <c r="T157" s="119">
        <f t="shared" si="96"/>
        <v>9</v>
      </c>
      <c r="U157" s="119">
        <f>VLOOKUP(A157,'31.10.25'!A:F,6,FALSE)</f>
        <v>14</v>
      </c>
      <c r="V157" s="119">
        <f t="shared" si="97"/>
        <v>5</v>
      </c>
      <c r="W157" s="119">
        <f>VLOOKUP(A157,'30.11.25'!A:F,6,FALSE)</f>
        <v>14</v>
      </c>
      <c r="X157" s="119">
        <f t="shared" si="98"/>
        <v>0</v>
      </c>
      <c r="Y157" s="125">
        <f>VLOOKUP(A157,'31.12.25'!A:B,2,FALSE)</f>
        <v>14</v>
      </c>
      <c r="Z157" s="119">
        <f t="shared" si="99"/>
        <v>0</v>
      </c>
      <c r="AA157" s="119">
        <f t="shared" si="76"/>
        <v>14</v>
      </c>
    </row>
    <row r="158" spans="1:27" x14ac:dyDescent="0.25">
      <c r="A158" s="124" t="s">
        <v>146</v>
      </c>
      <c r="B158" s="124"/>
      <c r="C158" s="124"/>
      <c r="D158" s="119">
        <f t="shared" si="88"/>
        <v>0</v>
      </c>
      <c r="E158" s="124"/>
      <c r="F158" s="119">
        <f t="shared" si="89"/>
        <v>0</v>
      </c>
      <c r="G158" s="124"/>
      <c r="H158" s="119">
        <f t="shared" si="90"/>
        <v>0</v>
      </c>
      <c r="I158" s="124"/>
      <c r="J158" s="119">
        <f t="shared" si="91"/>
        <v>0</v>
      </c>
      <c r="K158" s="124"/>
      <c r="L158" s="119">
        <f t="shared" si="92"/>
        <v>0</v>
      </c>
      <c r="M158" s="119"/>
      <c r="N158" s="119">
        <f t="shared" si="93"/>
        <v>0</v>
      </c>
      <c r="O158" s="124"/>
      <c r="P158" s="119">
        <f t="shared" si="94"/>
        <v>0</v>
      </c>
      <c r="Q158" s="119"/>
      <c r="R158" s="119">
        <f t="shared" si="95"/>
        <v>0</v>
      </c>
      <c r="S158" s="119"/>
      <c r="T158" s="119">
        <f t="shared" si="96"/>
        <v>0</v>
      </c>
      <c r="U158" s="119">
        <f>VLOOKUP(A158,'31.10.25'!A:F,6,FALSE)</f>
        <v>6</v>
      </c>
      <c r="V158" s="119">
        <f t="shared" si="97"/>
        <v>6</v>
      </c>
      <c r="W158" s="119">
        <f>VLOOKUP(A158,'30.11.25'!A:F,6,FALSE)</f>
        <v>15</v>
      </c>
      <c r="X158" s="119">
        <f t="shared" si="98"/>
        <v>9</v>
      </c>
      <c r="Y158" s="125">
        <f>VLOOKUP(A158,'31.12.25'!A:B,2,FALSE)</f>
        <v>15</v>
      </c>
      <c r="Z158" s="119">
        <f t="shared" si="99"/>
        <v>0</v>
      </c>
      <c r="AA158" s="119">
        <f t="shared" si="76"/>
        <v>15</v>
      </c>
    </row>
    <row r="159" spans="1:27" x14ac:dyDescent="0.25">
      <c r="A159" s="124" t="s">
        <v>102</v>
      </c>
      <c r="B159" s="124">
        <f>VLOOKUP(A159,'31.12.24'!A:F,6,FALSE)</f>
        <v>27</v>
      </c>
      <c r="C159" s="124">
        <f>VLOOKUP(A159,'31.01.25'!A:F,6,FALSE)</f>
        <v>27</v>
      </c>
      <c r="D159" s="119">
        <f t="shared" si="88"/>
        <v>0</v>
      </c>
      <c r="E159" s="124">
        <f>VLOOKUP(A159,'28.02.25'!A:F,6,FALSE)</f>
        <v>27</v>
      </c>
      <c r="F159" s="119">
        <f t="shared" si="89"/>
        <v>0</v>
      </c>
      <c r="G159" s="124">
        <f>VLOOKUP(A159,'31.03.25'!A:F,6,FALSE)</f>
        <v>27</v>
      </c>
      <c r="H159" s="119">
        <f t="shared" si="90"/>
        <v>0</v>
      </c>
      <c r="I159" s="124">
        <f>VLOOKUP(A159,'30.04.25'!A:F,6,FALSE)</f>
        <v>27</v>
      </c>
      <c r="J159" s="119">
        <f t="shared" si="91"/>
        <v>0</v>
      </c>
      <c r="K159" s="124">
        <f>VLOOKUP(A159,'31.05.25'!A:F,6,FALSE)</f>
        <v>27</v>
      </c>
      <c r="L159" s="119">
        <f t="shared" si="92"/>
        <v>0</v>
      </c>
      <c r="M159" s="119">
        <f>VLOOKUP(A159,'30.06.25'!A:F,6,FALSE)</f>
        <v>27</v>
      </c>
      <c r="N159" s="119">
        <f t="shared" si="93"/>
        <v>0</v>
      </c>
      <c r="O159" s="124">
        <f>VLOOKUP(A159,'31.07.25'!A:F,6,FALSE)</f>
        <v>27</v>
      </c>
      <c r="P159" s="119">
        <f t="shared" si="94"/>
        <v>0</v>
      </c>
      <c r="Q159" s="119">
        <f>VLOOKUP(A159,'31.08.25'!A:F,6,FALSE)</f>
        <v>27</v>
      </c>
      <c r="R159" s="119">
        <f t="shared" si="95"/>
        <v>0</v>
      </c>
      <c r="S159" s="119">
        <f>VLOOKUP(A159,'30.09.25'!A:F,6,FALSE)</f>
        <v>27</v>
      </c>
      <c r="T159" s="119">
        <f t="shared" si="96"/>
        <v>0</v>
      </c>
      <c r="U159" s="119">
        <f>VLOOKUP(A159,'31.10.25'!A:F,6,FALSE)</f>
        <v>27</v>
      </c>
      <c r="V159" s="119">
        <f t="shared" si="97"/>
        <v>0</v>
      </c>
      <c r="W159" s="119">
        <f>VLOOKUP(A159,'30.11.25'!A:F,6,FALSE)</f>
        <v>34</v>
      </c>
      <c r="X159" s="119">
        <f t="shared" si="98"/>
        <v>7</v>
      </c>
      <c r="Y159" s="125">
        <f>VLOOKUP(A159,'31.12.25'!A:B,2,FALSE)</f>
        <v>36</v>
      </c>
      <c r="Z159" s="119">
        <f t="shared" si="99"/>
        <v>2</v>
      </c>
      <c r="AA159" s="119">
        <f t="shared" si="76"/>
        <v>9</v>
      </c>
    </row>
    <row r="160" spans="1:27" x14ac:dyDescent="0.25">
      <c r="A160" s="124" t="s">
        <v>127</v>
      </c>
      <c r="B160" s="124"/>
      <c r="C160" s="124"/>
      <c r="D160" s="119">
        <f t="shared" si="88"/>
        <v>0</v>
      </c>
      <c r="E160" s="124"/>
      <c r="F160" s="119">
        <f t="shared" si="89"/>
        <v>0</v>
      </c>
      <c r="G160" s="124"/>
      <c r="H160" s="119">
        <f t="shared" si="90"/>
        <v>0</v>
      </c>
      <c r="I160" s="124"/>
      <c r="J160" s="119">
        <f t="shared" si="91"/>
        <v>0</v>
      </c>
      <c r="K160" s="124"/>
      <c r="L160" s="119">
        <f t="shared" si="92"/>
        <v>0</v>
      </c>
      <c r="M160" s="119"/>
      <c r="N160" s="119">
        <f t="shared" si="93"/>
        <v>0</v>
      </c>
      <c r="O160" s="124"/>
      <c r="P160" s="119">
        <f t="shared" si="94"/>
        <v>0</v>
      </c>
      <c r="Q160" s="119"/>
      <c r="R160" s="119">
        <f t="shared" si="95"/>
        <v>0</v>
      </c>
      <c r="S160" s="119">
        <f>VLOOKUP(A160,'30.09.25'!A:F,6,FALSE)</f>
        <v>16</v>
      </c>
      <c r="T160" s="119">
        <f t="shared" si="96"/>
        <v>16</v>
      </c>
      <c r="U160" s="119">
        <f>VLOOKUP(A160,'31.10.25'!A:F,6,FALSE)</f>
        <v>16</v>
      </c>
      <c r="V160" s="119">
        <f t="shared" si="97"/>
        <v>0</v>
      </c>
      <c r="W160" s="119">
        <f>VLOOKUP(A160,'30.11.25'!A:F,6,FALSE)</f>
        <v>16</v>
      </c>
      <c r="X160" s="119">
        <f t="shared" si="98"/>
        <v>0</v>
      </c>
      <c r="Y160" s="125">
        <f>VLOOKUP(A160,'31.12.25'!A:B,2,FALSE)</f>
        <v>16</v>
      </c>
      <c r="Z160" s="119">
        <f t="shared" si="99"/>
        <v>0</v>
      </c>
      <c r="AA160" s="119">
        <f t="shared" si="76"/>
        <v>16</v>
      </c>
    </row>
    <row r="161" spans="1:27" x14ac:dyDescent="0.25">
      <c r="A161" s="124" t="s">
        <v>128</v>
      </c>
      <c r="B161" s="124"/>
      <c r="C161" s="124"/>
      <c r="D161" s="119">
        <f t="shared" si="88"/>
        <v>0</v>
      </c>
      <c r="E161" s="124"/>
      <c r="F161" s="119">
        <f t="shared" si="89"/>
        <v>0</v>
      </c>
      <c r="G161" s="124"/>
      <c r="H161" s="119">
        <f t="shared" si="90"/>
        <v>0</v>
      </c>
      <c r="I161" s="124"/>
      <c r="J161" s="119">
        <f t="shared" si="91"/>
        <v>0</v>
      </c>
      <c r="K161" s="124"/>
      <c r="L161" s="119">
        <f t="shared" si="92"/>
        <v>0</v>
      </c>
      <c r="M161" s="119"/>
      <c r="N161" s="119">
        <f t="shared" si="93"/>
        <v>0</v>
      </c>
      <c r="O161" s="124"/>
      <c r="P161" s="119">
        <f t="shared" si="94"/>
        <v>0</v>
      </c>
      <c r="Q161" s="119"/>
      <c r="R161" s="119">
        <f t="shared" si="95"/>
        <v>0</v>
      </c>
      <c r="S161" s="119">
        <f>VLOOKUP(A161,'30.09.25'!A:F,6,FALSE)</f>
        <v>3</v>
      </c>
      <c r="T161" s="119">
        <f t="shared" si="96"/>
        <v>3</v>
      </c>
      <c r="U161" s="119">
        <f>VLOOKUP(A161,'31.10.25'!A:F,6,FALSE)</f>
        <v>15</v>
      </c>
      <c r="V161" s="119">
        <f t="shared" si="97"/>
        <v>12</v>
      </c>
      <c r="W161" s="119">
        <f>VLOOKUP(A161,'30.11.25'!A:F,6,FALSE)</f>
        <v>15</v>
      </c>
      <c r="X161" s="119">
        <f t="shared" si="98"/>
        <v>0</v>
      </c>
      <c r="Y161" s="125">
        <f>VLOOKUP(A161,'31.12.25'!A:B,2,FALSE)</f>
        <v>15</v>
      </c>
      <c r="Z161" s="119">
        <f t="shared" si="99"/>
        <v>0</v>
      </c>
      <c r="AA161" s="119">
        <f t="shared" si="76"/>
        <v>15</v>
      </c>
    </row>
    <row r="162" spans="1:27" x14ac:dyDescent="0.25">
      <c r="A162" s="124" t="s">
        <v>147</v>
      </c>
      <c r="B162" s="124"/>
      <c r="C162" s="124"/>
      <c r="D162" s="119">
        <f t="shared" si="88"/>
        <v>0</v>
      </c>
      <c r="E162" s="124"/>
      <c r="F162" s="119">
        <f t="shared" si="89"/>
        <v>0</v>
      </c>
      <c r="G162" s="124"/>
      <c r="H162" s="119">
        <f t="shared" si="90"/>
        <v>0</v>
      </c>
      <c r="I162" s="124"/>
      <c r="J162" s="119">
        <f t="shared" si="91"/>
        <v>0</v>
      </c>
      <c r="K162" s="124"/>
      <c r="L162" s="119">
        <f t="shared" si="92"/>
        <v>0</v>
      </c>
      <c r="M162" s="119"/>
      <c r="N162" s="119">
        <f t="shared" si="93"/>
        <v>0</v>
      </c>
      <c r="O162" s="124"/>
      <c r="P162" s="119">
        <f t="shared" si="94"/>
        <v>0</v>
      </c>
      <c r="Q162" s="119"/>
      <c r="R162" s="119">
        <f t="shared" si="95"/>
        <v>0</v>
      </c>
      <c r="S162" s="119"/>
      <c r="T162" s="119">
        <f t="shared" si="96"/>
        <v>0</v>
      </c>
      <c r="U162" s="119">
        <f>VLOOKUP(A162,'31.10.25'!A:F,6,FALSE)</f>
        <v>5</v>
      </c>
      <c r="V162" s="119">
        <f t="shared" si="97"/>
        <v>5</v>
      </c>
      <c r="W162" s="119">
        <f>VLOOKUP(A162,'30.11.25'!A:F,6,FALSE)</f>
        <v>10</v>
      </c>
      <c r="X162" s="119">
        <f t="shared" si="98"/>
        <v>5</v>
      </c>
      <c r="Y162" s="125">
        <f>VLOOKUP(A162,'31.12.25'!A:B,2,FALSE)</f>
        <v>10</v>
      </c>
      <c r="Z162" s="119">
        <f t="shared" si="99"/>
        <v>0</v>
      </c>
      <c r="AA162" s="119">
        <f t="shared" si="76"/>
        <v>10</v>
      </c>
    </row>
    <row r="163" spans="1:27" x14ac:dyDescent="0.25">
      <c r="A163" s="124" t="s">
        <v>103</v>
      </c>
      <c r="B163" s="124">
        <f>VLOOKUP(A163,'31.12.24'!A:F,6,FALSE)</f>
        <v>30</v>
      </c>
      <c r="C163" s="124">
        <f>VLOOKUP(A163,'31.01.25'!A:F,6,FALSE)</f>
        <v>30</v>
      </c>
      <c r="D163" s="119">
        <f t="shared" si="88"/>
        <v>0</v>
      </c>
      <c r="E163" s="124">
        <f>VLOOKUP(A163,'28.02.25'!A:F,6,FALSE)</f>
        <v>30</v>
      </c>
      <c r="F163" s="119">
        <f t="shared" si="89"/>
        <v>0</v>
      </c>
      <c r="G163" s="124">
        <f>VLOOKUP(A163,'31.03.25'!A:F,6,FALSE)</f>
        <v>30</v>
      </c>
      <c r="H163" s="119">
        <f t="shared" si="90"/>
        <v>0</v>
      </c>
      <c r="I163" s="124">
        <f>VLOOKUP(A163,'30.04.25'!A:F,6,FALSE)</f>
        <v>30</v>
      </c>
      <c r="J163" s="119">
        <f t="shared" si="91"/>
        <v>0</v>
      </c>
      <c r="K163" s="124">
        <f>VLOOKUP(A163,'31.05.25'!A:F,6,FALSE)</f>
        <v>30</v>
      </c>
      <c r="L163" s="119">
        <f t="shared" si="92"/>
        <v>0</v>
      </c>
      <c r="M163" s="119">
        <f>VLOOKUP(A163,'30.06.25'!A:F,6,FALSE)</f>
        <v>30</v>
      </c>
      <c r="N163" s="119">
        <f t="shared" si="93"/>
        <v>0</v>
      </c>
      <c r="O163" s="124">
        <f>VLOOKUP(A163,'31.07.25'!A:F,6,FALSE)</f>
        <v>30</v>
      </c>
      <c r="P163" s="119">
        <f t="shared" si="94"/>
        <v>0</v>
      </c>
      <c r="Q163" s="119">
        <f>VLOOKUP(A163,'31.08.25'!A:F,6,FALSE)</f>
        <v>30</v>
      </c>
      <c r="R163" s="119">
        <f t="shared" si="95"/>
        <v>0</v>
      </c>
      <c r="S163" s="119">
        <f>VLOOKUP(A163,'30.09.25'!A:F,6,FALSE)</f>
        <v>30</v>
      </c>
      <c r="T163" s="119">
        <f t="shared" si="96"/>
        <v>0</v>
      </c>
      <c r="U163" s="119">
        <f>VLOOKUP(A163,'31.10.25'!A:F,6,FALSE)</f>
        <v>30</v>
      </c>
      <c r="V163" s="119">
        <f t="shared" si="97"/>
        <v>0</v>
      </c>
      <c r="W163" s="119">
        <f>VLOOKUP(A163,'30.11.25'!A:F,6,FALSE)</f>
        <v>36</v>
      </c>
      <c r="X163" s="119">
        <f t="shared" si="98"/>
        <v>6</v>
      </c>
      <c r="Y163" s="125">
        <f>VLOOKUP(A163,'31.12.25'!A:B,2,FALSE)</f>
        <v>36</v>
      </c>
      <c r="Z163" s="119">
        <f t="shared" si="99"/>
        <v>0</v>
      </c>
      <c r="AA163" s="119">
        <f t="shared" si="76"/>
        <v>6</v>
      </c>
    </row>
    <row r="164" spans="1:27" x14ac:dyDescent="0.25">
      <c r="A164" s="124" t="s">
        <v>129</v>
      </c>
      <c r="B164" s="124"/>
      <c r="C164" s="124"/>
      <c r="D164" s="119">
        <f t="shared" si="88"/>
        <v>0</v>
      </c>
      <c r="E164" s="124"/>
      <c r="F164" s="119">
        <f t="shared" si="89"/>
        <v>0</v>
      </c>
      <c r="G164" s="124"/>
      <c r="H164" s="119">
        <f t="shared" si="90"/>
        <v>0</v>
      </c>
      <c r="I164" s="124"/>
      <c r="J164" s="119">
        <f t="shared" si="91"/>
        <v>0</v>
      </c>
      <c r="K164" s="124"/>
      <c r="L164" s="119">
        <f t="shared" si="92"/>
        <v>0</v>
      </c>
      <c r="M164" s="119"/>
      <c r="N164" s="119">
        <f t="shared" si="93"/>
        <v>0</v>
      </c>
      <c r="O164" s="124"/>
      <c r="P164" s="119">
        <f t="shared" si="94"/>
        <v>0</v>
      </c>
      <c r="Q164" s="119"/>
      <c r="R164" s="119">
        <f t="shared" si="95"/>
        <v>0</v>
      </c>
      <c r="S164" s="119">
        <f>VLOOKUP(A164,'30.09.25'!A:F,6,FALSE)</f>
        <v>8</v>
      </c>
      <c r="T164" s="119">
        <f t="shared" si="96"/>
        <v>8</v>
      </c>
      <c r="U164" s="119">
        <f>VLOOKUP(A164,'31.10.25'!A:F,6,FALSE)</f>
        <v>39</v>
      </c>
      <c r="V164" s="119">
        <f t="shared" si="97"/>
        <v>31</v>
      </c>
      <c r="W164" s="119">
        <f>VLOOKUP(A164,'30.11.25'!A:F,6,FALSE)</f>
        <v>48</v>
      </c>
      <c r="X164" s="119">
        <f t="shared" si="98"/>
        <v>9</v>
      </c>
      <c r="Y164" s="125">
        <f>VLOOKUP(A164,'31.12.25'!A:B,2,FALSE)</f>
        <v>48</v>
      </c>
      <c r="Z164" s="119">
        <f t="shared" si="99"/>
        <v>0</v>
      </c>
      <c r="AA164" s="119">
        <f t="shared" si="76"/>
        <v>48</v>
      </c>
    </row>
    <row r="165" spans="1:27" x14ac:dyDescent="0.25">
      <c r="A165" s="124" t="s">
        <v>148</v>
      </c>
      <c r="B165" s="124"/>
      <c r="C165" s="124"/>
      <c r="D165" s="119">
        <f t="shared" si="88"/>
        <v>0</v>
      </c>
      <c r="E165" s="124"/>
      <c r="F165" s="119">
        <f t="shared" si="89"/>
        <v>0</v>
      </c>
      <c r="G165" s="124"/>
      <c r="H165" s="119">
        <f t="shared" si="90"/>
        <v>0</v>
      </c>
      <c r="I165" s="124"/>
      <c r="J165" s="119">
        <f t="shared" si="91"/>
        <v>0</v>
      </c>
      <c r="K165" s="124"/>
      <c r="L165" s="119">
        <f t="shared" si="92"/>
        <v>0</v>
      </c>
      <c r="M165" s="119"/>
      <c r="N165" s="119">
        <f t="shared" si="93"/>
        <v>0</v>
      </c>
      <c r="O165" s="124"/>
      <c r="P165" s="119">
        <f t="shared" si="94"/>
        <v>0</v>
      </c>
      <c r="Q165" s="119"/>
      <c r="R165" s="119">
        <f t="shared" si="95"/>
        <v>0</v>
      </c>
      <c r="S165" s="119"/>
      <c r="T165" s="119">
        <f t="shared" si="96"/>
        <v>0</v>
      </c>
      <c r="U165" s="119">
        <f>VLOOKUP(A165,'31.10.25'!A:F,6,FALSE)</f>
        <v>2</v>
      </c>
      <c r="V165" s="119">
        <f t="shared" si="97"/>
        <v>2</v>
      </c>
      <c r="W165" s="119">
        <f>VLOOKUP(A165,'30.11.25'!A:F,6,FALSE)</f>
        <v>2</v>
      </c>
      <c r="X165" s="119">
        <f t="shared" si="98"/>
        <v>0</v>
      </c>
      <c r="Y165" s="125">
        <f>VLOOKUP(A165,'31.12.25'!A:B,2,FALSE)</f>
        <v>2</v>
      </c>
      <c r="Z165" s="119">
        <f t="shared" si="99"/>
        <v>0</v>
      </c>
      <c r="AA165" s="119">
        <f t="shared" si="76"/>
        <v>2</v>
      </c>
    </row>
    <row r="166" spans="1:27" x14ac:dyDescent="0.25">
      <c r="A166" s="124" t="s">
        <v>104</v>
      </c>
      <c r="B166" s="124">
        <f>VLOOKUP(A166,'31.12.24'!A:F,6,FALSE)</f>
        <v>71</v>
      </c>
      <c r="C166" s="124">
        <f>VLOOKUP(A166,'31.01.25'!A:F,6,FALSE)</f>
        <v>71</v>
      </c>
      <c r="D166" s="119">
        <f t="shared" si="88"/>
        <v>0</v>
      </c>
      <c r="E166" s="124">
        <f>VLOOKUP(A166,'28.02.25'!A:F,6,FALSE)</f>
        <v>71</v>
      </c>
      <c r="F166" s="119">
        <f t="shared" si="89"/>
        <v>0</v>
      </c>
      <c r="G166" s="124">
        <f>VLOOKUP(A166,'31.03.25'!A:F,6,FALSE)</f>
        <v>71</v>
      </c>
      <c r="H166" s="119">
        <f t="shared" si="90"/>
        <v>0</v>
      </c>
      <c r="I166" s="124">
        <f>VLOOKUP(A166,'30.04.25'!A:F,6,FALSE)</f>
        <v>71</v>
      </c>
      <c r="J166" s="119">
        <f t="shared" si="91"/>
        <v>0</v>
      </c>
      <c r="K166" s="124">
        <f>VLOOKUP(A166,'31.05.25'!A:F,6,FALSE)</f>
        <v>71</v>
      </c>
      <c r="L166" s="119">
        <f t="shared" si="92"/>
        <v>0</v>
      </c>
      <c r="M166" s="119">
        <f>VLOOKUP(A166,'30.06.25'!A:F,6,FALSE)</f>
        <v>71</v>
      </c>
      <c r="N166" s="119">
        <f t="shared" si="93"/>
        <v>0</v>
      </c>
      <c r="O166" s="124">
        <f>VLOOKUP(A166,'31.07.25'!A:F,6,FALSE)</f>
        <v>71</v>
      </c>
      <c r="P166" s="119">
        <f t="shared" si="94"/>
        <v>0</v>
      </c>
      <c r="Q166" s="119">
        <f>VLOOKUP(A166,'31.08.25'!A:F,6,FALSE)</f>
        <v>71</v>
      </c>
      <c r="R166" s="119">
        <f t="shared" si="95"/>
        <v>0</v>
      </c>
      <c r="S166" s="119">
        <f>VLOOKUP(A166,'30.09.25'!A:F,6,FALSE)</f>
        <v>71</v>
      </c>
      <c r="T166" s="119">
        <f t="shared" si="96"/>
        <v>0</v>
      </c>
      <c r="U166" s="119">
        <f>VLOOKUP(A166,'31.10.25'!A:F,6,FALSE)</f>
        <v>71</v>
      </c>
      <c r="V166" s="119">
        <f t="shared" si="97"/>
        <v>0</v>
      </c>
      <c r="W166" s="119">
        <f>VLOOKUP(A166,'30.11.25'!A:F,6,FALSE)</f>
        <v>71</v>
      </c>
      <c r="X166" s="119">
        <f t="shared" si="98"/>
        <v>0</v>
      </c>
      <c r="Y166" s="125">
        <f>VLOOKUP(A166,'31.12.25'!A:B,2,FALSE)</f>
        <v>71</v>
      </c>
      <c r="Z166" s="119">
        <f t="shared" si="99"/>
        <v>0</v>
      </c>
      <c r="AA166" s="119">
        <f t="shared" si="76"/>
        <v>0</v>
      </c>
    </row>
    <row r="167" spans="1:27" x14ac:dyDescent="0.25">
      <c r="A167" s="124" t="s">
        <v>156</v>
      </c>
      <c r="B167" s="124"/>
      <c r="C167" s="124"/>
      <c r="D167" s="119">
        <f t="shared" si="88"/>
        <v>0</v>
      </c>
      <c r="E167" s="124"/>
      <c r="F167" s="119">
        <f t="shared" si="89"/>
        <v>0</v>
      </c>
      <c r="G167" s="124"/>
      <c r="H167" s="119">
        <f t="shared" si="90"/>
        <v>0</v>
      </c>
      <c r="I167" s="124"/>
      <c r="J167" s="119">
        <f t="shared" si="91"/>
        <v>0</v>
      </c>
      <c r="K167" s="124"/>
      <c r="L167" s="119">
        <f t="shared" si="92"/>
        <v>0</v>
      </c>
      <c r="M167" s="119"/>
      <c r="N167" s="119">
        <f t="shared" si="93"/>
        <v>0</v>
      </c>
      <c r="O167" s="124"/>
      <c r="P167" s="119">
        <f t="shared" si="94"/>
        <v>0</v>
      </c>
      <c r="Q167" s="119"/>
      <c r="R167" s="119">
        <f t="shared" si="95"/>
        <v>0</v>
      </c>
      <c r="S167" s="119"/>
      <c r="T167" s="119">
        <f t="shared" si="96"/>
        <v>0</v>
      </c>
      <c r="U167" s="119"/>
      <c r="V167" s="119">
        <f t="shared" si="97"/>
        <v>0</v>
      </c>
      <c r="W167" s="119">
        <f>VLOOKUP(A167,'30.11.25'!A:F,6,FALSE)</f>
        <v>2</v>
      </c>
      <c r="X167" s="119">
        <f t="shared" si="98"/>
        <v>2</v>
      </c>
      <c r="Y167" s="125">
        <f>VLOOKUP(A167,'31.12.25'!A:B,2,FALSE)</f>
        <v>2</v>
      </c>
      <c r="Z167" s="119">
        <f t="shared" si="99"/>
        <v>0</v>
      </c>
      <c r="AA167" s="119">
        <f t="shared" si="76"/>
        <v>2</v>
      </c>
    </row>
    <row r="168" spans="1:27" x14ac:dyDescent="0.25">
      <c r="A168" s="124" t="s">
        <v>130</v>
      </c>
      <c r="B168" s="124"/>
      <c r="C168" s="124"/>
      <c r="D168" s="119">
        <f t="shared" si="88"/>
        <v>0</v>
      </c>
      <c r="E168" s="124"/>
      <c r="F168" s="119">
        <f t="shared" si="89"/>
        <v>0</v>
      </c>
      <c r="G168" s="124"/>
      <c r="H168" s="119">
        <f t="shared" si="90"/>
        <v>0</v>
      </c>
      <c r="I168" s="124"/>
      <c r="J168" s="119">
        <f t="shared" si="91"/>
        <v>0</v>
      </c>
      <c r="K168" s="124"/>
      <c r="L168" s="119">
        <f t="shared" si="92"/>
        <v>0</v>
      </c>
      <c r="M168" s="119"/>
      <c r="N168" s="119">
        <f t="shared" si="93"/>
        <v>0</v>
      </c>
      <c r="O168" s="124"/>
      <c r="P168" s="119">
        <f t="shared" si="94"/>
        <v>0</v>
      </c>
      <c r="Q168" s="119"/>
      <c r="R168" s="119">
        <f t="shared" si="95"/>
        <v>0</v>
      </c>
      <c r="S168" s="119">
        <f>VLOOKUP(A168,'30.09.25'!A:F,6,FALSE)</f>
        <v>1</v>
      </c>
      <c r="T168" s="119">
        <f t="shared" si="96"/>
        <v>1</v>
      </c>
      <c r="U168" s="119">
        <f>VLOOKUP(A168,'31.10.25'!A:F,6,FALSE)</f>
        <v>6</v>
      </c>
      <c r="V168" s="119">
        <f t="shared" si="97"/>
        <v>5</v>
      </c>
      <c r="W168" s="119">
        <f>VLOOKUP(A168,'30.11.25'!A:F,6,FALSE)</f>
        <v>6</v>
      </c>
      <c r="X168" s="119">
        <f t="shared" si="98"/>
        <v>0</v>
      </c>
      <c r="Y168" s="125">
        <f>VLOOKUP(A168,'31.12.25'!A:B,2,FALSE)</f>
        <v>6</v>
      </c>
      <c r="Z168" s="119">
        <f t="shared" si="99"/>
        <v>0</v>
      </c>
      <c r="AA168" s="119">
        <f t="shared" si="76"/>
        <v>6</v>
      </c>
    </row>
    <row r="169" spans="1:27" x14ac:dyDescent="0.25">
      <c r="A169" s="124" t="s">
        <v>149</v>
      </c>
      <c r="B169" s="124"/>
      <c r="C169" s="124"/>
      <c r="D169" s="119">
        <f t="shared" si="88"/>
        <v>0</v>
      </c>
      <c r="E169" s="124"/>
      <c r="F169" s="119">
        <f t="shared" si="89"/>
        <v>0</v>
      </c>
      <c r="G169" s="124"/>
      <c r="H169" s="119">
        <f t="shared" si="90"/>
        <v>0</v>
      </c>
      <c r="I169" s="124"/>
      <c r="J169" s="119">
        <f t="shared" si="91"/>
        <v>0</v>
      </c>
      <c r="K169" s="124"/>
      <c r="L169" s="119">
        <f t="shared" si="92"/>
        <v>0</v>
      </c>
      <c r="M169" s="119"/>
      <c r="N169" s="119">
        <f t="shared" si="93"/>
        <v>0</v>
      </c>
      <c r="O169" s="124"/>
      <c r="P169" s="119">
        <f t="shared" si="94"/>
        <v>0</v>
      </c>
      <c r="Q169" s="119"/>
      <c r="R169" s="119">
        <f t="shared" si="95"/>
        <v>0</v>
      </c>
      <c r="S169" s="119"/>
      <c r="T169" s="119">
        <f t="shared" si="96"/>
        <v>0</v>
      </c>
      <c r="U169" s="119">
        <f>VLOOKUP(A169,'31.10.25'!A:F,6,FALSE)</f>
        <v>1</v>
      </c>
      <c r="V169" s="119">
        <f t="shared" si="97"/>
        <v>1</v>
      </c>
      <c r="W169" s="119">
        <f>VLOOKUP(A169,'30.11.25'!A:F,6,FALSE)</f>
        <v>1</v>
      </c>
      <c r="X169" s="119">
        <f t="shared" si="98"/>
        <v>0</v>
      </c>
      <c r="Y169" s="125">
        <f>VLOOKUP(A169,'31.12.25'!A:B,2,FALSE)</f>
        <v>1</v>
      </c>
      <c r="Z169" s="119">
        <f t="shared" si="99"/>
        <v>0</v>
      </c>
      <c r="AA169" s="119">
        <f t="shared" si="76"/>
        <v>1</v>
      </c>
    </row>
    <row r="170" spans="1:27" x14ac:dyDescent="0.25">
      <c r="A170" s="124" t="s">
        <v>105</v>
      </c>
      <c r="B170" s="124">
        <f>VLOOKUP(A170,'31.12.24'!A:F,6,FALSE)</f>
        <v>5</v>
      </c>
      <c r="C170" s="124">
        <f>VLOOKUP(A170,'31.01.25'!A:F,6,FALSE)</f>
        <v>5</v>
      </c>
      <c r="D170" s="119">
        <f t="shared" si="88"/>
        <v>0</v>
      </c>
      <c r="E170" s="124">
        <f>VLOOKUP(A170,'28.02.25'!A:F,6,FALSE)</f>
        <v>5</v>
      </c>
      <c r="F170" s="119">
        <f t="shared" si="89"/>
        <v>0</v>
      </c>
      <c r="G170" s="124">
        <f>VLOOKUP(A170,'31.03.25'!A:F,6,FALSE)</f>
        <v>5</v>
      </c>
      <c r="H170" s="119">
        <f t="shared" si="90"/>
        <v>0</v>
      </c>
      <c r="I170" s="124">
        <f>VLOOKUP(A170,'30.04.25'!A:F,6,FALSE)</f>
        <v>25</v>
      </c>
      <c r="J170" s="119">
        <f t="shared" si="91"/>
        <v>20</v>
      </c>
      <c r="K170" s="124">
        <f>VLOOKUP(A170,'31.05.25'!A:F,6,FALSE)</f>
        <v>25</v>
      </c>
      <c r="L170" s="119">
        <f t="shared" si="92"/>
        <v>0</v>
      </c>
      <c r="M170" s="119">
        <f>VLOOKUP(A170,'30.06.25'!A:F,6,FALSE)</f>
        <v>30</v>
      </c>
      <c r="N170" s="119">
        <f t="shared" si="93"/>
        <v>5</v>
      </c>
      <c r="O170" s="124">
        <f>VLOOKUP(A170,'31.07.25'!A:F,6,FALSE)</f>
        <v>30</v>
      </c>
      <c r="P170" s="119">
        <f t="shared" si="94"/>
        <v>0</v>
      </c>
      <c r="Q170" s="119">
        <f>VLOOKUP(A170,'31.08.25'!A:F,6,FALSE)</f>
        <v>30</v>
      </c>
      <c r="R170" s="119">
        <f t="shared" si="95"/>
        <v>0</v>
      </c>
      <c r="S170" s="119">
        <f>VLOOKUP(A170,'30.09.25'!A:F,6,FALSE)</f>
        <v>30</v>
      </c>
      <c r="T170" s="119">
        <f t="shared" si="96"/>
        <v>0</v>
      </c>
      <c r="U170" s="119">
        <f>VLOOKUP(A170,'31.10.25'!A:F,6,FALSE)</f>
        <v>33</v>
      </c>
      <c r="V170" s="119">
        <f t="shared" si="97"/>
        <v>3</v>
      </c>
      <c r="W170" s="119">
        <f>VLOOKUP(A170,'30.11.25'!A:F,6,FALSE)</f>
        <v>33</v>
      </c>
      <c r="X170" s="119">
        <f t="shared" si="98"/>
        <v>0</v>
      </c>
      <c r="Y170" s="125">
        <f>VLOOKUP(A170,'31.12.25'!A:B,2,FALSE)</f>
        <v>33</v>
      </c>
      <c r="Z170" s="119">
        <f t="shared" si="99"/>
        <v>0</v>
      </c>
      <c r="AA170" s="119">
        <f t="shared" si="76"/>
        <v>28</v>
      </c>
    </row>
    <row r="171" spans="1:27" x14ac:dyDescent="0.25">
      <c r="A171" s="124" t="s">
        <v>150</v>
      </c>
      <c r="B171" s="124"/>
      <c r="C171" s="124"/>
      <c r="D171" s="119">
        <f t="shared" si="88"/>
        <v>0</v>
      </c>
      <c r="E171" s="124"/>
      <c r="F171" s="119">
        <f t="shared" si="89"/>
        <v>0</v>
      </c>
      <c r="G171" s="124"/>
      <c r="H171" s="119">
        <f t="shared" si="90"/>
        <v>0</v>
      </c>
      <c r="I171" s="124"/>
      <c r="J171" s="119">
        <f t="shared" si="91"/>
        <v>0</v>
      </c>
      <c r="K171" s="124"/>
      <c r="L171" s="119">
        <f t="shared" si="92"/>
        <v>0</v>
      </c>
      <c r="M171" s="119"/>
      <c r="N171" s="119">
        <f t="shared" si="93"/>
        <v>0</v>
      </c>
      <c r="O171" s="124"/>
      <c r="P171" s="119">
        <f t="shared" si="94"/>
        <v>0</v>
      </c>
      <c r="Q171" s="119"/>
      <c r="R171" s="119">
        <f t="shared" si="95"/>
        <v>0</v>
      </c>
      <c r="S171" s="119"/>
      <c r="T171" s="119">
        <f t="shared" si="96"/>
        <v>0</v>
      </c>
      <c r="U171" s="119">
        <f>VLOOKUP(A171,'31.10.25'!A:F,6,FALSE)</f>
        <v>5</v>
      </c>
      <c r="V171" s="119">
        <f t="shared" si="97"/>
        <v>5</v>
      </c>
      <c r="W171" s="119">
        <f>VLOOKUP(A171,'30.11.25'!A:F,6,FALSE)</f>
        <v>5</v>
      </c>
      <c r="X171" s="119">
        <f t="shared" si="98"/>
        <v>0</v>
      </c>
      <c r="Y171" s="125">
        <f>VLOOKUP(A171,'31.12.25'!A:B,2,FALSE)</f>
        <v>5</v>
      </c>
      <c r="Z171" s="119">
        <f t="shared" si="99"/>
        <v>0</v>
      </c>
      <c r="AA171" s="119">
        <f t="shared" si="76"/>
        <v>5</v>
      </c>
    </row>
    <row r="172" spans="1:27" x14ac:dyDescent="0.25">
      <c r="A172" s="124" t="s">
        <v>207</v>
      </c>
      <c r="B172" s="124">
        <f>VLOOKUP(A172,'31.12.24'!A:F,6,FALSE)</f>
        <v>5</v>
      </c>
      <c r="C172" s="124">
        <f>VLOOKUP(A172,'31.01.25'!A:F,6,FALSE)</f>
        <v>5</v>
      </c>
      <c r="D172" s="119">
        <f t="shared" si="29"/>
        <v>0</v>
      </c>
      <c r="E172" s="124">
        <f>VLOOKUP(A172,'28.02.25'!A:F,6,FALSE)</f>
        <v>5</v>
      </c>
      <c r="F172" s="119">
        <f t="shared" si="27"/>
        <v>0</v>
      </c>
      <c r="G172" s="124">
        <f>VLOOKUP(A172,'31.03.25'!A:F,6,FALSE)</f>
        <v>5</v>
      </c>
      <c r="H172" s="119">
        <f t="shared" si="30"/>
        <v>0</v>
      </c>
      <c r="I172" s="124">
        <f>VLOOKUP(A172,'30.04.25'!A:F,6,FALSE)</f>
        <v>5</v>
      </c>
      <c r="J172" s="119">
        <f t="shared" si="31"/>
        <v>0</v>
      </c>
      <c r="K172" s="124">
        <f>VLOOKUP(A172,'31.05.25'!A:F,6,FALSE)</f>
        <v>5</v>
      </c>
      <c r="L172" s="119">
        <f t="shared" si="32"/>
        <v>0</v>
      </c>
      <c r="M172" s="119">
        <f>VLOOKUP(A172,'30.06.25'!A:F,6,FALSE)</f>
        <v>5</v>
      </c>
      <c r="N172" s="119">
        <f t="shared" si="33"/>
        <v>0</v>
      </c>
      <c r="O172" s="124">
        <f>VLOOKUP(A172,'31.07.25'!A:F,6,FALSE)</f>
        <v>5</v>
      </c>
      <c r="P172" s="119">
        <f t="shared" si="27"/>
        <v>0</v>
      </c>
      <c r="Q172" s="119">
        <f>VLOOKUP(A172,'31.08.25'!A:F,6,FALSE)</f>
        <v>5</v>
      </c>
      <c r="R172" s="119">
        <f t="shared" si="34"/>
        <v>0</v>
      </c>
      <c r="S172" s="119">
        <f>VLOOKUP(A172,'30.09.25'!A:F,6,FALSE)</f>
        <v>5</v>
      </c>
      <c r="T172" s="119">
        <f t="shared" si="63"/>
        <v>0</v>
      </c>
      <c r="U172" s="119">
        <f>VLOOKUP(A172,'31.10.25'!A:F,6,FALSE)</f>
        <v>5</v>
      </c>
      <c r="V172" s="119">
        <f t="shared" si="35"/>
        <v>0</v>
      </c>
      <c r="W172" s="119">
        <f>VLOOKUP(A172,'30.11.25'!A:F,6,FALSE)</f>
        <v>5</v>
      </c>
      <c r="X172" s="119">
        <f t="shared" si="36"/>
        <v>0</v>
      </c>
      <c r="Y172" s="125">
        <f>VLOOKUP(A172,'31.12.25'!A:B,2,FALSE)</f>
        <v>5</v>
      </c>
      <c r="Z172" s="119">
        <f t="shared" si="36"/>
        <v>0</v>
      </c>
      <c r="AA172" s="119">
        <f t="shared" si="76"/>
        <v>0</v>
      </c>
    </row>
    <row r="173" spans="1:27" x14ac:dyDescent="0.25">
      <c r="A173" s="124" t="s">
        <v>106</v>
      </c>
      <c r="B173" s="124">
        <f>VLOOKUP(A173,'31.12.24'!A:F,6,FALSE)</f>
        <v>70</v>
      </c>
      <c r="C173" s="124">
        <f>VLOOKUP(A173,'31.01.25'!A:F,6,FALSE)</f>
        <v>70</v>
      </c>
      <c r="D173" s="119">
        <f t="shared" ref="D173:D199" si="100">C173-B173</f>
        <v>0</v>
      </c>
      <c r="E173" s="124">
        <f>VLOOKUP(A173,'28.02.25'!A:F,6,FALSE)</f>
        <v>70</v>
      </c>
      <c r="F173" s="119">
        <f t="shared" ref="F173:F199" si="101">E173-C173</f>
        <v>0</v>
      </c>
      <c r="G173" s="124">
        <f>VLOOKUP(A173,'31.03.25'!A:F,6,FALSE)</f>
        <v>70</v>
      </c>
      <c r="H173" s="119">
        <f t="shared" ref="H173:H199" si="102">G173-E173</f>
        <v>0</v>
      </c>
      <c r="I173" s="124">
        <f>VLOOKUP(A173,'30.04.25'!A:F,6,FALSE)</f>
        <v>70</v>
      </c>
      <c r="J173" s="119">
        <f t="shared" ref="J173:J199" si="103">I173-G173</f>
        <v>0</v>
      </c>
      <c r="K173" s="124">
        <f>VLOOKUP(A173,'31.05.25'!A:F,6,FALSE)</f>
        <v>70</v>
      </c>
      <c r="L173" s="119">
        <f t="shared" ref="L173:L199" si="104">K173-I173</f>
        <v>0</v>
      </c>
      <c r="M173" s="119">
        <f>VLOOKUP(A173,'30.06.25'!A:F,6,FALSE)</f>
        <v>71</v>
      </c>
      <c r="N173" s="119">
        <f t="shared" ref="N173:N199" si="105">M173-K173</f>
        <v>1</v>
      </c>
      <c r="O173" s="124">
        <f>VLOOKUP(A173,'31.07.25'!A:F,6,FALSE)</f>
        <v>71</v>
      </c>
      <c r="P173" s="119">
        <f t="shared" ref="P173:P199" si="106">O173-M173</f>
        <v>0</v>
      </c>
      <c r="Q173" s="119">
        <f>VLOOKUP(A173,'31.08.25'!A:F,6,FALSE)</f>
        <v>71</v>
      </c>
      <c r="R173" s="119">
        <f t="shared" ref="R173:R199" si="107">Q173-O173</f>
        <v>0</v>
      </c>
      <c r="S173" s="119">
        <f>VLOOKUP(A173,'30.09.25'!A:F,6,FALSE)</f>
        <v>71</v>
      </c>
      <c r="T173" s="119">
        <f t="shared" ref="T173:T199" si="108">S173-Q173</f>
        <v>0</v>
      </c>
      <c r="U173" s="119">
        <f>VLOOKUP(A173,'31.10.25'!A:F,6,FALSE)</f>
        <v>71</v>
      </c>
      <c r="V173" s="119">
        <f t="shared" ref="V173:V199" si="109">U173-S173</f>
        <v>0</v>
      </c>
      <c r="W173" s="119">
        <f>VLOOKUP(A173,'30.11.25'!A:F,6,FALSE)</f>
        <v>71</v>
      </c>
      <c r="X173" s="119">
        <f t="shared" ref="X173:Z199" si="110">W173-U173</f>
        <v>0</v>
      </c>
      <c r="Y173" s="125">
        <f>VLOOKUP(A173,'31.12.25'!A:B,2,FALSE)</f>
        <v>71</v>
      </c>
      <c r="Z173" s="119">
        <f t="shared" si="110"/>
        <v>0</v>
      </c>
      <c r="AA173" s="119">
        <f t="shared" si="76"/>
        <v>1</v>
      </c>
    </row>
    <row r="174" spans="1:27" x14ac:dyDescent="0.25">
      <c r="A174" s="124" t="s">
        <v>157</v>
      </c>
      <c r="B174" s="124"/>
      <c r="C174" s="124"/>
      <c r="D174" s="119">
        <f t="shared" si="100"/>
        <v>0</v>
      </c>
      <c r="E174" s="124"/>
      <c r="F174" s="119">
        <f t="shared" si="101"/>
        <v>0</v>
      </c>
      <c r="G174" s="124"/>
      <c r="H174" s="119">
        <f t="shared" si="102"/>
        <v>0</v>
      </c>
      <c r="I174" s="124"/>
      <c r="J174" s="119">
        <f t="shared" si="103"/>
        <v>0</v>
      </c>
      <c r="K174" s="124"/>
      <c r="L174" s="119">
        <f t="shared" si="104"/>
        <v>0</v>
      </c>
      <c r="M174" s="119"/>
      <c r="N174" s="119">
        <f t="shared" si="105"/>
        <v>0</v>
      </c>
      <c r="O174" s="124"/>
      <c r="P174" s="119">
        <f t="shared" si="106"/>
        <v>0</v>
      </c>
      <c r="Q174" s="119"/>
      <c r="R174" s="119">
        <f t="shared" si="107"/>
        <v>0</v>
      </c>
      <c r="S174" s="119"/>
      <c r="T174" s="119">
        <f t="shared" si="108"/>
        <v>0</v>
      </c>
      <c r="U174" s="119"/>
      <c r="V174" s="119">
        <f t="shared" si="109"/>
        <v>0</v>
      </c>
      <c r="W174" s="119">
        <f>VLOOKUP(A174,'30.11.25'!A:F,6,FALSE)</f>
        <v>5</v>
      </c>
      <c r="X174" s="119">
        <f t="shared" si="110"/>
        <v>5</v>
      </c>
      <c r="Y174" s="125">
        <f>VLOOKUP(A174,'31.12.25'!A:B,2,FALSE)</f>
        <v>5</v>
      </c>
      <c r="Z174" s="119">
        <f t="shared" si="110"/>
        <v>0</v>
      </c>
      <c r="AA174" s="119">
        <f t="shared" si="76"/>
        <v>5</v>
      </c>
    </row>
    <row r="175" spans="1:27" x14ac:dyDescent="0.25">
      <c r="A175" s="124" t="s">
        <v>131</v>
      </c>
      <c r="B175" s="124"/>
      <c r="C175" s="124"/>
      <c r="D175" s="119">
        <f t="shared" si="100"/>
        <v>0</v>
      </c>
      <c r="E175" s="124"/>
      <c r="F175" s="119">
        <f t="shared" si="101"/>
        <v>0</v>
      </c>
      <c r="G175" s="124"/>
      <c r="H175" s="119">
        <f t="shared" si="102"/>
        <v>0</v>
      </c>
      <c r="I175" s="124"/>
      <c r="J175" s="119">
        <f t="shared" si="103"/>
        <v>0</v>
      </c>
      <c r="K175" s="124"/>
      <c r="L175" s="119">
        <f t="shared" si="104"/>
        <v>0</v>
      </c>
      <c r="M175" s="119"/>
      <c r="N175" s="119">
        <f t="shared" si="105"/>
        <v>0</v>
      </c>
      <c r="O175" s="124"/>
      <c r="P175" s="119">
        <f t="shared" si="106"/>
        <v>0</v>
      </c>
      <c r="Q175" s="119"/>
      <c r="R175" s="119">
        <f t="shared" si="107"/>
        <v>0</v>
      </c>
      <c r="S175" s="119">
        <f>VLOOKUP(A175,'30.09.25'!A:F,6,FALSE)</f>
        <v>3</v>
      </c>
      <c r="T175" s="119">
        <f t="shared" si="108"/>
        <v>3</v>
      </c>
      <c r="U175" s="119">
        <f>VLOOKUP(A175,'31.10.25'!A:F,6,FALSE)</f>
        <v>13</v>
      </c>
      <c r="V175" s="119">
        <f t="shared" si="109"/>
        <v>10</v>
      </c>
      <c r="W175" s="119">
        <f>VLOOKUP(A175,'30.11.25'!A:F,6,FALSE)</f>
        <v>13</v>
      </c>
      <c r="X175" s="119">
        <f t="shared" si="110"/>
        <v>0</v>
      </c>
      <c r="Y175" s="125">
        <f>VLOOKUP(A175,'31.12.25'!A:B,2,FALSE)</f>
        <v>13</v>
      </c>
      <c r="Z175" s="119">
        <f t="shared" si="110"/>
        <v>0</v>
      </c>
      <c r="AA175" s="119">
        <f t="shared" si="76"/>
        <v>13</v>
      </c>
    </row>
    <row r="176" spans="1:27" x14ac:dyDescent="0.25">
      <c r="A176" s="124" t="s">
        <v>208</v>
      </c>
      <c r="B176" s="124">
        <f>VLOOKUP(A176,'31.12.24'!A:F,6,FALSE)</f>
        <v>2</v>
      </c>
      <c r="C176" s="124">
        <f>VLOOKUP(A176,'31.01.25'!A:F,6,FALSE)</f>
        <v>2</v>
      </c>
      <c r="D176" s="119">
        <f>C176-B176</f>
        <v>0</v>
      </c>
      <c r="E176" s="124">
        <f>VLOOKUP(A176,'28.02.25'!A:F,6,FALSE)</f>
        <v>2</v>
      </c>
      <c r="F176" s="119">
        <f>E176-C176</f>
        <v>0</v>
      </c>
      <c r="G176" s="124">
        <f>VLOOKUP(A176,'31.03.25'!A:F,6,FALSE)</f>
        <v>2</v>
      </c>
      <c r="H176" s="119">
        <f>G176-E176</f>
        <v>0</v>
      </c>
      <c r="I176" s="124">
        <f>VLOOKUP(A176,'30.04.25'!A:F,6,FALSE)</f>
        <v>2</v>
      </c>
      <c r="J176" s="119">
        <f>I176-G176</f>
        <v>0</v>
      </c>
      <c r="K176" s="124">
        <f>VLOOKUP(A176,'31.05.25'!A:F,6,FALSE)</f>
        <v>2</v>
      </c>
      <c r="L176" s="119">
        <f>K176-I176</f>
        <v>0</v>
      </c>
      <c r="M176" s="119">
        <f>VLOOKUP(A176,'30.06.25'!A:F,6,FALSE)</f>
        <v>2</v>
      </c>
      <c r="N176" s="119">
        <f>M176-K176</f>
        <v>0</v>
      </c>
      <c r="O176" s="124">
        <f>VLOOKUP(A176,'31.07.25'!A:F,6,FALSE)</f>
        <v>2</v>
      </c>
      <c r="P176" s="119">
        <f>O176-M176</f>
        <v>0</v>
      </c>
      <c r="Q176" s="119">
        <f>VLOOKUP(A176,'31.08.25'!A:F,6,FALSE)</f>
        <v>2</v>
      </c>
      <c r="R176" s="119">
        <f>Q176-O176</f>
        <v>0</v>
      </c>
      <c r="S176" s="119">
        <f>VLOOKUP(A176,'30.09.25'!A:F,6,FALSE)</f>
        <v>2</v>
      </c>
      <c r="T176" s="119">
        <f>S176-Q176</f>
        <v>0</v>
      </c>
      <c r="U176" s="119">
        <f>VLOOKUP(A176,'31.10.25'!A:F,6,FALSE)</f>
        <v>2</v>
      </c>
      <c r="V176" s="119">
        <f>U176-S176</f>
        <v>0</v>
      </c>
      <c r="W176" s="119">
        <f>VLOOKUP(A176,'30.11.25'!A:F,6,FALSE)</f>
        <v>2</v>
      </c>
      <c r="X176" s="119">
        <f>W176-U176</f>
        <v>0</v>
      </c>
      <c r="Y176" s="125">
        <f>VLOOKUP(A176,'31.12.25'!A:B,2,FALSE)</f>
        <v>2</v>
      </c>
      <c r="Z176" s="119">
        <f>Y176-W176</f>
        <v>0</v>
      </c>
      <c r="AA176" s="119">
        <f t="shared" si="76"/>
        <v>0</v>
      </c>
    </row>
    <row r="177" spans="1:27" x14ac:dyDescent="0.25">
      <c r="A177" s="124" t="s">
        <v>209</v>
      </c>
      <c r="B177" s="124">
        <f>VLOOKUP(A177,'31.12.24'!A:F,6,FALSE)</f>
        <v>19</v>
      </c>
      <c r="C177" s="124">
        <f>VLOOKUP(A177,'31.01.25'!A:F,6,FALSE)</f>
        <v>19</v>
      </c>
      <c r="D177" s="119">
        <f>C177-B177</f>
        <v>0</v>
      </c>
      <c r="E177" s="124">
        <f>VLOOKUP(A177,'28.02.25'!A:F,6,FALSE)</f>
        <v>19</v>
      </c>
      <c r="F177" s="119">
        <f>E177-C177</f>
        <v>0</v>
      </c>
      <c r="G177" s="124">
        <f>VLOOKUP(A177,'31.03.25'!A:F,6,FALSE)</f>
        <v>19</v>
      </c>
      <c r="H177" s="119">
        <f>G177-E177</f>
        <v>0</v>
      </c>
      <c r="I177" s="124">
        <f>VLOOKUP(A177,'30.04.25'!A:F,6,FALSE)</f>
        <v>19</v>
      </c>
      <c r="J177" s="119">
        <f>I177-G177</f>
        <v>0</v>
      </c>
      <c r="K177" s="124">
        <f>VLOOKUP(A177,'31.05.25'!A:F,6,FALSE)</f>
        <v>19</v>
      </c>
      <c r="L177" s="119">
        <f>K177-I177</f>
        <v>0</v>
      </c>
      <c r="M177" s="119">
        <f>VLOOKUP(A177,'30.06.25'!A:F,6,FALSE)</f>
        <v>19</v>
      </c>
      <c r="N177" s="119">
        <f>M177-K177</f>
        <v>0</v>
      </c>
      <c r="O177" s="124">
        <f>VLOOKUP(A177,'31.07.25'!A:F,6,FALSE)</f>
        <v>19</v>
      </c>
      <c r="P177" s="119">
        <f>O177-M177</f>
        <v>0</v>
      </c>
      <c r="Q177" s="119">
        <f>VLOOKUP(A177,'31.08.25'!A:F,6,FALSE)</f>
        <v>19</v>
      </c>
      <c r="R177" s="119">
        <f>Q177-O177</f>
        <v>0</v>
      </c>
      <c r="S177" s="119">
        <f>VLOOKUP(A177,'30.09.25'!A:F,6,FALSE)</f>
        <v>19</v>
      </c>
      <c r="T177" s="119">
        <f>S177-Q177</f>
        <v>0</v>
      </c>
      <c r="U177" s="119">
        <f>VLOOKUP(A177,'31.10.25'!A:F,6,FALSE)</f>
        <v>19</v>
      </c>
      <c r="V177" s="119">
        <f>U177-S177</f>
        <v>0</v>
      </c>
      <c r="W177" s="119">
        <f>VLOOKUP(A177,'30.11.25'!A:F,6,FALSE)</f>
        <v>19</v>
      </c>
      <c r="X177" s="119">
        <f>W177-U177</f>
        <v>0</v>
      </c>
      <c r="Y177" s="125">
        <f>VLOOKUP(A177,'31.12.25'!A:B,2,FALSE)</f>
        <v>19</v>
      </c>
      <c r="Z177" s="119">
        <f>Y177-W177</f>
        <v>0</v>
      </c>
      <c r="AA177" s="119">
        <f t="shared" si="76"/>
        <v>0</v>
      </c>
    </row>
    <row r="178" spans="1:27" x14ac:dyDescent="0.25">
      <c r="A178" s="124" t="s">
        <v>210</v>
      </c>
      <c r="B178" s="124">
        <f>VLOOKUP(A178,'31.12.24'!A:F,6,FALSE)</f>
        <v>1</v>
      </c>
      <c r="C178" s="124">
        <f>VLOOKUP(A178,'31.01.25'!A:F,6,FALSE)</f>
        <v>1</v>
      </c>
      <c r="D178" s="119">
        <f>C178-B178</f>
        <v>0</v>
      </c>
      <c r="E178" s="124">
        <f>VLOOKUP(A178,'28.02.25'!A:F,6,FALSE)</f>
        <v>1</v>
      </c>
      <c r="F178" s="119">
        <f>E178-C178</f>
        <v>0</v>
      </c>
      <c r="G178" s="124">
        <f>VLOOKUP(A178,'31.03.25'!A:F,6,FALSE)</f>
        <v>1</v>
      </c>
      <c r="H178" s="119">
        <f>G178-E178</f>
        <v>0</v>
      </c>
      <c r="I178" s="124">
        <f>VLOOKUP(A178,'30.04.25'!A:F,6,FALSE)</f>
        <v>1</v>
      </c>
      <c r="J178" s="119">
        <f>I178-G178</f>
        <v>0</v>
      </c>
      <c r="K178" s="124">
        <f>VLOOKUP(A178,'31.05.25'!A:F,6,FALSE)</f>
        <v>1</v>
      </c>
      <c r="L178" s="119">
        <f>K178-I178</f>
        <v>0</v>
      </c>
      <c r="M178" s="119">
        <f>VLOOKUP(A178,'30.06.25'!A:F,6,FALSE)</f>
        <v>1</v>
      </c>
      <c r="N178" s="119">
        <f>M178-K178</f>
        <v>0</v>
      </c>
      <c r="O178" s="124">
        <f>VLOOKUP(A178,'31.07.25'!A:F,6,FALSE)</f>
        <v>1</v>
      </c>
      <c r="P178" s="119">
        <f>O178-M178</f>
        <v>0</v>
      </c>
      <c r="Q178" s="119">
        <f>VLOOKUP(A178,'31.08.25'!A:F,6,FALSE)</f>
        <v>1</v>
      </c>
      <c r="R178" s="119">
        <f>Q178-O178</f>
        <v>0</v>
      </c>
      <c r="S178" s="119">
        <f>VLOOKUP(A178,'30.09.25'!A:F,6,FALSE)</f>
        <v>1</v>
      </c>
      <c r="T178" s="119">
        <f>S178-Q178</f>
        <v>0</v>
      </c>
      <c r="U178" s="119">
        <f>VLOOKUP(A178,'31.10.25'!A:F,6,FALSE)</f>
        <v>1</v>
      </c>
      <c r="V178" s="119">
        <f>U178-S178</f>
        <v>0</v>
      </c>
      <c r="W178" s="119">
        <f>VLOOKUP(A178,'30.11.25'!A:F,6,FALSE)</f>
        <v>1</v>
      </c>
      <c r="X178" s="119">
        <f>W178-U178</f>
        <v>0</v>
      </c>
      <c r="Y178" s="125">
        <f>VLOOKUP(A178,'31.12.25'!A:B,2,FALSE)</f>
        <v>1</v>
      </c>
      <c r="Z178" s="119">
        <f>Y178-W178</f>
        <v>0</v>
      </c>
      <c r="AA178" s="119">
        <f t="shared" si="76"/>
        <v>0</v>
      </c>
    </row>
    <row r="179" spans="1:27" x14ac:dyDescent="0.25">
      <c r="A179" s="124" t="s">
        <v>107</v>
      </c>
      <c r="B179" s="124"/>
      <c r="C179" s="124"/>
      <c r="D179" s="119">
        <f t="shared" si="100"/>
        <v>0</v>
      </c>
      <c r="E179" s="124"/>
      <c r="F179" s="119">
        <f t="shared" si="101"/>
        <v>0</v>
      </c>
      <c r="G179" s="124"/>
      <c r="H179" s="119">
        <f t="shared" si="102"/>
        <v>0</v>
      </c>
      <c r="I179" s="124"/>
      <c r="J179" s="119">
        <f t="shared" si="103"/>
        <v>0</v>
      </c>
      <c r="K179" s="124"/>
      <c r="L179" s="119">
        <f t="shared" si="104"/>
        <v>0</v>
      </c>
      <c r="M179" s="119"/>
      <c r="N179" s="119">
        <f t="shared" si="105"/>
        <v>0</v>
      </c>
      <c r="O179" s="124"/>
      <c r="P179" s="119">
        <f t="shared" si="106"/>
        <v>0</v>
      </c>
      <c r="Q179" s="119">
        <f>VLOOKUP(A179,'31.08.25'!A:F,6,FALSE)</f>
        <v>2</v>
      </c>
      <c r="R179" s="119">
        <f t="shared" si="107"/>
        <v>2</v>
      </c>
      <c r="S179" s="119">
        <f>VLOOKUP(A179,'30.09.25'!A:F,6,FALSE)</f>
        <v>2</v>
      </c>
      <c r="T179" s="119">
        <f t="shared" si="108"/>
        <v>0</v>
      </c>
      <c r="U179" s="119">
        <f>VLOOKUP(A179,'31.10.25'!A:F,6,FALSE)</f>
        <v>2</v>
      </c>
      <c r="V179" s="119">
        <f t="shared" si="109"/>
        <v>0</v>
      </c>
      <c r="W179" s="119">
        <f>VLOOKUP(A179,'30.11.25'!A:F,6,FALSE)</f>
        <v>2</v>
      </c>
      <c r="X179" s="119">
        <f t="shared" si="110"/>
        <v>0</v>
      </c>
      <c r="Y179" s="125">
        <f>VLOOKUP(A179,'31.12.25'!A:B,2,FALSE)</f>
        <v>2</v>
      </c>
      <c r="Z179" s="119">
        <f t="shared" si="110"/>
        <v>0</v>
      </c>
      <c r="AA179" s="119">
        <f t="shared" si="76"/>
        <v>2</v>
      </c>
    </row>
    <row r="180" spans="1:27" ht="30" x14ac:dyDescent="0.25">
      <c r="A180" s="124" t="s">
        <v>159</v>
      </c>
      <c r="B180" s="124"/>
      <c r="C180" s="124"/>
      <c r="D180" s="119">
        <f t="shared" si="100"/>
        <v>0</v>
      </c>
      <c r="E180" s="124"/>
      <c r="F180" s="119">
        <f t="shared" si="101"/>
        <v>0</v>
      </c>
      <c r="G180" s="124"/>
      <c r="H180" s="119">
        <f t="shared" si="102"/>
        <v>0</v>
      </c>
      <c r="I180" s="124"/>
      <c r="J180" s="119">
        <f t="shared" si="103"/>
        <v>0</v>
      </c>
      <c r="K180" s="124"/>
      <c r="L180" s="119">
        <f t="shared" si="104"/>
        <v>0</v>
      </c>
      <c r="M180" s="119"/>
      <c r="N180" s="119">
        <f t="shared" si="105"/>
        <v>0</v>
      </c>
      <c r="O180" s="124"/>
      <c r="P180" s="119">
        <f t="shared" si="106"/>
        <v>0</v>
      </c>
      <c r="Q180" s="119"/>
      <c r="R180" s="119">
        <f t="shared" si="107"/>
        <v>0</v>
      </c>
      <c r="S180" s="119"/>
      <c r="T180" s="119">
        <f t="shared" si="108"/>
        <v>0</v>
      </c>
      <c r="U180" s="119"/>
      <c r="V180" s="119">
        <f t="shared" si="109"/>
        <v>0</v>
      </c>
      <c r="W180" s="119"/>
      <c r="X180" s="119">
        <f t="shared" si="110"/>
        <v>0</v>
      </c>
      <c r="Y180" s="125">
        <f>VLOOKUP(A180,'31.12.25'!A:B,2,FALSE)</f>
        <v>5</v>
      </c>
      <c r="Z180" s="119">
        <f t="shared" si="110"/>
        <v>5</v>
      </c>
      <c r="AA180" s="119">
        <f t="shared" si="76"/>
        <v>5</v>
      </c>
    </row>
    <row r="181" spans="1:27" x14ac:dyDescent="0.25">
      <c r="A181" s="124" t="s">
        <v>151</v>
      </c>
      <c r="B181" s="124"/>
      <c r="C181" s="124"/>
      <c r="D181" s="119">
        <f t="shared" si="100"/>
        <v>0</v>
      </c>
      <c r="E181" s="124"/>
      <c r="F181" s="119">
        <f t="shared" si="101"/>
        <v>0</v>
      </c>
      <c r="G181" s="124"/>
      <c r="H181" s="119">
        <f t="shared" si="102"/>
        <v>0</v>
      </c>
      <c r="I181" s="124"/>
      <c r="J181" s="119">
        <f t="shared" si="103"/>
        <v>0</v>
      </c>
      <c r="K181" s="124"/>
      <c r="L181" s="119">
        <f t="shared" si="104"/>
        <v>0</v>
      </c>
      <c r="M181" s="119"/>
      <c r="N181" s="119">
        <f t="shared" si="105"/>
        <v>0</v>
      </c>
      <c r="O181" s="124"/>
      <c r="P181" s="119">
        <f t="shared" si="106"/>
        <v>0</v>
      </c>
      <c r="Q181" s="119"/>
      <c r="R181" s="119">
        <f t="shared" si="107"/>
        <v>0</v>
      </c>
      <c r="S181" s="119"/>
      <c r="T181" s="119">
        <f t="shared" si="108"/>
        <v>0</v>
      </c>
      <c r="U181" s="119">
        <f>VLOOKUP(A181,'31.10.25'!A:F,6,FALSE)</f>
        <v>2</v>
      </c>
      <c r="V181" s="119">
        <f t="shared" si="109"/>
        <v>2</v>
      </c>
      <c r="W181" s="119">
        <f>VLOOKUP(A181,'30.11.25'!A:F,6,FALSE)</f>
        <v>2</v>
      </c>
      <c r="X181" s="119">
        <f t="shared" si="110"/>
        <v>0</v>
      </c>
      <c r="Y181" s="125">
        <f>VLOOKUP(A181,'31.12.25'!A:B,2,FALSE)</f>
        <v>2</v>
      </c>
      <c r="Z181" s="119">
        <f t="shared" si="110"/>
        <v>0</v>
      </c>
      <c r="AA181" s="119">
        <f t="shared" si="76"/>
        <v>2</v>
      </c>
    </row>
    <row r="182" spans="1:27" x14ac:dyDescent="0.25">
      <c r="A182" s="124" t="s">
        <v>152</v>
      </c>
      <c r="B182" s="124"/>
      <c r="C182" s="124"/>
      <c r="D182" s="119">
        <f t="shared" si="100"/>
        <v>0</v>
      </c>
      <c r="E182" s="124"/>
      <c r="F182" s="119">
        <f t="shared" si="101"/>
        <v>0</v>
      </c>
      <c r="G182" s="124"/>
      <c r="H182" s="119">
        <f t="shared" si="102"/>
        <v>0</v>
      </c>
      <c r="I182" s="124"/>
      <c r="J182" s="119">
        <f t="shared" si="103"/>
        <v>0</v>
      </c>
      <c r="K182" s="124"/>
      <c r="L182" s="119">
        <f t="shared" si="104"/>
        <v>0</v>
      </c>
      <c r="M182" s="119"/>
      <c r="N182" s="119">
        <f t="shared" si="105"/>
        <v>0</v>
      </c>
      <c r="O182" s="124"/>
      <c r="P182" s="119">
        <f t="shared" si="106"/>
        <v>0</v>
      </c>
      <c r="Q182" s="119"/>
      <c r="R182" s="119">
        <f t="shared" si="107"/>
        <v>0</v>
      </c>
      <c r="S182" s="119"/>
      <c r="T182" s="119">
        <f t="shared" si="108"/>
        <v>0</v>
      </c>
      <c r="U182" s="119">
        <f>VLOOKUP(A182,'31.10.25'!A:F,6,FALSE)</f>
        <v>1</v>
      </c>
      <c r="V182" s="119">
        <f t="shared" si="109"/>
        <v>1</v>
      </c>
      <c r="W182" s="119">
        <f>VLOOKUP(A182,'30.11.25'!A:F,6,FALSE)</f>
        <v>1</v>
      </c>
      <c r="X182" s="119">
        <f t="shared" si="110"/>
        <v>0</v>
      </c>
      <c r="Y182" s="125">
        <f>VLOOKUP(A182,'31.12.25'!A:B,2,FALSE)</f>
        <v>1</v>
      </c>
      <c r="Z182" s="119">
        <f t="shared" si="110"/>
        <v>0</v>
      </c>
      <c r="AA182" s="119">
        <f t="shared" si="76"/>
        <v>1</v>
      </c>
    </row>
    <row r="183" spans="1:27" x14ac:dyDescent="0.25">
      <c r="A183" s="124" t="s">
        <v>108</v>
      </c>
      <c r="B183" s="124"/>
      <c r="C183" s="124"/>
      <c r="D183" s="119">
        <f t="shared" si="100"/>
        <v>0</v>
      </c>
      <c r="E183" s="124"/>
      <c r="F183" s="119">
        <f t="shared" si="101"/>
        <v>0</v>
      </c>
      <c r="G183" s="124"/>
      <c r="H183" s="119">
        <f t="shared" si="102"/>
        <v>0</v>
      </c>
      <c r="I183" s="124"/>
      <c r="J183" s="119">
        <f t="shared" si="103"/>
        <v>0</v>
      </c>
      <c r="K183" s="124"/>
      <c r="L183" s="119">
        <f t="shared" si="104"/>
        <v>0</v>
      </c>
      <c r="M183" s="119">
        <f>VLOOKUP(A183,'30.06.25'!A:F,6,FALSE)</f>
        <v>1</v>
      </c>
      <c r="N183" s="119">
        <f t="shared" si="105"/>
        <v>1</v>
      </c>
      <c r="O183" s="124">
        <f>VLOOKUP(A183,'31.07.25'!A:F,6,FALSE)</f>
        <v>3</v>
      </c>
      <c r="P183" s="119">
        <f t="shared" si="106"/>
        <v>2</v>
      </c>
      <c r="Q183" s="119">
        <f>VLOOKUP(A183,'31.08.25'!A:F,6,FALSE)</f>
        <v>3</v>
      </c>
      <c r="R183" s="119">
        <f t="shared" si="107"/>
        <v>0</v>
      </c>
      <c r="S183" s="119">
        <f>VLOOKUP(A183,'30.09.25'!A:F,6,FALSE)</f>
        <v>3</v>
      </c>
      <c r="T183" s="119">
        <f t="shared" si="108"/>
        <v>0</v>
      </c>
      <c r="U183" s="119">
        <f>VLOOKUP(A183,'31.10.25'!A:F,6,FALSE)</f>
        <v>3</v>
      </c>
      <c r="V183" s="119">
        <f t="shared" si="109"/>
        <v>0</v>
      </c>
      <c r="W183" s="119">
        <f>VLOOKUP(A183,'30.11.25'!A:F,6,FALSE)</f>
        <v>3</v>
      </c>
      <c r="X183" s="119">
        <f t="shared" si="110"/>
        <v>0</v>
      </c>
      <c r="Y183" s="125">
        <f>VLOOKUP(A183,'31.12.25'!A:B,2,FALSE)</f>
        <v>3</v>
      </c>
      <c r="Z183" s="119">
        <f t="shared" si="110"/>
        <v>0</v>
      </c>
      <c r="AA183" s="119">
        <f t="shared" si="76"/>
        <v>3</v>
      </c>
    </row>
    <row r="184" spans="1:27" x14ac:dyDescent="0.25">
      <c r="A184" s="124" t="s">
        <v>109</v>
      </c>
      <c r="B184" s="124"/>
      <c r="C184" s="124"/>
      <c r="D184" s="119">
        <f t="shared" si="100"/>
        <v>0</v>
      </c>
      <c r="E184" s="124"/>
      <c r="F184" s="119">
        <f t="shared" si="101"/>
        <v>0</v>
      </c>
      <c r="G184" s="124"/>
      <c r="H184" s="119">
        <f t="shared" si="102"/>
        <v>0</v>
      </c>
      <c r="I184" s="124"/>
      <c r="J184" s="119">
        <f t="shared" si="103"/>
        <v>0</v>
      </c>
      <c r="K184" s="124"/>
      <c r="L184" s="119">
        <f t="shared" si="104"/>
        <v>0</v>
      </c>
      <c r="M184" s="119"/>
      <c r="N184" s="119">
        <f t="shared" si="105"/>
        <v>0</v>
      </c>
      <c r="O184" s="124">
        <f>VLOOKUP(A184,'31.07.25'!A:F,6,FALSE)</f>
        <v>1</v>
      </c>
      <c r="P184" s="119">
        <f t="shared" si="106"/>
        <v>1</v>
      </c>
      <c r="Q184" s="119">
        <f>VLOOKUP(A184,'31.08.25'!A:F,6,FALSE)</f>
        <v>1</v>
      </c>
      <c r="R184" s="119">
        <f t="shared" si="107"/>
        <v>0</v>
      </c>
      <c r="S184" s="119">
        <f>VLOOKUP(A184,'30.09.25'!A:F,6,FALSE)</f>
        <v>1</v>
      </c>
      <c r="T184" s="119">
        <f t="shared" si="108"/>
        <v>0</v>
      </c>
      <c r="U184" s="119">
        <f>VLOOKUP(A184,'31.10.25'!A:F,6,FALSE)</f>
        <v>1</v>
      </c>
      <c r="V184" s="119">
        <f t="shared" si="109"/>
        <v>0</v>
      </c>
      <c r="W184" s="119">
        <f>VLOOKUP(A184,'30.11.25'!A:F,6,FALSE)</f>
        <v>1</v>
      </c>
      <c r="X184" s="119">
        <f t="shared" si="110"/>
        <v>0</v>
      </c>
      <c r="Y184" s="125">
        <f>VLOOKUP(A184,'31.12.25'!A:B,2,FALSE)</f>
        <v>1</v>
      </c>
      <c r="Z184" s="119">
        <f t="shared" si="110"/>
        <v>0</v>
      </c>
      <c r="AA184" s="119">
        <f t="shared" si="76"/>
        <v>1</v>
      </c>
    </row>
    <row r="185" spans="1:27" x14ac:dyDescent="0.25">
      <c r="A185" s="124" t="s">
        <v>110</v>
      </c>
      <c r="B185" s="124"/>
      <c r="C185" s="124"/>
      <c r="D185" s="119">
        <f t="shared" si="100"/>
        <v>0</v>
      </c>
      <c r="E185" s="124"/>
      <c r="F185" s="119">
        <f t="shared" si="101"/>
        <v>0</v>
      </c>
      <c r="G185" s="124"/>
      <c r="H185" s="119">
        <f t="shared" si="102"/>
        <v>0</v>
      </c>
      <c r="I185" s="124"/>
      <c r="J185" s="119">
        <f t="shared" si="103"/>
        <v>0</v>
      </c>
      <c r="K185" s="124"/>
      <c r="L185" s="119">
        <f t="shared" si="104"/>
        <v>0</v>
      </c>
      <c r="M185" s="119"/>
      <c r="N185" s="119">
        <f t="shared" si="105"/>
        <v>0</v>
      </c>
      <c r="O185" s="124">
        <f>VLOOKUP(A185,'31.07.25'!A:F,6,FALSE)</f>
        <v>1</v>
      </c>
      <c r="P185" s="119">
        <f t="shared" si="106"/>
        <v>1</v>
      </c>
      <c r="Q185" s="119">
        <f>VLOOKUP(A185,'31.08.25'!A:F,6,FALSE)</f>
        <v>1</v>
      </c>
      <c r="R185" s="119">
        <f t="shared" si="107"/>
        <v>0</v>
      </c>
      <c r="S185" s="119">
        <f>VLOOKUP(A185,'30.09.25'!A:F,6,FALSE)</f>
        <v>1</v>
      </c>
      <c r="T185" s="119">
        <f t="shared" si="108"/>
        <v>0</v>
      </c>
      <c r="U185" s="119">
        <f>VLOOKUP(A185,'31.10.25'!A:F,6,FALSE)</f>
        <v>1</v>
      </c>
      <c r="V185" s="119">
        <f t="shared" si="109"/>
        <v>0</v>
      </c>
      <c r="W185" s="119">
        <f>VLOOKUP(A185,'30.11.25'!A:F,6,FALSE)</f>
        <v>1</v>
      </c>
      <c r="X185" s="119">
        <f t="shared" si="110"/>
        <v>0</v>
      </c>
      <c r="Y185" s="125">
        <f>VLOOKUP(A185,'31.12.25'!A:B,2,FALSE)</f>
        <v>1</v>
      </c>
      <c r="Z185" s="119">
        <f t="shared" si="110"/>
        <v>0</v>
      </c>
      <c r="AA185" s="119">
        <f t="shared" si="76"/>
        <v>1</v>
      </c>
    </row>
    <row r="186" spans="1:27" x14ac:dyDescent="0.25">
      <c r="A186" s="124" t="s">
        <v>111</v>
      </c>
      <c r="B186" s="124"/>
      <c r="C186" s="124"/>
      <c r="D186" s="119">
        <f t="shared" si="100"/>
        <v>0</v>
      </c>
      <c r="E186" s="124"/>
      <c r="F186" s="119">
        <f t="shared" si="101"/>
        <v>0</v>
      </c>
      <c r="G186" s="124"/>
      <c r="H186" s="119">
        <f t="shared" si="102"/>
        <v>0</v>
      </c>
      <c r="I186" s="124"/>
      <c r="J186" s="119">
        <f t="shared" si="103"/>
        <v>0</v>
      </c>
      <c r="K186" s="124"/>
      <c r="L186" s="119">
        <f t="shared" si="104"/>
        <v>0</v>
      </c>
      <c r="M186" s="119"/>
      <c r="N186" s="119">
        <f t="shared" si="105"/>
        <v>0</v>
      </c>
      <c r="O186" s="124"/>
      <c r="P186" s="119">
        <f t="shared" si="106"/>
        <v>0</v>
      </c>
      <c r="Q186" s="119">
        <f>VLOOKUP(A186,'31.08.25'!A:F,6,FALSE)</f>
        <v>1</v>
      </c>
      <c r="R186" s="119">
        <f t="shared" si="107"/>
        <v>1</v>
      </c>
      <c r="S186" s="119">
        <f>VLOOKUP(A186,'30.09.25'!A:F,6,FALSE)</f>
        <v>1</v>
      </c>
      <c r="T186" s="119">
        <f t="shared" si="108"/>
        <v>0</v>
      </c>
      <c r="U186" s="119">
        <f>VLOOKUP(A186,'31.10.25'!A:F,6,FALSE)</f>
        <v>1</v>
      </c>
      <c r="V186" s="119">
        <f t="shared" si="109"/>
        <v>0</v>
      </c>
      <c r="W186" s="119">
        <f>VLOOKUP(A186,'30.11.25'!A:F,6,FALSE)</f>
        <v>1</v>
      </c>
      <c r="X186" s="119">
        <f t="shared" si="110"/>
        <v>0</v>
      </c>
      <c r="Y186" s="125">
        <f>VLOOKUP(A186,'31.12.25'!A:B,2,FALSE)</f>
        <v>3</v>
      </c>
      <c r="Z186" s="119">
        <f t="shared" si="110"/>
        <v>2</v>
      </c>
      <c r="AA186" s="119">
        <f t="shared" si="76"/>
        <v>3</v>
      </c>
    </row>
    <row r="187" spans="1:27" x14ac:dyDescent="0.25">
      <c r="A187" s="124" t="s">
        <v>153</v>
      </c>
      <c r="B187" s="124"/>
      <c r="C187" s="124"/>
      <c r="D187" s="119">
        <f t="shared" si="100"/>
        <v>0</v>
      </c>
      <c r="E187" s="124"/>
      <c r="F187" s="119">
        <f t="shared" si="101"/>
        <v>0</v>
      </c>
      <c r="G187" s="124"/>
      <c r="H187" s="119">
        <f t="shared" si="102"/>
        <v>0</v>
      </c>
      <c r="I187" s="124"/>
      <c r="J187" s="119">
        <f t="shared" si="103"/>
        <v>0</v>
      </c>
      <c r="K187" s="124"/>
      <c r="L187" s="119">
        <f t="shared" si="104"/>
        <v>0</v>
      </c>
      <c r="M187" s="119"/>
      <c r="N187" s="119">
        <f t="shared" si="105"/>
        <v>0</v>
      </c>
      <c r="O187" s="124"/>
      <c r="P187" s="119">
        <f t="shared" si="106"/>
        <v>0</v>
      </c>
      <c r="Q187" s="119"/>
      <c r="R187" s="119">
        <f t="shared" si="107"/>
        <v>0</v>
      </c>
      <c r="S187" s="119"/>
      <c r="T187" s="119">
        <f t="shared" si="108"/>
        <v>0</v>
      </c>
      <c r="U187" s="119">
        <f>VLOOKUP(A187,'31.10.25'!A:F,6,FALSE)</f>
        <v>3</v>
      </c>
      <c r="V187" s="119">
        <f t="shared" si="109"/>
        <v>3</v>
      </c>
      <c r="W187" s="119">
        <f>VLOOKUP(A187,'30.11.25'!A:F,6,FALSE)</f>
        <v>8</v>
      </c>
      <c r="X187" s="119">
        <f t="shared" si="110"/>
        <v>5</v>
      </c>
      <c r="Y187" s="125">
        <f>VLOOKUP(A187,'31.12.25'!A:B,2,FALSE)</f>
        <v>12</v>
      </c>
      <c r="Z187" s="119">
        <f t="shared" si="110"/>
        <v>4</v>
      </c>
      <c r="AA187" s="119">
        <f t="shared" si="76"/>
        <v>12</v>
      </c>
    </row>
    <row r="188" spans="1:27" x14ac:dyDescent="0.25">
      <c r="A188" s="124" t="s">
        <v>154</v>
      </c>
      <c r="B188" s="124"/>
      <c r="C188" s="124"/>
      <c r="D188" s="119">
        <f t="shared" si="100"/>
        <v>0</v>
      </c>
      <c r="E188" s="124"/>
      <c r="F188" s="119">
        <f t="shared" si="101"/>
        <v>0</v>
      </c>
      <c r="G188" s="124"/>
      <c r="H188" s="119">
        <f t="shared" si="102"/>
        <v>0</v>
      </c>
      <c r="I188" s="124"/>
      <c r="J188" s="119">
        <f t="shared" si="103"/>
        <v>0</v>
      </c>
      <c r="K188" s="124"/>
      <c r="L188" s="119">
        <f t="shared" si="104"/>
        <v>0</v>
      </c>
      <c r="M188" s="119"/>
      <c r="N188" s="119">
        <f t="shared" si="105"/>
        <v>0</v>
      </c>
      <c r="O188" s="124"/>
      <c r="P188" s="119">
        <f t="shared" si="106"/>
        <v>0</v>
      </c>
      <c r="Q188" s="119"/>
      <c r="R188" s="119">
        <f t="shared" si="107"/>
        <v>0</v>
      </c>
      <c r="S188" s="119"/>
      <c r="T188" s="119">
        <f t="shared" si="108"/>
        <v>0</v>
      </c>
      <c r="U188" s="119">
        <f>VLOOKUP(A188,'31.10.25'!A:F,6,FALSE)</f>
        <v>10</v>
      </c>
      <c r="V188" s="119">
        <f t="shared" si="109"/>
        <v>10</v>
      </c>
      <c r="W188" s="119">
        <f>VLOOKUP(A188,'30.11.25'!A:F,6,FALSE)</f>
        <v>10</v>
      </c>
      <c r="X188" s="119">
        <f t="shared" si="110"/>
        <v>0</v>
      </c>
      <c r="Y188" s="125">
        <f>VLOOKUP(A188,'31.12.25'!A:B,2,FALSE)</f>
        <v>10</v>
      </c>
      <c r="Z188" s="119">
        <f t="shared" si="110"/>
        <v>0</v>
      </c>
      <c r="AA188" s="119">
        <f t="shared" si="76"/>
        <v>10</v>
      </c>
    </row>
    <row r="189" spans="1:27" x14ac:dyDescent="0.25">
      <c r="A189" s="124" t="s">
        <v>112</v>
      </c>
      <c r="B189" s="124"/>
      <c r="C189" s="124"/>
      <c r="D189" s="119">
        <f t="shared" si="100"/>
        <v>0</v>
      </c>
      <c r="E189" s="124"/>
      <c r="F189" s="119">
        <f t="shared" si="101"/>
        <v>0</v>
      </c>
      <c r="G189" s="124"/>
      <c r="H189" s="119">
        <f t="shared" si="102"/>
        <v>0</v>
      </c>
      <c r="I189" s="124">
        <f>VLOOKUP(A189,'30.04.25'!A:F,6,FALSE)</f>
        <v>4</v>
      </c>
      <c r="J189" s="119">
        <f t="shared" si="103"/>
        <v>4</v>
      </c>
      <c r="K189" s="124">
        <f>VLOOKUP(A189,'31.05.25'!A:F,6,FALSE)</f>
        <v>4</v>
      </c>
      <c r="L189" s="119">
        <f t="shared" si="104"/>
        <v>0</v>
      </c>
      <c r="M189" s="119">
        <f>VLOOKUP(A189,'30.06.25'!A:F,6,FALSE)</f>
        <v>4</v>
      </c>
      <c r="N189" s="119">
        <f t="shared" si="105"/>
        <v>0</v>
      </c>
      <c r="O189" s="124">
        <f>VLOOKUP(A189,'31.07.25'!A:F,6,FALSE)</f>
        <v>4</v>
      </c>
      <c r="P189" s="119">
        <f t="shared" si="106"/>
        <v>0</v>
      </c>
      <c r="Q189" s="119">
        <f>VLOOKUP(A189,'31.08.25'!A:F,6,FALSE)</f>
        <v>4</v>
      </c>
      <c r="R189" s="119">
        <f t="shared" si="107"/>
        <v>0</v>
      </c>
      <c r="S189" s="119">
        <f>VLOOKUP(A189,'30.09.25'!A:F,6,FALSE)</f>
        <v>4</v>
      </c>
      <c r="T189" s="119">
        <f t="shared" si="108"/>
        <v>0</v>
      </c>
      <c r="U189" s="119">
        <f>VLOOKUP(A189,'31.10.25'!A:F,6,FALSE)</f>
        <v>4</v>
      </c>
      <c r="V189" s="119">
        <f t="shared" si="109"/>
        <v>0</v>
      </c>
      <c r="W189" s="119">
        <f>VLOOKUP(A189,'30.11.25'!A:F,6,FALSE)</f>
        <v>4</v>
      </c>
      <c r="X189" s="119">
        <f t="shared" si="110"/>
        <v>0</v>
      </c>
      <c r="Y189" s="125">
        <f>VLOOKUP(A189,'31.12.25'!A:B,2,FALSE)</f>
        <v>4</v>
      </c>
      <c r="Z189" s="119">
        <f t="shared" si="110"/>
        <v>0</v>
      </c>
      <c r="AA189" s="119">
        <f t="shared" si="76"/>
        <v>4</v>
      </c>
    </row>
    <row r="190" spans="1:27" x14ac:dyDescent="0.25">
      <c r="A190" s="124" t="s">
        <v>113</v>
      </c>
      <c r="B190" s="124"/>
      <c r="C190" s="124"/>
      <c r="D190" s="119">
        <f t="shared" si="100"/>
        <v>0</v>
      </c>
      <c r="E190" s="124"/>
      <c r="F190" s="119">
        <f t="shared" si="101"/>
        <v>0</v>
      </c>
      <c r="G190" s="124"/>
      <c r="H190" s="119">
        <f t="shared" si="102"/>
        <v>0</v>
      </c>
      <c r="I190" s="124"/>
      <c r="J190" s="119">
        <f t="shared" si="103"/>
        <v>0</v>
      </c>
      <c r="K190" s="124">
        <f>VLOOKUP(A190,'31.05.25'!A:F,6,FALSE)</f>
        <v>3</v>
      </c>
      <c r="L190" s="119">
        <f t="shared" si="104"/>
        <v>3</v>
      </c>
      <c r="M190" s="119">
        <f>VLOOKUP(A190,'30.06.25'!A:F,6,FALSE)</f>
        <v>5</v>
      </c>
      <c r="N190" s="119">
        <f t="shared" si="105"/>
        <v>2</v>
      </c>
      <c r="O190" s="124">
        <f>VLOOKUP(A190,'31.07.25'!A:F,6,FALSE)</f>
        <v>5</v>
      </c>
      <c r="P190" s="119">
        <f t="shared" si="106"/>
        <v>0</v>
      </c>
      <c r="Q190" s="119">
        <f>VLOOKUP(A190,'31.08.25'!A:F,6,FALSE)</f>
        <v>5</v>
      </c>
      <c r="R190" s="119">
        <f t="shared" si="107"/>
        <v>0</v>
      </c>
      <c r="S190" s="119">
        <f>VLOOKUP(A190,'30.09.25'!A:F,6,FALSE)</f>
        <v>5</v>
      </c>
      <c r="T190" s="119">
        <f t="shared" si="108"/>
        <v>0</v>
      </c>
      <c r="U190" s="119">
        <f>VLOOKUP(A190,'31.10.25'!A:F,6,FALSE)</f>
        <v>5</v>
      </c>
      <c r="V190" s="119">
        <f t="shared" si="109"/>
        <v>0</v>
      </c>
      <c r="W190" s="119">
        <f>VLOOKUP(A190,'30.11.25'!A:F,6,FALSE)</f>
        <v>5</v>
      </c>
      <c r="X190" s="119">
        <f t="shared" si="110"/>
        <v>0</v>
      </c>
      <c r="Y190" s="125">
        <f>VLOOKUP(A190,'31.12.25'!A:B,2,FALSE)</f>
        <v>5</v>
      </c>
      <c r="Z190" s="119">
        <f t="shared" si="110"/>
        <v>0</v>
      </c>
      <c r="AA190" s="119">
        <f t="shared" si="76"/>
        <v>5</v>
      </c>
    </row>
    <row r="191" spans="1:27" x14ac:dyDescent="0.25">
      <c r="A191" s="124" t="s">
        <v>114</v>
      </c>
      <c r="B191" s="124">
        <f>VLOOKUP(A191,'31.12.24'!A:F,6,FALSE)</f>
        <v>17</v>
      </c>
      <c r="C191" s="124">
        <f>VLOOKUP(A191,'31.01.25'!A:F,6,FALSE)</f>
        <v>17</v>
      </c>
      <c r="D191" s="119">
        <f t="shared" si="100"/>
        <v>0</v>
      </c>
      <c r="E191" s="124">
        <f>VLOOKUP(A191,'28.02.25'!A:F,6,FALSE)</f>
        <v>17</v>
      </c>
      <c r="F191" s="119">
        <f t="shared" si="101"/>
        <v>0</v>
      </c>
      <c r="G191" s="124">
        <f>VLOOKUP(A191,'31.03.25'!A:F,6,FALSE)</f>
        <v>17</v>
      </c>
      <c r="H191" s="119">
        <f t="shared" si="102"/>
        <v>0</v>
      </c>
      <c r="I191" s="124">
        <f>VLOOKUP(A191,'30.04.25'!A:F,6,FALSE)</f>
        <v>17</v>
      </c>
      <c r="J191" s="119">
        <f t="shared" si="103"/>
        <v>0</v>
      </c>
      <c r="K191" s="124">
        <f>VLOOKUP(A191,'31.05.25'!A:F,6,FALSE)</f>
        <v>17</v>
      </c>
      <c r="L191" s="119">
        <f t="shared" si="104"/>
        <v>0</v>
      </c>
      <c r="M191" s="119">
        <f>VLOOKUP(A191,'30.06.25'!A:F,6,FALSE)</f>
        <v>17</v>
      </c>
      <c r="N191" s="119">
        <f t="shared" si="105"/>
        <v>0</v>
      </c>
      <c r="O191" s="124">
        <f>VLOOKUP(A191,'31.07.25'!A:F,6,FALSE)</f>
        <v>17</v>
      </c>
      <c r="P191" s="119">
        <f t="shared" si="106"/>
        <v>0</v>
      </c>
      <c r="Q191" s="119">
        <f>VLOOKUP(A191,'31.08.25'!A:F,6,FALSE)</f>
        <v>17</v>
      </c>
      <c r="R191" s="119">
        <f t="shared" si="107"/>
        <v>0</v>
      </c>
      <c r="S191" s="119">
        <f>VLOOKUP(A191,'30.09.25'!A:F,6,FALSE)</f>
        <v>17</v>
      </c>
      <c r="T191" s="119">
        <f t="shared" si="108"/>
        <v>0</v>
      </c>
      <c r="U191" s="119">
        <f>VLOOKUP(A191,'31.10.25'!A:F,6,FALSE)</f>
        <v>17</v>
      </c>
      <c r="V191" s="119">
        <f t="shared" si="109"/>
        <v>0</v>
      </c>
      <c r="W191" s="119">
        <f>VLOOKUP(A191,'30.11.25'!A:F,6,FALSE)</f>
        <v>17</v>
      </c>
      <c r="X191" s="119">
        <f t="shared" si="110"/>
        <v>0</v>
      </c>
      <c r="Y191" s="125">
        <f>VLOOKUP(A191,'31.12.25'!A:B,2,FALSE)</f>
        <v>17</v>
      </c>
      <c r="Z191" s="119">
        <f t="shared" si="110"/>
        <v>0</v>
      </c>
      <c r="AA191" s="119">
        <f t="shared" si="76"/>
        <v>0</v>
      </c>
    </row>
    <row r="192" spans="1:27" x14ac:dyDescent="0.25">
      <c r="A192" s="124" t="s">
        <v>115</v>
      </c>
      <c r="B192" s="124"/>
      <c r="C192" s="124"/>
      <c r="D192" s="119">
        <f t="shared" si="100"/>
        <v>0</v>
      </c>
      <c r="E192" s="124"/>
      <c r="F192" s="119">
        <f t="shared" si="101"/>
        <v>0</v>
      </c>
      <c r="G192" s="124"/>
      <c r="H192" s="119">
        <f t="shared" si="102"/>
        <v>0</v>
      </c>
      <c r="I192" s="124"/>
      <c r="J192" s="119">
        <f t="shared" si="103"/>
        <v>0</v>
      </c>
      <c r="K192" s="124"/>
      <c r="L192" s="119">
        <f t="shared" si="104"/>
        <v>0</v>
      </c>
      <c r="M192" s="119">
        <f>VLOOKUP(A192,'30.06.25'!A:F,6,FALSE)</f>
        <v>5</v>
      </c>
      <c r="N192" s="119">
        <f t="shared" si="105"/>
        <v>5</v>
      </c>
      <c r="O192" s="124">
        <f>VLOOKUP(A192,'31.07.25'!A:F,6,FALSE)</f>
        <v>5</v>
      </c>
      <c r="P192" s="119">
        <f t="shared" si="106"/>
        <v>0</v>
      </c>
      <c r="Q192" s="119">
        <f>VLOOKUP(A192,'31.08.25'!A:F,6,FALSE)</f>
        <v>6</v>
      </c>
      <c r="R192" s="119">
        <f t="shared" si="107"/>
        <v>1</v>
      </c>
      <c r="S192" s="119">
        <f>VLOOKUP(A192,'30.09.25'!A:F,6,FALSE)</f>
        <v>7</v>
      </c>
      <c r="T192" s="119">
        <f t="shared" si="108"/>
        <v>1</v>
      </c>
      <c r="U192" s="119">
        <f>VLOOKUP(A192,'31.10.25'!A:F,6,FALSE)</f>
        <v>7</v>
      </c>
      <c r="V192" s="119">
        <f t="shared" si="109"/>
        <v>0</v>
      </c>
      <c r="W192" s="119">
        <f>VLOOKUP(A192,'30.11.25'!A:F,6,FALSE)</f>
        <v>7</v>
      </c>
      <c r="X192" s="119">
        <f t="shared" si="110"/>
        <v>0</v>
      </c>
      <c r="Y192" s="125">
        <f>VLOOKUP(A192,'31.12.25'!A:B,2,FALSE)</f>
        <v>7</v>
      </c>
      <c r="Z192" s="119">
        <f t="shared" si="110"/>
        <v>0</v>
      </c>
      <c r="AA192" s="119">
        <f t="shared" si="76"/>
        <v>7</v>
      </c>
    </row>
    <row r="193" spans="1:27" x14ac:dyDescent="0.25">
      <c r="A193" s="124" t="s">
        <v>116</v>
      </c>
      <c r="B193" s="124"/>
      <c r="C193" s="124"/>
      <c r="D193" s="119">
        <f t="shared" si="100"/>
        <v>0</v>
      </c>
      <c r="E193" s="124"/>
      <c r="F193" s="119">
        <f t="shared" si="101"/>
        <v>0</v>
      </c>
      <c r="G193" s="124"/>
      <c r="H193" s="119">
        <f t="shared" si="102"/>
        <v>0</v>
      </c>
      <c r="I193" s="124">
        <f>VLOOKUP(A193,'30.04.25'!A:F,6,FALSE)</f>
        <v>5</v>
      </c>
      <c r="J193" s="119">
        <f t="shared" si="103"/>
        <v>5</v>
      </c>
      <c r="K193" s="124">
        <f>VLOOKUP(A193,'31.05.25'!A:F,6,FALSE)</f>
        <v>5</v>
      </c>
      <c r="L193" s="119">
        <f t="shared" si="104"/>
        <v>0</v>
      </c>
      <c r="M193" s="119">
        <f>VLOOKUP(A193,'30.06.25'!A:F,6,FALSE)</f>
        <v>5</v>
      </c>
      <c r="N193" s="119">
        <f t="shared" si="105"/>
        <v>0</v>
      </c>
      <c r="O193" s="124">
        <f>VLOOKUP(A193,'31.07.25'!A:F,6,FALSE)</f>
        <v>5</v>
      </c>
      <c r="P193" s="119">
        <f t="shared" si="106"/>
        <v>0</v>
      </c>
      <c r="Q193" s="119">
        <f>VLOOKUP(A193,'31.08.25'!A:F,6,FALSE)</f>
        <v>8</v>
      </c>
      <c r="R193" s="119">
        <f t="shared" si="107"/>
        <v>3</v>
      </c>
      <c r="S193" s="119">
        <f>VLOOKUP(A193,'30.09.25'!A:F,6,FALSE)</f>
        <v>8</v>
      </c>
      <c r="T193" s="119">
        <f t="shared" si="108"/>
        <v>0</v>
      </c>
      <c r="U193" s="119">
        <f>VLOOKUP(A193,'31.10.25'!A:F,6,FALSE)</f>
        <v>8</v>
      </c>
      <c r="V193" s="119">
        <f t="shared" si="109"/>
        <v>0</v>
      </c>
      <c r="W193" s="119">
        <f>VLOOKUP(A193,'30.11.25'!A:F,6,FALSE)</f>
        <v>8</v>
      </c>
      <c r="X193" s="119">
        <f t="shared" si="110"/>
        <v>0</v>
      </c>
      <c r="Y193" s="125">
        <f>VLOOKUP(A193,'31.12.25'!A:B,2,FALSE)</f>
        <v>8</v>
      </c>
      <c r="Z193" s="119">
        <f t="shared" si="110"/>
        <v>0</v>
      </c>
      <c r="AA193" s="119">
        <f t="shared" si="76"/>
        <v>8</v>
      </c>
    </row>
    <row r="194" spans="1:27" x14ac:dyDescent="0.25">
      <c r="A194" s="124" t="s">
        <v>211</v>
      </c>
      <c r="B194" s="124">
        <f>VLOOKUP(A194,'31.12.24'!A:F,6,FALSE)</f>
        <v>1</v>
      </c>
      <c r="C194" s="124">
        <f>VLOOKUP(A194,'31.01.25'!A:F,6,FALSE)</f>
        <v>1</v>
      </c>
      <c r="D194" s="119">
        <f t="shared" ref="D194" si="111">C194-B194</f>
        <v>0</v>
      </c>
      <c r="E194" s="124">
        <f>VLOOKUP(A194,'28.02.25'!A:F,6,FALSE)</f>
        <v>1</v>
      </c>
      <c r="F194" s="119">
        <f t="shared" ref="F194" si="112">E194-C194</f>
        <v>0</v>
      </c>
      <c r="G194" s="124">
        <f>VLOOKUP(A194,'31.03.25'!A:F,6,FALSE)</f>
        <v>1</v>
      </c>
      <c r="H194" s="119">
        <f t="shared" ref="H194" si="113">G194-E194</f>
        <v>0</v>
      </c>
      <c r="I194" s="124">
        <f>VLOOKUP(A194,'30.04.25'!A:F,6,FALSE)</f>
        <v>1</v>
      </c>
      <c r="J194" s="119">
        <f t="shared" ref="J194" si="114">I194-G194</f>
        <v>0</v>
      </c>
      <c r="K194" s="124">
        <f>VLOOKUP(A194,'31.05.25'!A:F,6,FALSE)</f>
        <v>1</v>
      </c>
      <c r="L194" s="119">
        <f t="shared" ref="L194" si="115">K194-I194</f>
        <v>0</v>
      </c>
      <c r="M194" s="119">
        <f>VLOOKUP(A194,'30.06.25'!A:F,6,FALSE)</f>
        <v>1</v>
      </c>
      <c r="N194" s="119">
        <f t="shared" ref="N194" si="116">M194-K194</f>
        <v>0</v>
      </c>
      <c r="O194" s="124">
        <f>VLOOKUP(A194,'31.07.25'!A:F,6,FALSE)</f>
        <v>1</v>
      </c>
      <c r="P194" s="119">
        <f t="shared" ref="P194" si="117">O194-M194</f>
        <v>0</v>
      </c>
      <c r="Q194" s="119">
        <f>VLOOKUP(A194,'31.08.25'!A:F,6,FALSE)</f>
        <v>1</v>
      </c>
      <c r="R194" s="119">
        <f t="shared" ref="R194" si="118">Q194-O194</f>
        <v>0</v>
      </c>
      <c r="S194" s="119">
        <f>VLOOKUP(A194,'30.09.25'!A:F,6,FALSE)</f>
        <v>1</v>
      </c>
      <c r="T194" s="119">
        <f t="shared" ref="T194" si="119">S194-Q194</f>
        <v>0</v>
      </c>
      <c r="U194" s="119">
        <f>VLOOKUP(A194,'31.10.25'!A:F,6,FALSE)</f>
        <v>1</v>
      </c>
      <c r="V194" s="119">
        <f t="shared" ref="V194" si="120">U194-S194</f>
        <v>0</v>
      </c>
      <c r="W194" s="119">
        <f>VLOOKUP(A194,'30.11.25'!A:F,6,FALSE)</f>
        <v>1</v>
      </c>
      <c r="X194" s="119">
        <f t="shared" ref="X194:Z194" si="121">W194-U194</f>
        <v>0</v>
      </c>
      <c r="Y194" s="125">
        <f>VLOOKUP(A194,'31.12.25'!A:B,2,FALSE)</f>
        <v>1</v>
      </c>
      <c r="Z194" s="119">
        <f t="shared" si="121"/>
        <v>0</v>
      </c>
      <c r="AA194" s="119">
        <f t="shared" si="76"/>
        <v>0</v>
      </c>
    </row>
    <row r="195" spans="1:27" x14ac:dyDescent="0.25">
      <c r="A195" s="124" t="s">
        <v>155</v>
      </c>
      <c r="B195" s="124"/>
      <c r="C195" s="124"/>
      <c r="D195" s="119">
        <f t="shared" si="100"/>
        <v>0</v>
      </c>
      <c r="E195" s="124"/>
      <c r="F195" s="119">
        <f t="shared" si="101"/>
        <v>0</v>
      </c>
      <c r="G195" s="124"/>
      <c r="H195" s="119">
        <f t="shared" si="102"/>
        <v>0</v>
      </c>
      <c r="I195" s="124"/>
      <c r="J195" s="119">
        <f t="shared" si="103"/>
        <v>0</v>
      </c>
      <c r="K195" s="124"/>
      <c r="L195" s="119">
        <f t="shared" si="104"/>
        <v>0</v>
      </c>
      <c r="M195" s="119"/>
      <c r="N195" s="119">
        <f t="shared" si="105"/>
        <v>0</v>
      </c>
      <c r="O195" s="124"/>
      <c r="P195" s="119">
        <f t="shared" si="106"/>
        <v>0</v>
      </c>
      <c r="Q195" s="119"/>
      <c r="R195" s="119">
        <f t="shared" si="107"/>
        <v>0</v>
      </c>
      <c r="S195" s="119"/>
      <c r="T195" s="119">
        <f t="shared" si="108"/>
        <v>0</v>
      </c>
      <c r="U195" s="119">
        <f>VLOOKUP(A195,'31.10.25'!A:F,6,FALSE)</f>
        <v>1</v>
      </c>
      <c r="V195" s="119">
        <f t="shared" si="109"/>
        <v>1</v>
      </c>
      <c r="W195" s="119">
        <f>VLOOKUP(A195,'30.11.25'!A:F,6,FALSE)</f>
        <v>2</v>
      </c>
      <c r="X195" s="119">
        <f t="shared" si="110"/>
        <v>1</v>
      </c>
      <c r="Y195" s="125">
        <f>VLOOKUP(A195,'31.12.25'!A:B,2,FALSE)</f>
        <v>2</v>
      </c>
      <c r="Z195" s="119">
        <f t="shared" si="110"/>
        <v>0</v>
      </c>
      <c r="AA195" s="119">
        <f t="shared" si="76"/>
        <v>2</v>
      </c>
    </row>
    <row r="196" spans="1:27" x14ac:dyDescent="0.25">
      <c r="A196" s="124" t="s">
        <v>117</v>
      </c>
      <c r="B196" s="124"/>
      <c r="C196" s="124"/>
      <c r="D196" s="119">
        <f t="shared" si="100"/>
        <v>0</v>
      </c>
      <c r="E196" s="124"/>
      <c r="F196" s="119">
        <f t="shared" si="101"/>
        <v>0</v>
      </c>
      <c r="G196" s="124"/>
      <c r="H196" s="119">
        <f t="shared" si="102"/>
        <v>0</v>
      </c>
      <c r="I196" s="124"/>
      <c r="J196" s="119">
        <f t="shared" si="103"/>
        <v>0</v>
      </c>
      <c r="K196" s="124">
        <f>VLOOKUP(A196,'31.05.25'!A:F,6,FALSE)</f>
        <v>1</v>
      </c>
      <c r="L196" s="119">
        <f t="shared" si="104"/>
        <v>1</v>
      </c>
      <c r="M196" s="119">
        <f>VLOOKUP(A196,'30.06.25'!A:F,6,FALSE)</f>
        <v>1</v>
      </c>
      <c r="N196" s="119">
        <f t="shared" si="105"/>
        <v>0</v>
      </c>
      <c r="O196" s="124">
        <f>VLOOKUP(A196,'31.07.25'!A:F,6,FALSE)</f>
        <v>1</v>
      </c>
      <c r="P196" s="119">
        <f t="shared" si="106"/>
        <v>0</v>
      </c>
      <c r="Q196" s="119">
        <f>VLOOKUP(A196,'31.08.25'!A:F,6,FALSE)</f>
        <v>1</v>
      </c>
      <c r="R196" s="119">
        <f t="shared" si="107"/>
        <v>0</v>
      </c>
      <c r="S196" s="119">
        <f>VLOOKUP(A196,'30.09.25'!A:F,6,FALSE)</f>
        <v>1</v>
      </c>
      <c r="T196" s="119">
        <f t="shared" si="108"/>
        <v>0</v>
      </c>
      <c r="U196" s="119">
        <f>VLOOKUP(A196,'31.10.25'!A:F,6,FALSE)</f>
        <v>1</v>
      </c>
      <c r="V196" s="119">
        <f t="shared" si="109"/>
        <v>0</v>
      </c>
      <c r="W196" s="119">
        <f>VLOOKUP(A196,'30.11.25'!A:F,6,FALSE)</f>
        <v>1</v>
      </c>
      <c r="X196" s="119">
        <f t="shared" si="110"/>
        <v>0</v>
      </c>
      <c r="Y196" s="125">
        <f>VLOOKUP(A196,'31.12.25'!A:B,2,FALSE)</f>
        <v>1</v>
      </c>
      <c r="Z196" s="119">
        <f t="shared" si="110"/>
        <v>0</v>
      </c>
      <c r="AA196" s="119">
        <f t="shared" ref="AA196:AA199" si="122">Y196-B196</f>
        <v>1</v>
      </c>
    </row>
    <row r="197" spans="1:27" x14ac:dyDescent="0.25">
      <c r="A197" s="124" t="s">
        <v>118</v>
      </c>
      <c r="B197" s="124"/>
      <c r="C197" s="124"/>
      <c r="D197" s="119">
        <f t="shared" si="100"/>
        <v>0</v>
      </c>
      <c r="E197" s="124"/>
      <c r="F197" s="119">
        <f t="shared" si="101"/>
        <v>0</v>
      </c>
      <c r="G197" s="124"/>
      <c r="H197" s="119">
        <f t="shared" si="102"/>
        <v>0</v>
      </c>
      <c r="I197" s="124"/>
      <c r="J197" s="119">
        <f t="shared" si="103"/>
        <v>0</v>
      </c>
      <c r="K197" s="124"/>
      <c r="L197" s="119">
        <f t="shared" si="104"/>
        <v>0</v>
      </c>
      <c r="M197" s="119">
        <f>VLOOKUP(A197,'30.06.25'!A:F,6,FALSE)</f>
        <v>2</v>
      </c>
      <c r="N197" s="119">
        <f t="shared" si="105"/>
        <v>2</v>
      </c>
      <c r="O197" s="124">
        <f>VLOOKUP(A197,'31.07.25'!A:F,6,FALSE)</f>
        <v>2</v>
      </c>
      <c r="P197" s="119">
        <f t="shared" si="106"/>
        <v>0</v>
      </c>
      <c r="Q197" s="119">
        <f>VLOOKUP(A197,'31.08.25'!A:F,6,FALSE)</f>
        <v>2</v>
      </c>
      <c r="R197" s="119">
        <f t="shared" si="107"/>
        <v>0</v>
      </c>
      <c r="S197" s="119">
        <f>VLOOKUP(A197,'30.09.25'!A:F,6,FALSE)</f>
        <v>2</v>
      </c>
      <c r="T197" s="119">
        <f t="shared" si="108"/>
        <v>0</v>
      </c>
      <c r="U197" s="119">
        <f>VLOOKUP(A197,'31.10.25'!A:F,6,FALSE)</f>
        <v>2</v>
      </c>
      <c r="V197" s="119">
        <f t="shared" si="109"/>
        <v>0</v>
      </c>
      <c r="W197" s="119">
        <f>VLOOKUP(A197,'30.11.25'!A:F,6,FALSE)</f>
        <v>2</v>
      </c>
      <c r="X197" s="119">
        <f t="shared" si="110"/>
        <v>0</v>
      </c>
      <c r="Y197" s="125">
        <f>VLOOKUP(A197,'31.12.25'!A:B,2,FALSE)</f>
        <v>2</v>
      </c>
      <c r="Z197" s="119">
        <f t="shared" si="110"/>
        <v>0</v>
      </c>
      <c r="AA197" s="119">
        <f t="shared" si="122"/>
        <v>2</v>
      </c>
    </row>
    <row r="198" spans="1:27" x14ac:dyDescent="0.25">
      <c r="A198" s="124" t="s">
        <v>119</v>
      </c>
      <c r="B198" s="124"/>
      <c r="C198" s="124"/>
      <c r="D198" s="119">
        <f t="shared" si="100"/>
        <v>0</v>
      </c>
      <c r="E198" s="124"/>
      <c r="F198" s="119">
        <f t="shared" si="101"/>
        <v>0</v>
      </c>
      <c r="G198" s="124"/>
      <c r="H198" s="119">
        <f t="shared" si="102"/>
        <v>0</v>
      </c>
      <c r="I198" s="124"/>
      <c r="J198" s="119">
        <f t="shared" si="103"/>
        <v>0</v>
      </c>
      <c r="K198" s="124"/>
      <c r="L198" s="119">
        <f t="shared" si="104"/>
        <v>0</v>
      </c>
      <c r="M198" s="119"/>
      <c r="N198" s="119">
        <f t="shared" si="105"/>
        <v>0</v>
      </c>
      <c r="O198" s="124">
        <f>VLOOKUP(A198,'31.07.25'!A:F,6,FALSE)</f>
        <v>3</v>
      </c>
      <c r="P198" s="119">
        <f t="shared" si="106"/>
        <v>3</v>
      </c>
      <c r="Q198" s="119">
        <f>VLOOKUP(A198,'31.08.25'!A:F,6,FALSE)</f>
        <v>6</v>
      </c>
      <c r="R198" s="119">
        <f t="shared" si="107"/>
        <v>3</v>
      </c>
      <c r="S198" s="119">
        <f>VLOOKUP(A198,'30.09.25'!A:F,6,FALSE)</f>
        <v>6</v>
      </c>
      <c r="T198" s="119">
        <f t="shared" si="108"/>
        <v>0</v>
      </c>
      <c r="U198" s="119">
        <f>VLOOKUP(A198,'31.10.25'!A:F,6,FALSE)</f>
        <v>6</v>
      </c>
      <c r="V198" s="119">
        <f t="shared" si="109"/>
        <v>0</v>
      </c>
      <c r="W198" s="119">
        <f>VLOOKUP(A198,'30.11.25'!A:F,6,FALSE)</f>
        <v>6</v>
      </c>
      <c r="X198" s="119">
        <f t="shared" si="110"/>
        <v>0</v>
      </c>
      <c r="Y198" s="125">
        <f>VLOOKUP(A198,'31.12.25'!A:B,2,FALSE)</f>
        <v>6</v>
      </c>
      <c r="Z198" s="119">
        <f t="shared" si="110"/>
        <v>0</v>
      </c>
      <c r="AA198" s="119">
        <f t="shared" si="122"/>
        <v>6</v>
      </c>
    </row>
    <row r="199" spans="1:27" x14ac:dyDescent="0.25">
      <c r="A199" s="124" t="s">
        <v>120</v>
      </c>
      <c r="B199" s="124"/>
      <c r="C199" s="124"/>
      <c r="D199" s="119">
        <f t="shared" si="100"/>
        <v>0</v>
      </c>
      <c r="E199" s="124"/>
      <c r="F199" s="119">
        <f t="shared" si="101"/>
        <v>0</v>
      </c>
      <c r="G199" s="124">
        <f>VLOOKUP(A199,'31.03.25'!A:F,6,FALSE)</f>
        <v>1</v>
      </c>
      <c r="H199" s="119">
        <f t="shared" si="102"/>
        <v>1</v>
      </c>
      <c r="I199" s="124">
        <f>VLOOKUP(A199,'30.04.25'!A:F,6,FALSE)</f>
        <v>1</v>
      </c>
      <c r="J199" s="119">
        <f t="shared" si="103"/>
        <v>0</v>
      </c>
      <c r="K199" s="124">
        <f>VLOOKUP(A199,'31.05.25'!A:F,6,FALSE)</f>
        <v>1</v>
      </c>
      <c r="L199" s="119">
        <f t="shared" si="104"/>
        <v>0</v>
      </c>
      <c r="M199" s="119">
        <f>VLOOKUP(A199,'30.06.25'!A:F,6,FALSE)</f>
        <v>1</v>
      </c>
      <c r="N199" s="119">
        <f t="shared" si="105"/>
        <v>0</v>
      </c>
      <c r="O199" s="124">
        <f>VLOOKUP(A199,'31.07.25'!A:F,6,FALSE)</f>
        <v>1</v>
      </c>
      <c r="P199" s="119">
        <f t="shared" si="106"/>
        <v>0</v>
      </c>
      <c r="Q199" s="119">
        <f>VLOOKUP(A199,'31.08.25'!A:F,6,FALSE)</f>
        <v>1</v>
      </c>
      <c r="R199" s="119">
        <f t="shared" si="107"/>
        <v>0</v>
      </c>
      <c r="S199" s="119">
        <f>VLOOKUP(A199,'30.09.25'!A:F,6,FALSE)</f>
        <v>1</v>
      </c>
      <c r="T199" s="119">
        <f t="shared" si="108"/>
        <v>0</v>
      </c>
      <c r="U199" s="119">
        <f>VLOOKUP(A199,'31.10.25'!A:F,6,FALSE)</f>
        <v>1</v>
      </c>
      <c r="V199" s="119">
        <f t="shared" si="109"/>
        <v>0</v>
      </c>
      <c r="W199" s="119">
        <f>VLOOKUP(A199,'30.11.25'!A:F,6,FALSE)</f>
        <v>1</v>
      </c>
      <c r="X199" s="119">
        <f t="shared" si="110"/>
        <v>0</v>
      </c>
      <c r="Y199" s="125">
        <f>VLOOKUP(A199,'31.12.25'!A:B,2,FALSE)</f>
        <v>1</v>
      </c>
      <c r="Z199" s="119">
        <f t="shared" si="110"/>
        <v>0</v>
      </c>
      <c r="AA199" s="119">
        <f t="shared" si="122"/>
        <v>1</v>
      </c>
    </row>
  </sheetData>
  <autoFilter ref="A2:AA199" xr:uid="{00000000-0009-0000-0000-00000D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workbookViewId="0">
      <selection sqref="A1:H244"/>
    </sheetView>
  </sheetViews>
  <sheetFormatPr defaultRowHeight="15" x14ac:dyDescent="0.25"/>
  <cols>
    <col min="1" max="1" width="120.5703125" customWidth="1"/>
  </cols>
  <sheetData>
    <row r="1" spans="1:8" x14ac:dyDescent="0.25">
      <c r="A1" s="131" t="s">
        <v>0</v>
      </c>
      <c r="B1" s="132" t="s">
        <v>1</v>
      </c>
      <c r="C1" s="132"/>
      <c r="D1" s="132"/>
      <c r="E1" s="132"/>
      <c r="F1" s="132"/>
      <c r="G1" s="132"/>
      <c r="H1" s="132"/>
    </row>
    <row r="2" spans="1:8" ht="38.25" x14ac:dyDescent="0.25">
      <c r="A2" s="131"/>
      <c r="B2" s="46" t="s">
        <v>2</v>
      </c>
      <c r="C2" s="46" t="s">
        <v>3</v>
      </c>
      <c r="D2" s="46" t="s">
        <v>160</v>
      </c>
      <c r="E2" s="46" t="s">
        <v>161</v>
      </c>
      <c r="F2" s="46" t="s">
        <v>4</v>
      </c>
      <c r="G2" s="46" t="s">
        <v>162</v>
      </c>
      <c r="H2" s="46" t="s">
        <v>5</v>
      </c>
    </row>
    <row r="3" spans="1:8" x14ac:dyDescent="0.25">
      <c r="A3" s="47" t="s">
        <v>186</v>
      </c>
      <c r="B3" s="48">
        <v>7</v>
      </c>
      <c r="C3" s="48">
        <v>9</v>
      </c>
      <c r="D3" s="49"/>
      <c r="E3" s="49"/>
      <c r="F3" s="48">
        <v>16</v>
      </c>
      <c r="G3" s="50">
        <v>43.75</v>
      </c>
      <c r="H3" s="50">
        <v>43.75</v>
      </c>
    </row>
    <row r="4" spans="1:8" x14ac:dyDescent="0.25">
      <c r="A4" s="47" t="s">
        <v>177</v>
      </c>
      <c r="B4" s="48">
        <v>1</v>
      </c>
      <c r="C4" s="49"/>
      <c r="D4" s="49"/>
      <c r="E4" s="49"/>
      <c r="F4" s="48">
        <v>1</v>
      </c>
      <c r="G4" s="50">
        <v>100</v>
      </c>
      <c r="H4" s="50">
        <v>100</v>
      </c>
    </row>
    <row r="5" spans="1:8" x14ac:dyDescent="0.25">
      <c r="A5" s="47" t="s">
        <v>187</v>
      </c>
      <c r="B5" s="48">
        <v>8</v>
      </c>
      <c r="C5" s="48">
        <v>4</v>
      </c>
      <c r="D5" s="49"/>
      <c r="E5" s="48">
        <v>1</v>
      </c>
      <c r="F5" s="48">
        <v>13</v>
      </c>
      <c r="G5" s="50">
        <v>66.67</v>
      </c>
      <c r="H5" s="50">
        <v>61.54</v>
      </c>
    </row>
    <row r="6" spans="1:8" x14ac:dyDescent="0.25">
      <c r="A6" s="47" t="s">
        <v>178</v>
      </c>
      <c r="B6" s="48">
        <v>4</v>
      </c>
      <c r="C6" s="48">
        <v>2</v>
      </c>
      <c r="D6" s="49"/>
      <c r="E6" s="49"/>
      <c r="F6" s="48">
        <v>6</v>
      </c>
      <c r="G6" s="50">
        <v>66.67</v>
      </c>
      <c r="H6" s="50">
        <v>66.67</v>
      </c>
    </row>
    <row r="7" spans="1:8" x14ac:dyDescent="0.25">
      <c r="A7" s="47" t="s">
        <v>179</v>
      </c>
      <c r="B7" s="48">
        <v>2</v>
      </c>
      <c r="C7" s="49"/>
      <c r="D7" s="49"/>
      <c r="E7" s="49"/>
      <c r="F7" s="48">
        <v>2</v>
      </c>
      <c r="G7" s="50">
        <v>100</v>
      </c>
      <c r="H7" s="50">
        <v>100</v>
      </c>
    </row>
    <row r="8" spans="1:8" x14ac:dyDescent="0.25">
      <c r="A8" s="47" t="s">
        <v>188</v>
      </c>
      <c r="B8" s="48">
        <v>0</v>
      </c>
      <c r="C8" s="48">
        <v>1</v>
      </c>
      <c r="D8" s="49"/>
      <c r="E8" s="49"/>
      <c r="F8" s="48">
        <v>1</v>
      </c>
      <c r="G8" s="49"/>
      <c r="H8" s="50">
        <v>0</v>
      </c>
    </row>
    <row r="9" spans="1:8" x14ac:dyDescent="0.25">
      <c r="A9" s="47" t="s">
        <v>189</v>
      </c>
      <c r="B9" s="48">
        <v>4</v>
      </c>
      <c r="C9" s="48">
        <v>2</v>
      </c>
      <c r="D9" s="49"/>
      <c r="E9" s="48">
        <v>1</v>
      </c>
      <c r="F9" s="48">
        <v>7</v>
      </c>
      <c r="G9" s="50">
        <v>66.67</v>
      </c>
      <c r="H9" s="50">
        <v>57.14</v>
      </c>
    </row>
    <row r="10" spans="1:8" x14ac:dyDescent="0.25">
      <c r="A10" s="47" t="s">
        <v>180</v>
      </c>
      <c r="B10" s="48">
        <v>1</v>
      </c>
      <c r="C10" s="48">
        <v>1</v>
      </c>
      <c r="D10" s="49"/>
      <c r="E10" s="49"/>
      <c r="F10" s="48">
        <v>2</v>
      </c>
      <c r="G10" s="50">
        <v>50</v>
      </c>
      <c r="H10" s="50">
        <v>50</v>
      </c>
    </row>
    <row r="11" spans="1:8" x14ac:dyDescent="0.25">
      <c r="A11" s="47" t="s">
        <v>181</v>
      </c>
      <c r="B11" s="48">
        <v>6</v>
      </c>
      <c r="C11" s="48">
        <v>1</v>
      </c>
      <c r="D11" s="49"/>
      <c r="E11" s="49"/>
      <c r="F11" s="48">
        <v>7</v>
      </c>
      <c r="G11" s="50">
        <v>85.71</v>
      </c>
      <c r="H11" s="50">
        <v>85.71</v>
      </c>
    </row>
    <row r="12" spans="1:8" x14ac:dyDescent="0.25">
      <c r="A12" s="47" t="s">
        <v>182</v>
      </c>
      <c r="B12" s="48">
        <v>3</v>
      </c>
      <c r="C12" s="48">
        <v>2</v>
      </c>
      <c r="D12" s="49"/>
      <c r="E12" s="48">
        <v>1</v>
      </c>
      <c r="F12" s="48">
        <v>6</v>
      </c>
      <c r="G12" s="50">
        <v>60</v>
      </c>
      <c r="H12" s="50">
        <v>50</v>
      </c>
    </row>
    <row r="13" spans="1:8" x14ac:dyDescent="0.25">
      <c r="A13" s="47" t="s">
        <v>213</v>
      </c>
      <c r="B13" s="48">
        <v>6</v>
      </c>
      <c r="C13" s="48">
        <v>3</v>
      </c>
      <c r="D13" s="49"/>
      <c r="E13" s="49"/>
      <c r="F13" s="48">
        <v>9</v>
      </c>
      <c r="G13" s="50">
        <v>66.67</v>
      </c>
      <c r="H13" s="50">
        <v>66.67</v>
      </c>
    </row>
    <row r="14" spans="1:8" x14ac:dyDescent="0.25">
      <c r="A14" s="47" t="s">
        <v>214</v>
      </c>
      <c r="B14" s="48">
        <v>2</v>
      </c>
      <c r="C14" s="48">
        <v>1</v>
      </c>
      <c r="D14" s="49"/>
      <c r="E14" s="49"/>
      <c r="F14" s="48">
        <v>3</v>
      </c>
      <c r="G14" s="50">
        <v>66.67</v>
      </c>
      <c r="H14" s="50">
        <v>66.67</v>
      </c>
    </row>
    <row r="15" spans="1:8" x14ac:dyDescent="0.25">
      <c r="A15" s="47" t="s">
        <v>190</v>
      </c>
      <c r="B15" s="48">
        <v>0</v>
      </c>
      <c r="C15" s="48">
        <v>1</v>
      </c>
      <c r="D15" s="49"/>
      <c r="E15" s="48">
        <v>1</v>
      </c>
      <c r="F15" s="48">
        <v>2</v>
      </c>
      <c r="G15" s="49"/>
      <c r="H15" s="50">
        <v>0</v>
      </c>
    </row>
    <row r="16" spans="1:8" x14ac:dyDescent="0.25">
      <c r="A16" s="47" t="s">
        <v>184</v>
      </c>
      <c r="B16" s="48">
        <v>3</v>
      </c>
      <c r="C16" s="49"/>
      <c r="D16" s="49"/>
      <c r="E16" s="49"/>
      <c r="F16" s="48">
        <v>3</v>
      </c>
      <c r="G16" s="50">
        <v>100</v>
      </c>
      <c r="H16" s="50">
        <v>100</v>
      </c>
    </row>
    <row r="17" spans="1:8" x14ac:dyDescent="0.25">
      <c r="A17" s="47" t="s">
        <v>183</v>
      </c>
      <c r="B17" s="48">
        <v>0</v>
      </c>
      <c r="C17" s="48">
        <v>1</v>
      </c>
      <c r="D17" s="49"/>
      <c r="E17" s="49"/>
      <c r="F17" s="48">
        <v>1</v>
      </c>
      <c r="G17" s="49"/>
      <c r="H17" s="50">
        <v>0</v>
      </c>
    </row>
    <row r="18" spans="1:8" x14ac:dyDescent="0.25">
      <c r="A18" s="47" t="s">
        <v>215</v>
      </c>
      <c r="B18" s="48">
        <v>3</v>
      </c>
      <c r="C18" s="48">
        <v>2</v>
      </c>
      <c r="D18" s="49"/>
      <c r="E18" s="49"/>
      <c r="F18" s="48">
        <v>5</v>
      </c>
      <c r="G18" s="50">
        <v>60</v>
      </c>
      <c r="H18" s="50">
        <v>60</v>
      </c>
    </row>
    <row r="19" spans="1:8" x14ac:dyDescent="0.25">
      <c r="A19" s="47" t="s">
        <v>216</v>
      </c>
      <c r="B19" s="48">
        <v>4</v>
      </c>
      <c r="C19" s="49"/>
      <c r="D19" s="49"/>
      <c r="E19" s="48">
        <v>2</v>
      </c>
      <c r="F19" s="48">
        <v>6</v>
      </c>
      <c r="G19" s="50">
        <v>100</v>
      </c>
      <c r="H19" s="50">
        <v>66.67</v>
      </c>
    </row>
    <row r="20" spans="1:8" x14ac:dyDescent="0.25">
      <c r="A20" s="47" t="s">
        <v>217</v>
      </c>
      <c r="B20" s="48">
        <v>0</v>
      </c>
      <c r="C20" s="49"/>
      <c r="D20" s="49"/>
      <c r="E20" s="48">
        <v>1</v>
      </c>
      <c r="F20" s="48">
        <v>1</v>
      </c>
      <c r="G20" s="49"/>
      <c r="H20" s="50">
        <v>0</v>
      </c>
    </row>
    <row r="21" spans="1:8" x14ac:dyDescent="0.25">
      <c r="A21" s="47" t="s">
        <v>218</v>
      </c>
      <c r="B21" s="48">
        <v>0</v>
      </c>
      <c r="C21" s="48">
        <v>2</v>
      </c>
      <c r="D21" s="49"/>
      <c r="E21" s="49"/>
      <c r="F21" s="48">
        <v>2</v>
      </c>
      <c r="G21" s="49"/>
      <c r="H21" s="50">
        <v>0</v>
      </c>
    </row>
    <row r="22" spans="1:8" x14ac:dyDescent="0.25">
      <c r="A22" s="47" t="s">
        <v>219</v>
      </c>
      <c r="B22" s="48">
        <v>0</v>
      </c>
      <c r="C22" s="48">
        <v>1</v>
      </c>
      <c r="D22" s="49"/>
      <c r="E22" s="49"/>
      <c r="F22" s="48">
        <v>1</v>
      </c>
      <c r="G22" s="49"/>
      <c r="H22" s="50">
        <v>0</v>
      </c>
    </row>
    <row r="23" spans="1:8" x14ac:dyDescent="0.25">
      <c r="A23" s="47" t="s">
        <v>191</v>
      </c>
      <c r="B23" s="48">
        <v>70</v>
      </c>
      <c r="C23" s="48">
        <v>31</v>
      </c>
      <c r="D23" s="49"/>
      <c r="E23" s="48">
        <v>1</v>
      </c>
      <c r="F23" s="48">
        <v>102</v>
      </c>
      <c r="G23" s="50">
        <v>69.31</v>
      </c>
      <c r="H23" s="50">
        <v>68.63</v>
      </c>
    </row>
    <row r="24" spans="1:8" x14ac:dyDescent="0.25">
      <c r="A24" s="47" t="s">
        <v>192</v>
      </c>
      <c r="B24" s="48">
        <v>15</v>
      </c>
      <c r="C24" s="48">
        <v>8</v>
      </c>
      <c r="D24" s="49"/>
      <c r="E24" s="49"/>
      <c r="F24" s="48">
        <v>23</v>
      </c>
      <c r="G24" s="50">
        <v>65.22</v>
      </c>
      <c r="H24" s="50">
        <v>65.22</v>
      </c>
    </row>
    <row r="25" spans="1:8" x14ac:dyDescent="0.25">
      <c r="A25" s="47" t="s">
        <v>193</v>
      </c>
      <c r="B25" s="48">
        <v>0</v>
      </c>
      <c r="C25" s="48">
        <v>4</v>
      </c>
      <c r="D25" s="49"/>
      <c r="E25" s="48">
        <v>1</v>
      </c>
      <c r="F25" s="48">
        <v>5</v>
      </c>
      <c r="G25" s="49"/>
      <c r="H25" s="50">
        <v>0</v>
      </c>
    </row>
    <row r="26" spans="1:8" x14ac:dyDescent="0.25">
      <c r="A26" s="47" t="s">
        <v>194</v>
      </c>
      <c r="B26" s="48">
        <v>0</v>
      </c>
      <c r="C26" s="48">
        <v>3</v>
      </c>
      <c r="D26" s="49"/>
      <c r="E26" s="48">
        <v>1</v>
      </c>
      <c r="F26" s="48">
        <v>4</v>
      </c>
      <c r="G26" s="49"/>
      <c r="H26" s="50">
        <v>0</v>
      </c>
    </row>
    <row r="27" spans="1:8" x14ac:dyDescent="0.25">
      <c r="A27" s="47" t="s">
        <v>195</v>
      </c>
      <c r="B27" s="48">
        <v>2</v>
      </c>
      <c r="C27" s="49"/>
      <c r="D27" s="49"/>
      <c r="E27" s="49"/>
      <c r="F27" s="48">
        <v>2</v>
      </c>
      <c r="G27" s="50">
        <v>100</v>
      </c>
      <c r="H27" s="50">
        <v>100</v>
      </c>
    </row>
    <row r="28" spans="1:8" x14ac:dyDescent="0.25">
      <c r="A28" s="47" t="s">
        <v>196</v>
      </c>
      <c r="B28" s="48">
        <v>0</v>
      </c>
      <c r="C28" s="48">
        <v>1</v>
      </c>
      <c r="D28" s="49"/>
      <c r="E28" s="49"/>
      <c r="F28" s="48">
        <v>1</v>
      </c>
      <c r="G28" s="49"/>
      <c r="H28" s="50">
        <v>0</v>
      </c>
    </row>
    <row r="29" spans="1:8" x14ac:dyDescent="0.25">
      <c r="A29" s="47" t="s">
        <v>197</v>
      </c>
      <c r="B29" s="48">
        <v>2</v>
      </c>
      <c r="C29" s="48">
        <v>1</v>
      </c>
      <c r="D29" s="49"/>
      <c r="E29" s="49"/>
      <c r="F29" s="48">
        <v>3</v>
      </c>
      <c r="G29" s="50">
        <v>66.67</v>
      </c>
      <c r="H29" s="50">
        <v>66.67</v>
      </c>
    </row>
    <row r="30" spans="1:8" x14ac:dyDescent="0.25">
      <c r="A30" s="47" t="s">
        <v>198</v>
      </c>
      <c r="B30" s="48">
        <v>0</v>
      </c>
      <c r="C30" s="48">
        <v>2</v>
      </c>
      <c r="D30" s="49"/>
      <c r="E30" s="49"/>
      <c r="F30" s="48">
        <v>2</v>
      </c>
      <c r="G30" s="49"/>
      <c r="H30" s="50">
        <v>0</v>
      </c>
    </row>
    <row r="31" spans="1:8" x14ac:dyDescent="0.25">
      <c r="A31" s="47" t="s">
        <v>199</v>
      </c>
      <c r="B31" s="48">
        <v>1</v>
      </c>
      <c r="C31" s="48">
        <v>1</v>
      </c>
      <c r="D31" s="49"/>
      <c r="E31" s="49"/>
      <c r="F31" s="48">
        <v>2</v>
      </c>
      <c r="G31" s="50">
        <v>50</v>
      </c>
      <c r="H31" s="50">
        <v>50</v>
      </c>
    </row>
    <row r="32" spans="1:8" x14ac:dyDescent="0.25">
      <c r="A32" s="47" t="s">
        <v>200</v>
      </c>
      <c r="B32" s="48">
        <v>2</v>
      </c>
      <c r="C32" s="49"/>
      <c r="D32" s="49"/>
      <c r="E32" s="49"/>
      <c r="F32" s="48">
        <v>2</v>
      </c>
      <c r="G32" s="50">
        <v>100</v>
      </c>
      <c r="H32" s="50">
        <v>100</v>
      </c>
    </row>
    <row r="33" spans="1:8" x14ac:dyDescent="0.25">
      <c r="A33" s="47" t="s">
        <v>201</v>
      </c>
      <c r="B33" s="48">
        <v>4</v>
      </c>
      <c r="C33" s="48">
        <v>5</v>
      </c>
      <c r="D33" s="49"/>
      <c r="E33" s="49"/>
      <c r="F33" s="48">
        <v>9</v>
      </c>
      <c r="G33" s="50">
        <v>44.44</v>
      </c>
      <c r="H33" s="50">
        <v>44.44</v>
      </c>
    </row>
    <row r="34" spans="1:8" x14ac:dyDescent="0.25">
      <c r="A34" s="47" t="s">
        <v>202</v>
      </c>
      <c r="B34" s="48">
        <v>0</v>
      </c>
      <c r="C34" s="48">
        <v>1</v>
      </c>
      <c r="D34" s="49"/>
      <c r="E34" s="49"/>
      <c r="F34" s="48">
        <v>1</v>
      </c>
      <c r="G34" s="49"/>
      <c r="H34" s="50">
        <v>0</v>
      </c>
    </row>
    <row r="35" spans="1:8" x14ac:dyDescent="0.25">
      <c r="A35" s="47" t="s">
        <v>203</v>
      </c>
      <c r="B35" s="48">
        <v>1</v>
      </c>
      <c r="C35" s="49"/>
      <c r="D35" s="49"/>
      <c r="E35" s="49"/>
      <c r="F35" s="48">
        <v>1</v>
      </c>
      <c r="G35" s="50">
        <v>100</v>
      </c>
      <c r="H35" s="50">
        <v>100</v>
      </c>
    </row>
    <row r="36" spans="1:8" x14ac:dyDescent="0.25">
      <c r="A36" s="47" t="s">
        <v>207</v>
      </c>
      <c r="B36" s="48">
        <v>3</v>
      </c>
      <c r="C36" s="48">
        <v>2</v>
      </c>
      <c r="D36" s="49"/>
      <c r="E36" s="49"/>
      <c r="F36" s="48">
        <v>5</v>
      </c>
      <c r="G36" s="50">
        <v>60</v>
      </c>
      <c r="H36" s="50">
        <v>60</v>
      </c>
    </row>
    <row r="37" spans="1:8" x14ac:dyDescent="0.25">
      <c r="A37" s="47" t="s">
        <v>6</v>
      </c>
      <c r="B37" s="48">
        <v>13</v>
      </c>
      <c r="C37" s="48">
        <v>4</v>
      </c>
      <c r="D37" s="49"/>
      <c r="E37" s="49"/>
      <c r="F37" s="48">
        <v>17</v>
      </c>
      <c r="G37" s="50">
        <v>76.47</v>
      </c>
      <c r="H37" s="50">
        <v>76.47</v>
      </c>
    </row>
    <row r="38" spans="1:8" x14ac:dyDescent="0.25">
      <c r="A38" s="47" t="s">
        <v>7</v>
      </c>
      <c r="B38" s="48">
        <v>10</v>
      </c>
      <c r="C38" s="48">
        <v>2</v>
      </c>
      <c r="D38" s="49"/>
      <c r="E38" s="48">
        <v>1</v>
      </c>
      <c r="F38" s="48">
        <v>13</v>
      </c>
      <c r="G38" s="50">
        <v>83.33</v>
      </c>
      <c r="H38" s="50">
        <v>76.92</v>
      </c>
    </row>
    <row r="39" spans="1:8" x14ac:dyDescent="0.25">
      <c r="A39" s="47" t="s">
        <v>8</v>
      </c>
      <c r="B39" s="48">
        <v>9</v>
      </c>
      <c r="C39" s="48">
        <v>4</v>
      </c>
      <c r="D39" s="49"/>
      <c r="E39" s="49"/>
      <c r="F39" s="48">
        <v>13</v>
      </c>
      <c r="G39" s="50">
        <v>69.23</v>
      </c>
      <c r="H39" s="50">
        <v>69.23</v>
      </c>
    </row>
    <row r="40" spans="1:8" x14ac:dyDescent="0.25">
      <c r="A40" s="47" t="s">
        <v>9</v>
      </c>
      <c r="B40" s="48">
        <v>38</v>
      </c>
      <c r="C40" s="48">
        <v>30</v>
      </c>
      <c r="D40" s="49"/>
      <c r="E40" s="49"/>
      <c r="F40" s="48">
        <v>68</v>
      </c>
      <c r="G40" s="50">
        <v>55.88</v>
      </c>
      <c r="H40" s="50">
        <v>55.88</v>
      </c>
    </row>
    <row r="41" spans="1:8" x14ac:dyDescent="0.25">
      <c r="A41" s="47" t="s">
        <v>10</v>
      </c>
      <c r="B41" s="48">
        <v>14</v>
      </c>
      <c r="C41" s="48">
        <v>1</v>
      </c>
      <c r="D41" s="49"/>
      <c r="E41" s="49"/>
      <c r="F41" s="48">
        <v>15</v>
      </c>
      <c r="G41" s="50">
        <v>93.33</v>
      </c>
      <c r="H41" s="50">
        <v>93.33</v>
      </c>
    </row>
    <row r="42" spans="1:8" x14ac:dyDescent="0.25">
      <c r="A42" s="47" t="s">
        <v>11</v>
      </c>
      <c r="B42" s="48">
        <v>19</v>
      </c>
      <c r="C42" s="48">
        <v>5</v>
      </c>
      <c r="D42" s="49"/>
      <c r="E42" s="49"/>
      <c r="F42" s="48">
        <v>24</v>
      </c>
      <c r="G42" s="50">
        <v>79.17</v>
      </c>
      <c r="H42" s="50">
        <v>79.17</v>
      </c>
    </row>
    <row r="43" spans="1:8" x14ac:dyDescent="0.25">
      <c r="A43" s="47" t="s">
        <v>13</v>
      </c>
      <c r="B43" s="48">
        <v>5</v>
      </c>
      <c r="C43" s="48">
        <v>1</v>
      </c>
      <c r="D43" s="49"/>
      <c r="E43" s="49"/>
      <c r="F43" s="48">
        <v>6</v>
      </c>
      <c r="G43" s="50">
        <v>83.33</v>
      </c>
      <c r="H43" s="50">
        <v>83.33</v>
      </c>
    </row>
    <row r="44" spans="1:8" x14ac:dyDescent="0.25">
      <c r="A44" s="47" t="s">
        <v>14</v>
      </c>
      <c r="B44" s="48">
        <v>53</v>
      </c>
      <c r="C44" s="48">
        <v>9</v>
      </c>
      <c r="D44" s="49"/>
      <c r="E44" s="49"/>
      <c r="F44" s="48">
        <v>62</v>
      </c>
      <c r="G44" s="50">
        <v>85.48</v>
      </c>
      <c r="H44" s="50">
        <v>85.48</v>
      </c>
    </row>
    <row r="45" spans="1:8" x14ac:dyDescent="0.25">
      <c r="A45" s="47" t="s">
        <v>16</v>
      </c>
      <c r="B45" s="48">
        <v>5</v>
      </c>
      <c r="C45" s="48">
        <v>4</v>
      </c>
      <c r="D45" s="49"/>
      <c r="E45" s="49"/>
      <c r="F45" s="48">
        <v>9</v>
      </c>
      <c r="G45" s="50">
        <v>55.56</v>
      </c>
      <c r="H45" s="50">
        <v>55.56</v>
      </c>
    </row>
    <row r="46" spans="1:8" x14ac:dyDescent="0.25">
      <c r="A46" s="47" t="s">
        <v>17</v>
      </c>
      <c r="B46" s="48">
        <v>2</v>
      </c>
      <c r="C46" s="49"/>
      <c r="D46" s="49"/>
      <c r="E46" s="49"/>
      <c r="F46" s="48">
        <v>2</v>
      </c>
      <c r="G46" s="50">
        <v>100</v>
      </c>
      <c r="H46" s="50">
        <v>100</v>
      </c>
    </row>
    <row r="47" spans="1:8" x14ac:dyDescent="0.25">
      <c r="A47" s="47" t="s">
        <v>18</v>
      </c>
      <c r="B47" s="48">
        <v>10</v>
      </c>
      <c r="C47" s="48">
        <v>2</v>
      </c>
      <c r="D47" s="49"/>
      <c r="E47" s="48">
        <v>1</v>
      </c>
      <c r="F47" s="48">
        <v>13</v>
      </c>
      <c r="G47" s="50">
        <v>83.33</v>
      </c>
      <c r="H47" s="50">
        <v>76.92</v>
      </c>
    </row>
    <row r="48" spans="1:8" x14ac:dyDescent="0.25">
      <c r="A48" s="47" t="s">
        <v>19</v>
      </c>
      <c r="B48" s="48">
        <v>14</v>
      </c>
      <c r="C48" s="48">
        <v>7</v>
      </c>
      <c r="D48" s="49"/>
      <c r="E48" s="48">
        <v>1</v>
      </c>
      <c r="F48" s="48">
        <v>22</v>
      </c>
      <c r="G48" s="50">
        <v>66.67</v>
      </c>
      <c r="H48" s="50">
        <v>63.64</v>
      </c>
    </row>
    <row r="49" spans="1:8" x14ac:dyDescent="0.25">
      <c r="A49" s="47" t="s">
        <v>20</v>
      </c>
      <c r="B49" s="48">
        <v>17</v>
      </c>
      <c r="C49" s="48">
        <v>18</v>
      </c>
      <c r="D49" s="49"/>
      <c r="E49" s="49"/>
      <c r="F49" s="48">
        <v>35</v>
      </c>
      <c r="G49" s="50">
        <v>48.57</v>
      </c>
      <c r="H49" s="50">
        <v>48.57</v>
      </c>
    </row>
    <row r="50" spans="1:8" x14ac:dyDescent="0.25">
      <c r="A50" s="47" t="s">
        <v>21</v>
      </c>
      <c r="B50" s="48">
        <v>21</v>
      </c>
      <c r="C50" s="48">
        <v>31</v>
      </c>
      <c r="D50" s="49"/>
      <c r="E50" s="49"/>
      <c r="F50" s="48">
        <v>52</v>
      </c>
      <c r="G50" s="50">
        <v>40.380000000000003</v>
      </c>
      <c r="H50" s="50">
        <v>40.380000000000003</v>
      </c>
    </row>
    <row r="51" spans="1:8" x14ac:dyDescent="0.25">
      <c r="A51" s="47" t="s">
        <v>24</v>
      </c>
      <c r="B51" s="48">
        <v>8</v>
      </c>
      <c r="C51" s="48">
        <v>8</v>
      </c>
      <c r="D51" s="49"/>
      <c r="E51" s="49"/>
      <c r="F51" s="48">
        <v>16</v>
      </c>
      <c r="G51" s="50">
        <v>50</v>
      </c>
      <c r="H51" s="50">
        <v>50</v>
      </c>
    </row>
    <row r="52" spans="1:8" x14ac:dyDescent="0.25">
      <c r="A52" s="47" t="s">
        <v>26</v>
      </c>
      <c r="B52" s="48">
        <v>105</v>
      </c>
      <c r="C52" s="48">
        <v>22</v>
      </c>
      <c r="D52" s="49"/>
      <c r="E52" s="49"/>
      <c r="F52" s="48">
        <v>127</v>
      </c>
      <c r="G52" s="50">
        <v>82.68</v>
      </c>
      <c r="H52" s="50">
        <v>82.68</v>
      </c>
    </row>
    <row r="53" spans="1:8" x14ac:dyDescent="0.25">
      <c r="A53" s="47" t="s">
        <v>27</v>
      </c>
      <c r="B53" s="48">
        <v>109</v>
      </c>
      <c r="C53" s="48">
        <v>22</v>
      </c>
      <c r="D53" s="49"/>
      <c r="E53" s="48">
        <v>2</v>
      </c>
      <c r="F53" s="48">
        <v>133</v>
      </c>
      <c r="G53" s="50">
        <v>83.21</v>
      </c>
      <c r="H53" s="50">
        <v>81.95</v>
      </c>
    </row>
    <row r="54" spans="1:8" x14ac:dyDescent="0.25">
      <c r="A54" s="47" t="s">
        <v>28</v>
      </c>
      <c r="B54" s="48">
        <v>80</v>
      </c>
      <c r="C54" s="48">
        <v>43</v>
      </c>
      <c r="D54" s="49"/>
      <c r="E54" s="48">
        <v>1</v>
      </c>
      <c r="F54" s="48">
        <v>124</v>
      </c>
      <c r="G54" s="50">
        <v>65.040000000000006</v>
      </c>
      <c r="H54" s="50">
        <v>64.52</v>
      </c>
    </row>
    <row r="55" spans="1:8" x14ac:dyDescent="0.25">
      <c r="A55" s="47" t="s">
        <v>29</v>
      </c>
      <c r="B55" s="48">
        <v>54</v>
      </c>
      <c r="C55" s="48">
        <v>9</v>
      </c>
      <c r="D55" s="49"/>
      <c r="E55" s="49"/>
      <c r="F55" s="48">
        <v>63</v>
      </c>
      <c r="G55" s="50">
        <v>85.71</v>
      </c>
      <c r="H55" s="50">
        <v>85.71</v>
      </c>
    </row>
    <row r="56" spans="1:8" x14ac:dyDescent="0.25">
      <c r="A56" s="47" t="s">
        <v>185</v>
      </c>
      <c r="B56" s="48">
        <v>8</v>
      </c>
      <c r="C56" s="48">
        <v>8</v>
      </c>
      <c r="D56" s="49"/>
      <c r="E56" s="48">
        <v>1</v>
      </c>
      <c r="F56" s="48">
        <v>17</v>
      </c>
      <c r="G56" s="50">
        <v>50</v>
      </c>
      <c r="H56" s="50">
        <v>47.06</v>
      </c>
    </row>
    <row r="57" spans="1:8" x14ac:dyDescent="0.25">
      <c r="A57" s="47" t="s">
        <v>30</v>
      </c>
      <c r="B57" s="48">
        <v>16</v>
      </c>
      <c r="C57" s="48">
        <v>6</v>
      </c>
      <c r="D57" s="49"/>
      <c r="E57" s="48">
        <v>1</v>
      </c>
      <c r="F57" s="48">
        <v>23</v>
      </c>
      <c r="G57" s="50">
        <v>72.73</v>
      </c>
      <c r="H57" s="50">
        <v>69.569999999999993</v>
      </c>
    </row>
    <row r="58" spans="1:8" x14ac:dyDescent="0.25">
      <c r="A58" s="47" t="s">
        <v>31</v>
      </c>
      <c r="B58" s="48">
        <v>6</v>
      </c>
      <c r="C58" s="48">
        <v>7</v>
      </c>
      <c r="D58" s="49"/>
      <c r="E58" s="49"/>
      <c r="F58" s="48">
        <v>13</v>
      </c>
      <c r="G58" s="50">
        <v>46.15</v>
      </c>
      <c r="H58" s="50">
        <v>46.15</v>
      </c>
    </row>
    <row r="59" spans="1:8" x14ac:dyDescent="0.25">
      <c r="A59" s="47" t="s">
        <v>32</v>
      </c>
      <c r="B59" s="48">
        <v>4</v>
      </c>
      <c r="C59" s="48">
        <v>3</v>
      </c>
      <c r="D59" s="49"/>
      <c r="E59" s="49"/>
      <c r="F59" s="48">
        <v>7</v>
      </c>
      <c r="G59" s="50">
        <v>57.14</v>
      </c>
      <c r="H59" s="50">
        <v>57.14</v>
      </c>
    </row>
    <row r="60" spans="1:8" x14ac:dyDescent="0.25">
      <c r="A60" s="47" t="s">
        <v>33</v>
      </c>
      <c r="B60" s="48">
        <v>10</v>
      </c>
      <c r="C60" s="48">
        <v>4</v>
      </c>
      <c r="D60" s="49"/>
      <c r="E60" s="48">
        <v>1</v>
      </c>
      <c r="F60" s="48">
        <v>15</v>
      </c>
      <c r="G60" s="50">
        <v>71.430000000000007</v>
      </c>
      <c r="H60" s="50">
        <v>66.67</v>
      </c>
    </row>
    <row r="61" spans="1:8" x14ac:dyDescent="0.25">
      <c r="A61" s="47" t="s">
        <v>34</v>
      </c>
      <c r="B61" s="48">
        <v>6</v>
      </c>
      <c r="C61" s="48">
        <v>4</v>
      </c>
      <c r="D61" s="49"/>
      <c r="E61" s="49"/>
      <c r="F61" s="48">
        <v>10</v>
      </c>
      <c r="G61" s="50">
        <v>60</v>
      </c>
      <c r="H61" s="50">
        <v>60</v>
      </c>
    </row>
    <row r="62" spans="1:8" x14ac:dyDescent="0.25">
      <c r="A62" s="47" t="s">
        <v>35</v>
      </c>
      <c r="B62" s="48">
        <v>4</v>
      </c>
      <c r="C62" s="48">
        <v>29</v>
      </c>
      <c r="D62" s="49"/>
      <c r="E62" s="49"/>
      <c r="F62" s="48">
        <v>33</v>
      </c>
      <c r="G62" s="50">
        <v>12.12</v>
      </c>
      <c r="H62" s="50">
        <v>12.12</v>
      </c>
    </row>
    <row r="63" spans="1:8" x14ac:dyDescent="0.25">
      <c r="A63" s="47" t="s">
        <v>37</v>
      </c>
      <c r="B63" s="48">
        <v>21</v>
      </c>
      <c r="C63" s="48">
        <v>15</v>
      </c>
      <c r="D63" s="49"/>
      <c r="E63" s="48">
        <v>1</v>
      </c>
      <c r="F63" s="48">
        <v>37</v>
      </c>
      <c r="G63" s="50">
        <v>58.33</v>
      </c>
      <c r="H63" s="50">
        <v>56.76</v>
      </c>
    </row>
    <row r="64" spans="1:8" x14ac:dyDescent="0.25">
      <c r="A64" s="47" t="s">
        <v>38</v>
      </c>
      <c r="B64" s="48">
        <v>23</v>
      </c>
      <c r="C64" s="48">
        <v>4</v>
      </c>
      <c r="D64" s="49"/>
      <c r="E64" s="49"/>
      <c r="F64" s="48">
        <v>27</v>
      </c>
      <c r="G64" s="50">
        <v>85.19</v>
      </c>
      <c r="H64" s="50">
        <v>85.19</v>
      </c>
    </row>
    <row r="65" spans="1:8" x14ac:dyDescent="0.25">
      <c r="A65" s="47" t="s">
        <v>39</v>
      </c>
      <c r="B65" s="48">
        <v>6</v>
      </c>
      <c r="C65" s="48">
        <v>1</v>
      </c>
      <c r="D65" s="49"/>
      <c r="E65" s="49"/>
      <c r="F65" s="48">
        <v>7</v>
      </c>
      <c r="G65" s="50">
        <v>85.71</v>
      </c>
      <c r="H65" s="50">
        <v>85.71</v>
      </c>
    </row>
    <row r="66" spans="1:8" x14ac:dyDescent="0.25">
      <c r="A66" s="47" t="s">
        <v>40</v>
      </c>
      <c r="B66" s="48">
        <v>12</v>
      </c>
      <c r="C66" s="48">
        <v>5</v>
      </c>
      <c r="D66" s="49"/>
      <c r="E66" s="49"/>
      <c r="F66" s="48">
        <v>17</v>
      </c>
      <c r="G66" s="50">
        <v>70.59</v>
      </c>
      <c r="H66" s="50">
        <v>70.59</v>
      </c>
    </row>
    <row r="67" spans="1:8" x14ac:dyDescent="0.25">
      <c r="A67" s="47" t="s">
        <v>42</v>
      </c>
      <c r="B67" s="48">
        <v>5</v>
      </c>
      <c r="C67" s="48">
        <v>2</v>
      </c>
      <c r="D67" s="49"/>
      <c r="E67" s="48">
        <v>1</v>
      </c>
      <c r="F67" s="48">
        <v>8</v>
      </c>
      <c r="G67" s="50">
        <v>71.430000000000007</v>
      </c>
      <c r="H67" s="50">
        <v>62.5</v>
      </c>
    </row>
    <row r="68" spans="1:8" x14ac:dyDescent="0.25">
      <c r="A68" s="47" t="s">
        <v>43</v>
      </c>
      <c r="B68" s="48">
        <v>6</v>
      </c>
      <c r="C68" s="48">
        <v>10</v>
      </c>
      <c r="D68" s="49"/>
      <c r="E68" s="49"/>
      <c r="F68" s="48">
        <v>16</v>
      </c>
      <c r="G68" s="50">
        <v>37.5</v>
      </c>
      <c r="H68" s="50">
        <v>37.5</v>
      </c>
    </row>
    <row r="69" spans="1:8" x14ac:dyDescent="0.25">
      <c r="A69" s="47" t="s">
        <v>204</v>
      </c>
      <c r="B69" s="48">
        <v>2</v>
      </c>
      <c r="C69" s="49"/>
      <c r="D69" s="49"/>
      <c r="E69" s="48">
        <v>1</v>
      </c>
      <c r="F69" s="48">
        <v>3</v>
      </c>
      <c r="G69" s="50">
        <v>100</v>
      </c>
      <c r="H69" s="50">
        <v>66.67</v>
      </c>
    </row>
    <row r="70" spans="1:8" x14ac:dyDescent="0.25">
      <c r="A70" s="47" t="s">
        <v>205</v>
      </c>
      <c r="B70" s="48">
        <v>0</v>
      </c>
      <c r="C70" s="48">
        <v>1</v>
      </c>
      <c r="D70" s="49"/>
      <c r="E70" s="49"/>
      <c r="F70" s="48">
        <v>1</v>
      </c>
      <c r="G70" s="49"/>
      <c r="H70" s="50">
        <v>0</v>
      </c>
    </row>
    <row r="71" spans="1:8" x14ac:dyDescent="0.25">
      <c r="A71" s="47" t="s">
        <v>206</v>
      </c>
      <c r="B71" s="48">
        <v>0</v>
      </c>
      <c r="C71" s="49"/>
      <c r="D71" s="49"/>
      <c r="E71" s="48">
        <v>1</v>
      </c>
      <c r="F71" s="48">
        <v>1</v>
      </c>
      <c r="G71" s="49"/>
      <c r="H71" s="50">
        <v>0</v>
      </c>
    </row>
    <row r="72" spans="1:8" x14ac:dyDescent="0.25">
      <c r="A72" s="47" t="s">
        <v>46</v>
      </c>
      <c r="B72" s="48">
        <v>1</v>
      </c>
      <c r="C72" s="48">
        <v>1</v>
      </c>
      <c r="D72" s="49"/>
      <c r="E72" s="49"/>
      <c r="F72" s="48">
        <v>2</v>
      </c>
      <c r="G72" s="50">
        <v>50</v>
      </c>
      <c r="H72" s="50">
        <v>50</v>
      </c>
    </row>
    <row r="73" spans="1:8" x14ac:dyDescent="0.25">
      <c r="A73" s="47" t="s">
        <v>47</v>
      </c>
      <c r="B73" s="48">
        <v>78</v>
      </c>
      <c r="C73" s="48">
        <v>34</v>
      </c>
      <c r="D73" s="48">
        <v>1</v>
      </c>
      <c r="E73" s="48">
        <v>2</v>
      </c>
      <c r="F73" s="48">
        <v>115</v>
      </c>
      <c r="G73" s="50">
        <v>69.03</v>
      </c>
      <c r="H73" s="50">
        <v>67.83</v>
      </c>
    </row>
    <row r="74" spans="1:8" x14ac:dyDescent="0.25">
      <c r="A74" s="47" t="s">
        <v>48</v>
      </c>
      <c r="B74" s="48">
        <v>8</v>
      </c>
      <c r="C74" s="48">
        <v>2</v>
      </c>
      <c r="D74" s="49"/>
      <c r="E74" s="48">
        <v>1</v>
      </c>
      <c r="F74" s="48">
        <v>11</v>
      </c>
      <c r="G74" s="50">
        <v>80</v>
      </c>
      <c r="H74" s="50">
        <v>72.73</v>
      </c>
    </row>
    <row r="75" spans="1:8" x14ac:dyDescent="0.25">
      <c r="A75" s="47" t="s">
        <v>49</v>
      </c>
      <c r="B75" s="48">
        <v>23</v>
      </c>
      <c r="C75" s="48">
        <v>10</v>
      </c>
      <c r="D75" s="49"/>
      <c r="E75" s="49"/>
      <c r="F75" s="48">
        <v>33</v>
      </c>
      <c r="G75" s="50">
        <v>69.7</v>
      </c>
      <c r="H75" s="50">
        <v>69.7</v>
      </c>
    </row>
    <row r="76" spans="1:8" x14ac:dyDescent="0.25">
      <c r="A76" s="47" t="s">
        <v>50</v>
      </c>
      <c r="B76" s="48">
        <v>0</v>
      </c>
      <c r="C76" s="48">
        <v>1</v>
      </c>
      <c r="D76" s="49"/>
      <c r="E76" s="49"/>
      <c r="F76" s="48">
        <v>1</v>
      </c>
      <c r="G76" s="49"/>
      <c r="H76" s="50">
        <v>0</v>
      </c>
    </row>
    <row r="77" spans="1:8" x14ac:dyDescent="0.25">
      <c r="A77" s="47" t="s">
        <v>51</v>
      </c>
      <c r="B77" s="48">
        <v>9</v>
      </c>
      <c r="C77" s="48">
        <v>6</v>
      </c>
      <c r="D77" s="49"/>
      <c r="E77" s="48">
        <v>1</v>
      </c>
      <c r="F77" s="48">
        <v>16</v>
      </c>
      <c r="G77" s="50">
        <v>60</v>
      </c>
      <c r="H77" s="50">
        <v>56.25</v>
      </c>
    </row>
    <row r="78" spans="1:8" x14ac:dyDescent="0.25">
      <c r="A78" s="47" t="s">
        <v>52</v>
      </c>
      <c r="B78" s="48">
        <v>6</v>
      </c>
      <c r="C78" s="48">
        <v>2</v>
      </c>
      <c r="D78" s="49"/>
      <c r="E78" s="48">
        <v>1</v>
      </c>
      <c r="F78" s="48">
        <v>9</v>
      </c>
      <c r="G78" s="50">
        <v>75</v>
      </c>
      <c r="H78" s="50">
        <v>66.67</v>
      </c>
    </row>
    <row r="79" spans="1:8" x14ac:dyDescent="0.25">
      <c r="A79" s="47" t="s">
        <v>53</v>
      </c>
      <c r="B79" s="48">
        <v>17</v>
      </c>
      <c r="C79" s="48">
        <v>20</v>
      </c>
      <c r="D79" s="49"/>
      <c r="E79" s="48">
        <v>1</v>
      </c>
      <c r="F79" s="48">
        <v>38</v>
      </c>
      <c r="G79" s="50">
        <v>45.95</v>
      </c>
      <c r="H79" s="50">
        <v>44.74</v>
      </c>
    </row>
    <row r="80" spans="1:8" x14ac:dyDescent="0.25">
      <c r="A80" s="47" t="s">
        <v>55</v>
      </c>
      <c r="B80" s="48">
        <v>5</v>
      </c>
      <c r="C80" s="48">
        <v>5</v>
      </c>
      <c r="D80" s="49"/>
      <c r="E80" s="49"/>
      <c r="F80" s="48">
        <v>10</v>
      </c>
      <c r="G80" s="50">
        <v>50</v>
      </c>
      <c r="H80" s="50">
        <v>50</v>
      </c>
    </row>
    <row r="81" spans="1:8" x14ac:dyDescent="0.25">
      <c r="A81" s="47" t="s">
        <v>56</v>
      </c>
      <c r="B81" s="48">
        <v>70</v>
      </c>
      <c r="C81" s="48">
        <v>27</v>
      </c>
      <c r="D81" s="49"/>
      <c r="E81" s="48">
        <v>2</v>
      </c>
      <c r="F81" s="48">
        <v>99</v>
      </c>
      <c r="G81" s="50">
        <v>72.16</v>
      </c>
      <c r="H81" s="50">
        <v>70.709999999999994</v>
      </c>
    </row>
    <row r="82" spans="1:8" x14ac:dyDescent="0.25">
      <c r="A82" s="47" t="s">
        <v>57</v>
      </c>
      <c r="B82" s="48">
        <v>25</v>
      </c>
      <c r="C82" s="48">
        <v>29</v>
      </c>
      <c r="D82" s="49"/>
      <c r="E82" s="49"/>
      <c r="F82" s="48">
        <v>54</v>
      </c>
      <c r="G82" s="50">
        <v>46.3</v>
      </c>
      <c r="H82" s="50">
        <v>46.3</v>
      </c>
    </row>
    <row r="83" spans="1:8" x14ac:dyDescent="0.25">
      <c r="A83" s="47" t="s">
        <v>58</v>
      </c>
      <c r="B83" s="48">
        <v>6</v>
      </c>
      <c r="C83" s="48">
        <v>2</v>
      </c>
      <c r="D83" s="49"/>
      <c r="E83" s="49"/>
      <c r="F83" s="48">
        <v>8</v>
      </c>
      <c r="G83" s="50">
        <v>75</v>
      </c>
      <c r="H83" s="50">
        <v>75</v>
      </c>
    </row>
    <row r="84" spans="1:8" x14ac:dyDescent="0.25">
      <c r="A84" s="47" t="s">
        <v>59</v>
      </c>
      <c r="B84" s="48">
        <v>28</v>
      </c>
      <c r="C84" s="48">
        <v>19</v>
      </c>
      <c r="D84" s="49"/>
      <c r="E84" s="49"/>
      <c r="F84" s="48">
        <v>47</v>
      </c>
      <c r="G84" s="50">
        <v>59.57</v>
      </c>
      <c r="H84" s="50">
        <v>59.57</v>
      </c>
    </row>
    <row r="85" spans="1:8" x14ac:dyDescent="0.25">
      <c r="A85" s="47" t="s">
        <v>60</v>
      </c>
      <c r="B85" s="48">
        <v>3</v>
      </c>
      <c r="C85" s="48">
        <v>3</v>
      </c>
      <c r="D85" s="49"/>
      <c r="E85" s="49"/>
      <c r="F85" s="48">
        <v>6</v>
      </c>
      <c r="G85" s="50">
        <v>50</v>
      </c>
      <c r="H85" s="50">
        <v>50</v>
      </c>
    </row>
    <row r="86" spans="1:8" x14ac:dyDescent="0.25">
      <c r="A86" s="47" t="s">
        <v>63</v>
      </c>
      <c r="B86" s="48">
        <v>30</v>
      </c>
      <c r="C86" s="48">
        <v>23</v>
      </c>
      <c r="D86" s="49"/>
      <c r="E86" s="49"/>
      <c r="F86" s="48">
        <v>53</v>
      </c>
      <c r="G86" s="50">
        <v>56.6</v>
      </c>
      <c r="H86" s="50">
        <v>56.6</v>
      </c>
    </row>
    <row r="87" spans="1:8" x14ac:dyDescent="0.25">
      <c r="A87" s="47" t="s">
        <v>64</v>
      </c>
      <c r="B87" s="48">
        <v>7</v>
      </c>
      <c r="C87" s="48">
        <v>10</v>
      </c>
      <c r="D87" s="49"/>
      <c r="E87" s="49"/>
      <c r="F87" s="48">
        <v>17</v>
      </c>
      <c r="G87" s="50">
        <v>41.18</v>
      </c>
      <c r="H87" s="50">
        <v>41.18</v>
      </c>
    </row>
    <row r="88" spans="1:8" x14ac:dyDescent="0.25">
      <c r="A88" s="47" t="s">
        <v>66</v>
      </c>
      <c r="B88" s="48">
        <v>43</v>
      </c>
      <c r="C88" s="48">
        <v>18</v>
      </c>
      <c r="D88" s="49"/>
      <c r="E88" s="48">
        <v>1</v>
      </c>
      <c r="F88" s="48">
        <v>62</v>
      </c>
      <c r="G88" s="50">
        <v>70.489999999999995</v>
      </c>
      <c r="H88" s="50">
        <v>69.349999999999994</v>
      </c>
    </row>
    <row r="89" spans="1:8" x14ac:dyDescent="0.25">
      <c r="A89" s="47" t="s">
        <v>67</v>
      </c>
      <c r="B89" s="48">
        <v>23</v>
      </c>
      <c r="C89" s="48">
        <v>4</v>
      </c>
      <c r="D89" s="49"/>
      <c r="E89" s="49"/>
      <c r="F89" s="48">
        <v>27</v>
      </c>
      <c r="G89" s="50">
        <v>85.19</v>
      </c>
      <c r="H89" s="50">
        <v>85.19</v>
      </c>
    </row>
    <row r="90" spans="1:8" x14ac:dyDescent="0.25">
      <c r="A90" s="47" t="s">
        <v>69</v>
      </c>
      <c r="B90" s="48">
        <v>32</v>
      </c>
      <c r="C90" s="48">
        <v>11</v>
      </c>
      <c r="D90" s="49"/>
      <c r="E90" s="49"/>
      <c r="F90" s="48">
        <v>43</v>
      </c>
      <c r="G90" s="50">
        <v>74.42</v>
      </c>
      <c r="H90" s="50">
        <v>74.42</v>
      </c>
    </row>
    <row r="91" spans="1:8" x14ac:dyDescent="0.25">
      <c r="A91" s="47" t="s">
        <v>70</v>
      </c>
      <c r="B91" s="48">
        <v>89</v>
      </c>
      <c r="C91" s="48">
        <v>29</v>
      </c>
      <c r="D91" s="49"/>
      <c r="E91" s="48">
        <v>1</v>
      </c>
      <c r="F91" s="48">
        <v>119</v>
      </c>
      <c r="G91" s="50">
        <v>75.42</v>
      </c>
      <c r="H91" s="50">
        <v>74.790000000000006</v>
      </c>
    </row>
    <row r="92" spans="1:8" x14ac:dyDescent="0.25">
      <c r="A92" s="47" t="s">
        <v>75</v>
      </c>
      <c r="B92" s="48">
        <v>8</v>
      </c>
      <c r="C92" s="48">
        <v>35</v>
      </c>
      <c r="D92" s="49"/>
      <c r="E92" s="48">
        <v>3</v>
      </c>
      <c r="F92" s="48">
        <v>46</v>
      </c>
      <c r="G92" s="50">
        <v>18.600000000000001</v>
      </c>
      <c r="H92" s="50">
        <v>17.39</v>
      </c>
    </row>
    <row r="93" spans="1:8" x14ac:dyDescent="0.25">
      <c r="A93" s="47" t="s">
        <v>77</v>
      </c>
      <c r="B93" s="48">
        <v>25</v>
      </c>
      <c r="C93" s="48">
        <v>18</v>
      </c>
      <c r="D93" s="49"/>
      <c r="E93" s="49"/>
      <c r="F93" s="48">
        <v>43</v>
      </c>
      <c r="G93" s="50">
        <v>58.14</v>
      </c>
      <c r="H93" s="50">
        <v>58.14</v>
      </c>
    </row>
    <row r="94" spans="1:8" x14ac:dyDescent="0.25">
      <c r="A94" s="47" t="s">
        <v>78</v>
      </c>
      <c r="B94" s="48">
        <v>25</v>
      </c>
      <c r="C94" s="48">
        <v>7</v>
      </c>
      <c r="D94" s="49"/>
      <c r="E94" s="49"/>
      <c r="F94" s="48">
        <v>32</v>
      </c>
      <c r="G94" s="50">
        <v>78.13</v>
      </c>
      <c r="H94" s="50">
        <v>78.13</v>
      </c>
    </row>
    <row r="95" spans="1:8" x14ac:dyDescent="0.25">
      <c r="A95" s="47" t="s">
        <v>79</v>
      </c>
      <c r="B95" s="48">
        <v>13</v>
      </c>
      <c r="C95" s="48">
        <v>2</v>
      </c>
      <c r="D95" s="49"/>
      <c r="E95" s="49"/>
      <c r="F95" s="48">
        <v>15</v>
      </c>
      <c r="G95" s="50">
        <v>86.67</v>
      </c>
      <c r="H95" s="50">
        <v>86.67</v>
      </c>
    </row>
    <row r="96" spans="1:8" x14ac:dyDescent="0.25">
      <c r="A96" s="47" t="s">
        <v>80</v>
      </c>
      <c r="B96" s="48">
        <v>25</v>
      </c>
      <c r="C96" s="48">
        <v>3</v>
      </c>
      <c r="D96" s="49"/>
      <c r="E96" s="49"/>
      <c r="F96" s="48">
        <v>28</v>
      </c>
      <c r="G96" s="50">
        <v>89.29</v>
      </c>
      <c r="H96" s="50">
        <v>89.29</v>
      </c>
    </row>
    <row r="97" spans="1:8" x14ac:dyDescent="0.25">
      <c r="A97" s="47" t="s">
        <v>82</v>
      </c>
      <c r="B97" s="48">
        <v>32</v>
      </c>
      <c r="C97" s="48">
        <v>14</v>
      </c>
      <c r="D97" s="49"/>
      <c r="E97" s="48">
        <v>1</v>
      </c>
      <c r="F97" s="48">
        <v>47</v>
      </c>
      <c r="G97" s="50">
        <v>69.569999999999993</v>
      </c>
      <c r="H97" s="50">
        <v>68.09</v>
      </c>
    </row>
    <row r="98" spans="1:8" x14ac:dyDescent="0.25">
      <c r="A98" s="47" t="s">
        <v>83</v>
      </c>
      <c r="B98" s="48">
        <v>17</v>
      </c>
      <c r="C98" s="48">
        <v>12</v>
      </c>
      <c r="D98" s="49"/>
      <c r="E98" s="49"/>
      <c r="F98" s="48">
        <v>29</v>
      </c>
      <c r="G98" s="50">
        <v>58.62</v>
      </c>
      <c r="H98" s="50">
        <v>58.62</v>
      </c>
    </row>
    <row r="99" spans="1:8" x14ac:dyDescent="0.25">
      <c r="A99" s="47" t="s">
        <v>84</v>
      </c>
      <c r="B99" s="48">
        <v>2</v>
      </c>
      <c r="C99" s="48">
        <v>3</v>
      </c>
      <c r="D99" s="49"/>
      <c r="E99" s="48">
        <v>2</v>
      </c>
      <c r="F99" s="48">
        <v>7</v>
      </c>
      <c r="G99" s="50">
        <v>40</v>
      </c>
      <c r="H99" s="50">
        <v>28.57</v>
      </c>
    </row>
    <row r="100" spans="1:8" x14ac:dyDescent="0.25">
      <c r="A100" s="47" t="s">
        <v>85</v>
      </c>
      <c r="B100" s="48">
        <v>1</v>
      </c>
      <c r="C100" s="49"/>
      <c r="D100" s="49"/>
      <c r="E100" s="49"/>
      <c r="F100" s="48">
        <v>1</v>
      </c>
      <c r="G100" s="50">
        <v>100</v>
      </c>
      <c r="H100" s="50">
        <v>100</v>
      </c>
    </row>
    <row r="101" spans="1:8" x14ac:dyDescent="0.25">
      <c r="A101" s="47" t="s">
        <v>86</v>
      </c>
      <c r="B101" s="48">
        <v>49</v>
      </c>
      <c r="C101" s="48">
        <v>23</v>
      </c>
      <c r="D101" s="49"/>
      <c r="E101" s="49"/>
      <c r="F101" s="48">
        <v>72</v>
      </c>
      <c r="G101" s="50">
        <v>68.06</v>
      </c>
      <c r="H101" s="50">
        <v>68.06</v>
      </c>
    </row>
    <row r="102" spans="1:8" x14ac:dyDescent="0.25">
      <c r="A102" s="47" t="s">
        <v>87</v>
      </c>
      <c r="B102" s="48">
        <v>9</v>
      </c>
      <c r="C102" s="48">
        <v>4</v>
      </c>
      <c r="D102" s="49"/>
      <c r="E102" s="49"/>
      <c r="F102" s="48">
        <v>13</v>
      </c>
      <c r="G102" s="50">
        <v>69.23</v>
      </c>
      <c r="H102" s="50">
        <v>69.23</v>
      </c>
    </row>
    <row r="103" spans="1:8" x14ac:dyDescent="0.25">
      <c r="A103" s="47" t="s">
        <v>88</v>
      </c>
      <c r="B103" s="48">
        <v>2</v>
      </c>
      <c r="C103" s="48">
        <v>2</v>
      </c>
      <c r="D103" s="49"/>
      <c r="E103" s="49"/>
      <c r="F103" s="48">
        <v>4</v>
      </c>
      <c r="G103" s="50">
        <v>50</v>
      </c>
      <c r="H103" s="50">
        <v>50</v>
      </c>
    </row>
    <row r="104" spans="1:8" x14ac:dyDescent="0.25">
      <c r="A104" s="47" t="s">
        <v>89</v>
      </c>
      <c r="B104" s="48">
        <v>27</v>
      </c>
      <c r="C104" s="48">
        <v>9</v>
      </c>
      <c r="D104" s="49"/>
      <c r="E104" s="49"/>
      <c r="F104" s="48">
        <v>36</v>
      </c>
      <c r="G104" s="50">
        <v>75</v>
      </c>
      <c r="H104" s="50">
        <v>75</v>
      </c>
    </row>
    <row r="105" spans="1:8" x14ac:dyDescent="0.25">
      <c r="A105" s="47" t="s">
        <v>90</v>
      </c>
      <c r="B105" s="48">
        <v>62</v>
      </c>
      <c r="C105" s="48">
        <v>14</v>
      </c>
      <c r="D105" s="49"/>
      <c r="E105" s="48">
        <v>2</v>
      </c>
      <c r="F105" s="48">
        <v>78</v>
      </c>
      <c r="G105" s="50">
        <v>81.58</v>
      </c>
      <c r="H105" s="50">
        <v>79.489999999999995</v>
      </c>
    </row>
    <row r="106" spans="1:8" x14ac:dyDescent="0.25">
      <c r="A106" s="47" t="s">
        <v>91</v>
      </c>
      <c r="B106" s="48">
        <v>10</v>
      </c>
      <c r="C106" s="48">
        <v>2</v>
      </c>
      <c r="D106" s="49"/>
      <c r="E106" s="48">
        <v>1</v>
      </c>
      <c r="F106" s="48">
        <v>13</v>
      </c>
      <c r="G106" s="50">
        <v>83.33</v>
      </c>
      <c r="H106" s="50">
        <v>76.92</v>
      </c>
    </row>
    <row r="107" spans="1:8" x14ac:dyDescent="0.25">
      <c r="A107" s="47" t="s">
        <v>92</v>
      </c>
      <c r="B107" s="48">
        <v>2</v>
      </c>
      <c r="C107" s="48">
        <v>2</v>
      </c>
      <c r="D107" s="49"/>
      <c r="E107" s="48">
        <v>1</v>
      </c>
      <c r="F107" s="48">
        <v>5</v>
      </c>
      <c r="G107" s="50">
        <v>50</v>
      </c>
      <c r="H107" s="50">
        <v>40</v>
      </c>
    </row>
    <row r="108" spans="1:8" x14ac:dyDescent="0.25">
      <c r="A108" s="47" t="s">
        <v>93</v>
      </c>
      <c r="B108" s="48">
        <v>50</v>
      </c>
      <c r="C108" s="48">
        <v>12</v>
      </c>
      <c r="D108" s="49"/>
      <c r="E108" s="49"/>
      <c r="F108" s="48">
        <v>62</v>
      </c>
      <c r="G108" s="50">
        <v>80.650000000000006</v>
      </c>
      <c r="H108" s="50">
        <v>80.650000000000006</v>
      </c>
    </row>
    <row r="109" spans="1:8" x14ac:dyDescent="0.25">
      <c r="A109" s="47" t="s">
        <v>94</v>
      </c>
      <c r="B109" s="48">
        <v>5</v>
      </c>
      <c r="C109" s="49"/>
      <c r="D109" s="49"/>
      <c r="E109" s="48">
        <v>1</v>
      </c>
      <c r="F109" s="48">
        <v>6</v>
      </c>
      <c r="G109" s="50">
        <v>100</v>
      </c>
      <c r="H109" s="50">
        <v>83.33</v>
      </c>
    </row>
    <row r="110" spans="1:8" x14ac:dyDescent="0.25">
      <c r="A110" s="47" t="s">
        <v>95</v>
      </c>
      <c r="B110" s="48">
        <v>2</v>
      </c>
      <c r="C110" s="48">
        <v>5</v>
      </c>
      <c r="D110" s="49"/>
      <c r="E110" s="48">
        <v>1</v>
      </c>
      <c r="F110" s="48">
        <v>8</v>
      </c>
      <c r="G110" s="50">
        <v>28.57</v>
      </c>
      <c r="H110" s="50">
        <v>25</v>
      </c>
    </row>
    <row r="111" spans="1:8" x14ac:dyDescent="0.25">
      <c r="A111" s="47" t="s">
        <v>96</v>
      </c>
      <c r="B111" s="48">
        <v>1</v>
      </c>
      <c r="C111" s="48">
        <v>3</v>
      </c>
      <c r="D111" s="49"/>
      <c r="E111" s="49"/>
      <c r="F111" s="48">
        <v>4</v>
      </c>
      <c r="G111" s="50">
        <v>25</v>
      </c>
      <c r="H111" s="50">
        <v>25</v>
      </c>
    </row>
    <row r="112" spans="1:8" x14ac:dyDescent="0.25">
      <c r="A112" s="47" t="s">
        <v>97</v>
      </c>
      <c r="B112" s="48">
        <v>1</v>
      </c>
      <c r="C112" s="48">
        <v>1</v>
      </c>
      <c r="D112" s="49"/>
      <c r="E112" s="49"/>
      <c r="F112" s="48">
        <v>2</v>
      </c>
      <c r="G112" s="50">
        <v>50</v>
      </c>
      <c r="H112" s="50">
        <v>50</v>
      </c>
    </row>
    <row r="113" spans="1:8" x14ac:dyDescent="0.25">
      <c r="A113" s="47" t="s">
        <v>98</v>
      </c>
      <c r="B113" s="48">
        <v>12</v>
      </c>
      <c r="C113" s="48">
        <v>8</v>
      </c>
      <c r="D113" s="49"/>
      <c r="E113" s="49"/>
      <c r="F113" s="48">
        <v>20</v>
      </c>
      <c r="G113" s="50">
        <v>60</v>
      </c>
      <c r="H113" s="50">
        <v>60</v>
      </c>
    </row>
    <row r="114" spans="1:8" x14ac:dyDescent="0.25">
      <c r="A114" s="47" t="s">
        <v>99</v>
      </c>
      <c r="B114" s="48">
        <v>12</v>
      </c>
      <c r="C114" s="48">
        <v>4</v>
      </c>
      <c r="D114" s="49"/>
      <c r="E114" s="49"/>
      <c r="F114" s="48">
        <v>16</v>
      </c>
      <c r="G114" s="50">
        <v>75</v>
      </c>
      <c r="H114" s="50">
        <v>75</v>
      </c>
    </row>
    <row r="115" spans="1:8" x14ac:dyDescent="0.25">
      <c r="A115" s="47" t="s">
        <v>100</v>
      </c>
      <c r="B115" s="48">
        <v>12</v>
      </c>
      <c r="C115" s="48">
        <v>4</v>
      </c>
      <c r="D115" s="49"/>
      <c r="E115" s="49"/>
      <c r="F115" s="48">
        <v>16</v>
      </c>
      <c r="G115" s="50">
        <v>75</v>
      </c>
      <c r="H115" s="50">
        <v>75</v>
      </c>
    </row>
    <row r="116" spans="1:8" x14ac:dyDescent="0.25">
      <c r="A116" s="47" t="s">
        <v>101</v>
      </c>
      <c r="B116" s="48">
        <v>14</v>
      </c>
      <c r="C116" s="48">
        <v>9</v>
      </c>
      <c r="D116" s="49"/>
      <c r="E116" s="49"/>
      <c r="F116" s="48">
        <v>23</v>
      </c>
      <c r="G116" s="50">
        <v>60.87</v>
      </c>
      <c r="H116" s="50">
        <v>60.87</v>
      </c>
    </row>
    <row r="117" spans="1:8" x14ac:dyDescent="0.25">
      <c r="A117" s="47" t="s">
        <v>102</v>
      </c>
      <c r="B117" s="48">
        <v>19</v>
      </c>
      <c r="C117" s="48">
        <v>8</v>
      </c>
      <c r="D117" s="49"/>
      <c r="E117" s="49"/>
      <c r="F117" s="48">
        <v>27</v>
      </c>
      <c r="G117" s="50">
        <v>70.37</v>
      </c>
      <c r="H117" s="50">
        <v>70.37</v>
      </c>
    </row>
    <row r="118" spans="1:8" x14ac:dyDescent="0.25">
      <c r="A118" s="47" t="s">
        <v>103</v>
      </c>
      <c r="B118" s="48">
        <v>22</v>
      </c>
      <c r="C118" s="48">
        <v>8</v>
      </c>
      <c r="D118" s="49"/>
      <c r="E118" s="49"/>
      <c r="F118" s="48">
        <v>30</v>
      </c>
      <c r="G118" s="50">
        <v>73.33</v>
      </c>
      <c r="H118" s="50">
        <v>73.33</v>
      </c>
    </row>
    <row r="119" spans="1:8" x14ac:dyDescent="0.25">
      <c r="A119" s="47" t="s">
        <v>104</v>
      </c>
      <c r="B119" s="48">
        <v>57</v>
      </c>
      <c r="C119" s="48">
        <v>13</v>
      </c>
      <c r="D119" s="49"/>
      <c r="E119" s="48">
        <v>1</v>
      </c>
      <c r="F119" s="48">
        <v>71</v>
      </c>
      <c r="G119" s="50">
        <v>81.430000000000007</v>
      </c>
      <c r="H119" s="50">
        <v>80.28</v>
      </c>
    </row>
    <row r="120" spans="1:8" x14ac:dyDescent="0.25">
      <c r="A120" s="47" t="s">
        <v>105</v>
      </c>
      <c r="B120" s="48">
        <v>2</v>
      </c>
      <c r="C120" s="48">
        <v>3</v>
      </c>
      <c r="D120" s="49"/>
      <c r="E120" s="49"/>
      <c r="F120" s="48">
        <v>5</v>
      </c>
      <c r="G120" s="50">
        <v>40</v>
      </c>
      <c r="H120" s="50">
        <v>40</v>
      </c>
    </row>
    <row r="121" spans="1:8" x14ac:dyDescent="0.25">
      <c r="A121" s="47" t="s">
        <v>106</v>
      </c>
      <c r="B121" s="48">
        <v>59</v>
      </c>
      <c r="C121" s="48">
        <v>11</v>
      </c>
      <c r="D121" s="49"/>
      <c r="E121" s="49"/>
      <c r="F121" s="48">
        <v>70</v>
      </c>
      <c r="G121" s="50">
        <v>84.29</v>
      </c>
      <c r="H121" s="50">
        <v>84.29</v>
      </c>
    </row>
    <row r="122" spans="1:8" x14ac:dyDescent="0.25">
      <c r="A122" s="47" t="s">
        <v>114</v>
      </c>
      <c r="B122" s="48">
        <v>13</v>
      </c>
      <c r="C122" s="48">
        <v>3</v>
      </c>
      <c r="D122" s="49"/>
      <c r="E122" s="48">
        <v>1</v>
      </c>
      <c r="F122" s="48">
        <v>17</v>
      </c>
      <c r="G122" s="50">
        <v>81.25</v>
      </c>
      <c r="H122" s="50">
        <v>76.47</v>
      </c>
    </row>
    <row r="123" spans="1:8" x14ac:dyDescent="0.25">
      <c r="A123" s="47" t="s">
        <v>208</v>
      </c>
      <c r="B123" s="48">
        <v>0</v>
      </c>
      <c r="C123" s="48">
        <v>2</v>
      </c>
      <c r="D123" s="49"/>
      <c r="E123" s="49"/>
      <c r="F123" s="48">
        <v>2</v>
      </c>
      <c r="G123" s="49"/>
      <c r="H123" s="50">
        <v>0</v>
      </c>
    </row>
    <row r="124" spans="1:8" x14ac:dyDescent="0.25">
      <c r="A124" s="47" t="s">
        <v>209</v>
      </c>
      <c r="B124" s="48">
        <v>15</v>
      </c>
      <c r="C124" s="48">
        <v>2</v>
      </c>
      <c r="D124" s="49"/>
      <c r="E124" s="48">
        <v>2</v>
      </c>
      <c r="F124" s="48">
        <v>19</v>
      </c>
      <c r="G124" s="50">
        <v>88.24</v>
      </c>
      <c r="H124" s="50">
        <v>78.95</v>
      </c>
    </row>
    <row r="125" spans="1:8" x14ac:dyDescent="0.25">
      <c r="A125" s="47" t="s">
        <v>211</v>
      </c>
      <c r="B125" s="48">
        <v>1</v>
      </c>
      <c r="C125" s="49"/>
      <c r="D125" s="49"/>
      <c r="E125" s="49"/>
      <c r="F125" s="48">
        <v>1</v>
      </c>
      <c r="G125" s="50">
        <v>100</v>
      </c>
      <c r="H125" s="50">
        <v>100</v>
      </c>
    </row>
    <row r="126" spans="1:8" x14ac:dyDescent="0.25">
      <c r="A126" s="47" t="s">
        <v>210</v>
      </c>
      <c r="B126" s="48">
        <v>1</v>
      </c>
      <c r="C126" s="49"/>
      <c r="D126" s="49"/>
      <c r="E126" s="49"/>
      <c r="F126" s="48">
        <v>1</v>
      </c>
      <c r="G126" s="50">
        <v>100</v>
      </c>
      <c r="H126" s="50">
        <v>100</v>
      </c>
    </row>
    <row r="127" spans="1:8" x14ac:dyDescent="0.25">
      <c r="A127" s="51" t="s">
        <v>1</v>
      </c>
      <c r="B127" s="52">
        <v>1979</v>
      </c>
      <c r="C127" s="53">
        <v>915</v>
      </c>
      <c r="D127" s="53">
        <v>1</v>
      </c>
      <c r="E127" s="53">
        <v>49</v>
      </c>
      <c r="F127" s="52">
        <v>2944</v>
      </c>
      <c r="G127" s="54">
        <v>68.36</v>
      </c>
      <c r="H127" s="54">
        <v>67.22</v>
      </c>
    </row>
    <row r="128" spans="1:8" x14ac:dyDescent="0.25">
      <c r="A128" s="55"/>
      <c r="B128" s="55"/>
      <c r="C128" s="55"/>
      <c r="D128" s="55"/>
      <c r="E128" s="55"/>
      <c r="F128" s="55"/>
      <c r="G128" s="55"/>
      <c r="H128" s="55"/>
    </row>
    <row r="129" spans="1:8" x14ac:dyDescent="0.25">
      <c r="A129" s="55"/>
      <c r="B129" s="55"/>
      <c r="C129" s="55"/>
      <c r="D129" s="55"/>
      <c r="E129" s="55"/>
      <c r="F129" s="55"/>
      <c r="G129" s="55"/>
      <c r="H129" s="55"/>
    </row>
    <row r="130" spans="1:8" x14ac:dyDescent="0.25">
      <c r="A130" s="55"/>
      <c r="B130" s="55"/>
      <c r="C130" s="55"/>
      <c r="D130" s="55"/>
      <c r="E130" s="55"/>
      <c r="F130" s="55"/>
      <c r="G130" s="55"/>
      <c r="H130" s="55"/>
    </row>
    <row r="131" spans="1:8" x14ac:dyDescent="0.25">
      <c r="A131" s="55"/>
      <c r="B131" s="55"/>
      <c r="C131" s="55"/>
      <c r="D131" s="55"/>
      <c r="E131" s="55"/>
      <c r="F131" s="55"/>
      <c r="G131" s="55"/>
      <c r="H131" s="55"/>
    </row>
    <row r="132" spans="1:8" x14ac:dyDescent="0.25">
      <c r="A132" s="55"/>
      <c r="B132" s="55"/>
      <c r="C132" s="55"/>
      <c r="D132" s="55"/>
      <c r="E132" s="55"/>
      <c r="F132" s="55"/>
      <c r="G132" s="55"/>
      <c r="H132" s="55"/>
    </row>
    <row r="133" spans="1:8" x14ac:dyDescent="0.25">
      <c r="A133" s="55"/>
      <c r="B133" s="55"/>
      <c r="C133" s="55"/>
      <c r="D133" s="55"/>
      <c r="E133" s="55"/>
      <c r="F133" s="55"/>
      <c r="G133" s="55"/>
      <c r="H133" s="55"/>
    </row>
    <row r="134" spans="1:8" x14ac:dyDescent="0.25">
      <c r="A134" s="55"/>
      <c r="B134" s="55"/>
      <c r="C134" s="55"/>
      <c r="D134" s="55"/>
      <c r="E134" s="55"/>
      <c r="F134" s="55"/>
      <c r="G134" s="55"/>
      <c r="H134" s="55"/>
    </row>
    <row r="135" spans="1:8" x14ac:dyDescent="0.25">
      <c r="A135" s="55"/>
      <c r="B135" s="55"/>
      <c r="C135" s="55"/>
      <c r="D135" s="55"/>
      <c r="E135" s="55"/>
      <c r="F135" s="55"/>
      <c r="G135" s="55"/>
      <c r="H135" s="55"/>
    </row>
    <row r="136" spans="1:8" x14ac:dyDescent="0.25">
      <c r="A136" s="55"/>
      <c r="B136" s="55"/>
      <c r="C136" s="55"/>
      <c r="D136" s="55"/>
      <c r="E136" s="55"/>
      <c r="F136" s="55"/>
      <c r="G136" s="55"/>
      <c r="H136" s="55"/>
    </row>
    <row r="137" spans="1:8" x14ac:dyDescent="0.25">
      <c r="A137" s="55"/>
      <c r="B137" s="55"/>
      <c r="C137" s="55"/>
      <c r="D137" s="55"/>
      <c r="E137" s="55"/>
      <c r="F137" s="55"/>
      <c r="G137" s="55"/>
      <c r="H137" s="55"/>
    </row>
    <row r="138" spans="1:8" x14ac:dyDescent="0.25">
      <c r="A138" s="55"/>
      <c r="B138" s="55"/>
      <c r="C138" s="55"/>
      <c r="D138" s="55"/>
      <c r="E138" s="55"/>
      <c r="F138" s="55"/>
      <c r="G138" s="55"/>
      <c r="H138" s="55"/>
    </row>
    <row r="139" spans="1:8" x14ac:dyDescent="0.25">
      <c r="A139" s="55"/>
      <c r="B139" s="55"/>
      <c r="C139" s="55"/>
      <c r="D139" s="55"/>
      <c r="E139" s="55"/>
      <c r="F139" s="55"/>
      <c r="G139" s="55"/>
      <c r="H139" s="55"/>
    </row>
    <row r="140" spans="1:8" x14ac:dyDescent="0.25">
      <c r="A140" s="55"/>
      <c r="B140" s="55"/>
      <c r="C140" s="55"/>
      <c r="D140" s="55"/>
      <c r="E140" s="55"/>
      <c r="F140" s="55"/>
      <c r="G140" s="55"/>
      <c r="H140" s="55"/>
    </row>
    <row r="141" spans="1:8" x14ac:dyDescent="0.25">
      <c r="A141" s="55"/>
      <c r="B141" s="55"/>
      <c r="C141" s="55"/>
      <c r="D141" s="55"/>
      <c r="E141" s="55"/>
      <c r="F141" s="55"/>
      <c r="G141" s="55"/>
      <c r="H141" s="55"/>
    </row>
    <row r="142" spans="1:8" x14ac:dyDescent="0.25">
      <c r="A142" s="55"/>
      <c r="B142" s="55"/>
      <c r="C142" s="55"/>
      <c r="D142" s="55"/>
      <c r="E142" s="55"/>
      <c r="F142" s="55"/>
      <c r="G142" s="55"/>
      <c r="H142" s="55"/>
    </row>
    <row r="143" spans="1:8" x14ac:dyDescent="0.25">
      <c r="A143" s="55"/>
      <c r="B143" s="55"/>
      <c r="C143" s="55"/>
      <c r="D143" s="55"/>
      <c r="E143" s="55"/>
      <c r="F143" s="55"/>
      <c r="G143" s="55"/>
      <c r="H143" s="55"/>
    </row>
    <row r="144" spans="1:8" x14ac:dyDescent="0.25">
      <c r="A144" s="55"/>
      <c r="B144" s="55"/>
      <c r="C144" s="55"/>
      <c r="D144" s="55"/>
      <c r="E144" s="55"/>
      <c r="F144" s="55"/>
      <c r="G144" s="55"/>
      <c r="H144" s="55"/>
    </row>
    <row r="145" spans="1:8" x14ac:dyDescent="0.25">
      <c r="A145" s="55"/>
      <c r="B145" s="55"/>
      <c r="C145" s="55"/>
      <c r="D145" s="55"/>
      <c r="E145" s="55"/>
      <c r="F145" s="55"/>
      <c r="G145" s="55"/>
      <c r="H145" s="55"/>
    </row>
    <row r="146" spans="1:8" x14ac:dyDescent="0.25">
      <c r="A146" s="55"/>
      <c r="B146" s="55"/>
      <c r="C146" s="55"/>
      <c r="D146" s="55"/>
      <c r="E146" s="55"/>
      <c r="F146" s="55"/>
      <c r="G146" s="55"/>
      <c r="H146" s="55"/>
    </row>
    <row r="147" spans="1:8" x14ac:dyDescent="0.25">
      <c r="A147" s="55"/>
      <c r="B147" s="55"/>
      <c r="C147" s="55"/>
      <c r="D147" s="55"/>
      <c r="E147" s="55"/>
      <c r="F147" s="55"/>
      <c r="G147" s="55"/>
      <c r="H147" s="55"/>
    </row>
    <row r="148" spans="1:8" x14ac:dyDescent="0.25">
      <c r="A148" s="55"/>
      <c r="B148" s="55"/>
      <c r="C148" s="55"/>
      <c r="D148" s="55"/>
      <c r="E148" s="55"/>
      <c r="F148" s="55"/>
      <c r="G148" s="55"/>
      <c r="H148" s="55"/>
    </row>
    <row r="149" spans="1:8" x14ac:dyDescent="0.25">
      <c r="A149" s="55"/>
      <c r="B149" s="55"/>
      <c r="C149" s="55"/>
      <c r="D149" s="55"/>
      <c r="E149" s="55"/>
      <c r="F149" s="55"/>
      <c r="G149" s="55"/>
      <c r="H149" s="55"/>
    </row>
    <row r="150" spans="1:8" x14ac:dyDescent="0.25">
      <c r="A150" s="55"/>
      <c r="B150" s="55"/>
      <c r="C150" s="55"/>
      <c r="D150" s="55"/>
      <c r="E150" s="55"/>
      <c r="F150" s="55"/>
      <c r="G150" s="55"/>
      <c r="H150" s="55"/>
    </row>
    <row r="151" spans="1:8" x14ac:dyDescent="0.25">
      <c r="A151" s="55"/>
      <c r="B151" s="55"/>
      <c r="C151" s="55"/>
      <c r="D151" s="55"/>
      <c r="E151" s="55"/>
      <c r="F151" s="55"/>
      <c r="G151" s="55"/>
      <c r="H151" s="55"/>
    </row>
    <row r="152" spans="1:8" x14ac:dyDescent="0.25">
      <c r="A152" s="55"/>
      <c r="B152" s="55"/>
      <c r="C152" s="55"/>
      <c r="D152" s="55"/>
      <c r="E152" s="55"/>
      <c r="F152" s="55"/>
      <c r="G152" s="55"/>
      <c r="H152" s="55"/>
    </row>
    <row r="153" spans="1:8" x14ac:dyDescent="0.25">
      <c r="A153" s="55"/>
      <c r="B153" s="55"/>
      <c r="C153" s="55"/>
      <c r="D153" s="55"/>
      <c r="E153" s="55"/>
      <c r="F153" s="55"/>
      <c r="G153" s="55"/>
      <c r="H153" s="55"/>
    </row>
    <row r="154" spans="1:8" x14ac:dyDescent="0.25">
      <c r="A154" s="55"/>
      <c r="B154" s="55"/>
      <c r="C154" s="55"/>
      <c r="D154" s="55"/>
      <c r="E154" s="55"/>
      <c r="F154" s="55"/>
      <c r="G154" s="55"/>
      <c r="H154" s="55"/>
    </row>
    <row r="155" spans="1:8" x14ac:dyDescent="0.25">
      <c r="A155" s="55"/>
      <c r="B155" s="55"/>
      <c r="C155" s="55"/>
      <c r="D155" s="55"/>
      <c r="E155" s="55"/>
      <c r="F155" s="55"/>
      <c r="G155" s="55"/>
      <c r="H155" s="55"/>
    </row>
    <row r="156" spans="1:8" x14ac:dyDescent="0.25">
      <c r="A156" s="55"/>
      <c r="B156" s="55"/>
      <c r="C156" s="55"/>
      <c r="D156" s="55"/>
      <c r="E156" s="55"/>
      <c r="F156" s="55"/>
      <c r="G156" s="55"/>
      <c r="H156" s="55"/>
    </row>
    <row r="157" spans="1:8" x14ac:dyDescent="0.25">
      <c r="A157" s="55"/>
      <c r="B157" s="55"/>
      <c r="C157" s="55"/>
      <c r="D157" s="55"/>
      <c r="E157" s="55"/>
      <c r="F157" s="55"/>
      <c r="G157" s="55"/>
      <c r="H157" s="55"/>
    </row>
    <row r="158" spans="1:8" x14ac:dyDescent="0.25">
      <c r="A158" s="55"/>
      <c r="B158" s="55"/>
      <c r="C158" s="55"/>
      <c r="D158" s="55"/>
      <c r="E158" s="55"/>
      <c r="F158" s="55"/>
      <c r="G158" s="55"/>
      <c r="H158" s="55"/>
    </row>
    <row r="159" spans="1:8" x14ac:dyDescent="0.25">
      <c r="A159" s="55"/>
      <c r="B159" s="55"/>
      <c r="C159" s="55"/>
      <c r="D159" s="55"/>
      <c r="E159" s="55"/>
      <c r="F159" s="55"/>
      <c r="G159" s="55"/>
      <c r="H159" s="55"/>
    </row>
    <row r="160" spans="1:8" x14ac:dyDescent="0.25">
      <c r="A160" s="55"/>
      <c r="B160" s="55"/>
      <c r="C160" s="55"/>
      <c r="D160" s="55"/>
      <c r="E160" s="55"/>
      <c r="F160" s="55"/>
      <c r="G160" s="55"/>
      <c r="H160" s="55"/>
    </row>
    <row r="161" spans="1:8" x14ac:dyDescent="0.25">
      <c r="A161" s="55"/>
      <c r="B161" s="55"/>
      <c r="C161" s="55"/>
      <c r="D161" s="55"/>
      <c r="E161" s="55"/>
      <c r="F161" s="55"/>
      <c r="G161" s="55"/>
      <c r="H161" s="55"/>
    </row>
    <row r="162" spans="1:8" x14ac:dyDescent="0.25">
      <c r="A162" s="55"/>
      <c r="B162" s="55"/>
      <c r="C162" s="55"/>
      <c r="D162" s="55"/>
      <c r="E162" s="55"/>
      <c r="F162" s="55"/>
      <c r="G162" s="55"/>
      <c r="H162" s="55"/>
    </row>
    <row r="163" spans="1:8" x14ac:dyDescent="0.25">
      <c r="A163" s="55"/>
      <c r="B163" s="55"/>
      <c r="C163" s="55"/>
      <c r="D163" s="55"/>
      <c r="E163" s="55"/>
      <c r="F163" s="55"/>
      <c r="G163" s="55"/>
      <c r="H163" s="55"/>
    </row>
    <row r="164" spans="1:8" x14ac:dyDescent="0.25">
      <c r="A164" s="55"/>
      <c r="B164" s="55"/>
      <c r="C164" s="55"/>
      <c r="D164" s="55"/>
      <c r="E164" s="55"/>
      <c r="F164" s="55"/>
      <c r="G164" s="55"/>
      <c r="H164" s="55"/>
    </row>
    <row r="165" spans="1:8" x14ac:dyDescent="0.25">
      <c r="A165" s="55"/>
      <c r="B165" s="55"/>
      <c r="C165" s="55"/>
      <c r="D165" s="55"/>
      <c r="E165" s="55"/>
      <c r="F165" s="55"/>
      <c r="G165" s="55"/>
      <c r="H165" s="55"/>
    </row>
    <row r="166" spans="1:8" x14ac:dyDescent="0.25">
      <c r="A166" s="55"/>
      <c r="B166" s="55"/>
      <c r="C166" s="55"/>
      <c r="D166" s="55"/>
      <c r="E166" s="55"/>
      <c r="F166" s="55"/>
      <c r="G166" s="55"/>
      <c r="H166" s="55"/>
    </row>
    <row r="167" spans="1:8" x14ac:dyDescent="0.25">
      <c r="A167" s="55"/>
      <c r="B167" s="55"/>
      <c r="C167" s="55"/>
      <c r="D167" s="55"/>
      <c r="E167" s="55"/>
      <c r="F167" s="55"/>
      <c r="G167" s="55"/>
      <c r="H167" s="55"/>
    </row>
    <row r="168" spans="1:8" x14ac:dyDescent="0.25">
      <c r="A168" s="55"/>
      <c r="B168" s="55"/>
      <c r="C168" s="55"/>
      <c r="D168" s="55"/>
      <c r="E168" s="55"/>
      <c r="F168" s="55"/>
      <c r="G168" s="55"/>
      <c r="H168" s="55"/>
    </row>
    <row r="169" spans="1:8" x14ac:dyDescent="0.25">
      <c r="A169" s="55"/>
      <c r="B169" s="55"/>
      <c r="C169" s="55"/>
      <c r="D169" s="55"/>
      <c r="E169" s="55"/>
      <c r="F169" s="55"/>
      <c r="G169" s="55"/>
      <c r="H169" s="55"/>
    </row>
    <row r="170" spans="1:8" x14ac:dyDescent="0.25">
      <c r="A170" s="55"/>
      <c r="B170" s="55"/>
      <c r="C170" s="55"/>
      <c r="D170" s="55"/>
      <c r="E170" s="55"/>
      <c r="F170" s="55"/>
      <c r="G170" s="55"/>
      <c r="H170" s="55"/>
    </row>
    <row r="171" spans="1:8" x14ac:dyDescent="0.25">
      <c r="A171" s="55"/>
      <c r="B171" s="55"/>
      <c r="C171" s="55"/>
      <c r="D171" s="55"/>
      <c r="E171" s="55"/>
      <c r="F171" s="55"/>
      <c r="G171" s="55"/>
      <c r="H171" s="55"/>
    </row>
    <row r="172" spans="1:8" x14ac:dyDescent="0.25">
      <c r="A172" s="55"/>
      <c r="B172" s="55"/>
      <c r="C172" s="55"/>
      <c r="D172" s="55"/>
      <c r="E172" s="55"/>
      <c r="F172" s="55"/>
      <c r="G172" s="55"/>
      <c r="H172" s="55"/>
    </row>
    <row r="173" spans="1:8" x14ac:dyDescent="0.25">
      <c r="A173" s="55"/>
      <c r="B173" s="55"/>
      <c r="C173" s="55"/>
      <c r="D173" s="55"/>
      <c r="E173" s="55"/>
      <c r="F173" s="55"/>
      <c r="G173" s="55"/>
      <c r="H173" s="55"/>
    </row>
    <row r="174" spans="1:8" x14ac:dyDescent="0.25">
      <c r="A174" s="55"/>
      <c r="B174" s="55"/>
      <c r="C174" s="55"/>
      <c r="D174" s="55"/>
      <c r="E174" s="55"/>
      <c r="F174" s="55"/>
      <c r="G174" s="55"/>
      <c r="H174" s="55"/>
    </row>
    <row r="175" spans="1:8" x14ac:dyDescent="0.25">
      <c r="A175" s="55"/>
      <c r="B175" s="55"/>
      <c r="C175" s="55"/>
      <c r="D175" s="55"/>
      <c r="E175" s="55"/>
      <c r="F175" s="55"/>
      <c r="G175" s="55"/>
      <c r="H175" s="55"/>
    </row>
    <row r="176" spans="1:8" x14ac:dyDescent="0.25">
      <c r="A176" s="55"/>
      <c r="B176" s="55"/>
      <c r="C176" s="55"/>
      <c r="D176" s="55"/>
      <c r="E176" s="55"/>
      <c r="F176" s="55"/>
      <c r="G176" s="55"/>
      <c r="H176" s="55"/>
    </row>
    <row r="177" spans="1:8" x14ac:dyDescent="0.25">
      <c r="A177" s="55"/>
      <c r="B177" s="55"/>
      <c r="C177" s="55"/>
      <c r="D177" s="55"/>
      <c r="E177" s="55"/>
      <c r="F177" s="55"/>
      <c r="G177" s="55"/>
      <c r="H177" s="55"/>
    </row>
    <row r="178" spans="1:8" x14ac:dyDescent="0.25">
      <c r="A178" s="55"/>
      <c r="B178" s="55"/>
      <c r="C178" s="55"/>
      <c r="D178" s="55"/>
      <c r="E178" s="55"/>
      <c r="F178" s="55"/>
      <c r="G178" s="55"/>
      <c r="H178" s="55"/>
    </row>
  </sheetData>
  <mergeCells count="2">
    <mergeCell ref="A1:A2"/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4"/>
  <sheetViews>
    <sheetView topLeftCell="A124" workbookViewId="0">
      <selection sqref="A1:H244"/>
    </sheetView>
  </sheetViews>
  <sheetFormatPr defaultRowHeight="15" x14ac:dyDescent="0.25"/>
  <sheetData>
    <row r="1" spans="1:8" x14ac:dyDescent="0.25">
      <c r="A1" s="133" t="s">
        <v>0</v>
      </c>
      <c r="B1" s="134" t="s">
        <v>1</v>
      </c>
      <c r="C1" s="134"/>
      <c r="D1" s="134"/>
      <c r="E1" s="134"/>
      <c r="F1" s="134"/>
      <c r="G1" s="134"/>
      <c r="H1" s="134"/>
    </row>
    <row r="2" spans="1:8" ht="38.25" x14ac:dyDescent="0.25">
      <c r="A2" s="133"/>
      <c r="B2" s="56" t="s">
        <v>2</v>
      </c>
      <c r="C2" s="56" t="s">
        <v>3</v>
      </c>
      <c r="D2" s="56" t="s">
        <v>160</v>
      </c>
      <c r="E2" s="56" t="s">
        <v>161</v>
      </c>
      <c r="F2" s="56" t="s">
        <v>4</v>
      </c>
      <c r="G2" s="56" t="s">
        <v>162</v>
      </c>
      <c r="H2" s="56" t="s">
        <v>5</v>
      </c>
    </row>
    <row r="3" spans="1:8" ht="67.5" x14ac:dyDescent="0.25">
      <c r="A3" s="57" t="s">
        <v>186</v>
      </c>
      <c r="B3" s="58">
        <v>8</v>
      </c>
      <c r="C3" s="58">
        <v>8</v>
      </c>
      <c r="D3" s="59"/>
      <c r="E3" s="59"/>
      <c r="F3" s="58">
        <v>16</v>
      </c>
      <c r="G3" s="60">
        <v>50</v>
      </c>
      <c r="H3" s="60">
        <v>50</v>
      </c>
    </row>
    <row r="4" spans="1:8" ht="67.5" x14ac:dyDescent="0.25">
      <c r="A4" s="57" t="s">
        <v>177</v>
      </c>
      <c r="B4" s="58">
        <v>1</v>
      </c>
      <c r="C4" s="59"/>
      <c r="D4" s="59"/>
      <c r="E4" s="59"/>
      <c r="F4" s="58">
        <v>1</v>
      </c>
      <c r="G4" s="60">
        <v>100</v>
      </c>
      <c r="H4" s="60">
        <v>100</v>
      </c>
    </row>
    <row r="5" spans="1:8" ht="78.75" x14ac:dyDescent="0.25">
      <c r="A5" s="57" t="s">
        <v>187</v>
      </c>
      <c r="B5" s="58">
        <v>9</v>
      </c>
      <c r="C5" s="58">
        <v>3</v>
      </c>
      <c r="D5" s="59"/>
      <c r="E5" s="58">
        <v>1</v>
      </c>
      <c r="F5" s="58">
        <v>13</v>
      </c>
      <c r="G5" s="60">
        <v>75</v>
      </c>
      <c r="H5" s="60">
        <v>69.23</v>
      </c>
    </row>
    <row r="6" spans="1:8" ht="67.5" x14ac:dyDescent="0.25">
      <c r="A6" s="57" t="s">
        <v>178</v>
      </c>
      <c r="B6" s="58">
        <v>2</v>
      </c>
      <c r="C6" s="58">
        <v>4</v>
      </c>
      <c r="D6" s="59"/>
      <c r="E6" s="59"/>
      <c r="F6" s="58">
        <v>6</v>
      </c>
      <c r="G6" s="60">
        <v>33.33</v>
      </c>
      <c r="H6" s="60">
        <v>33.33</v>
      </c>
    </row>
    <row r="7" spans="1:8" ht="67.5" x14ac:dyDescent="0.25">
      <c r="A7" s="57" t="s">
        <v>179</v>
      </c>
      <c r="B7" s="58">
        <v>1</v>
      </c>
      <c r="C7" s="58">
        <v>1</v>
      </c>
      <c r="D7" s="59"/>
      <c r="E7" s="59"/>
      <c r="F7" s="58">
        <v>2</v>
      </c>
      <c r="G7" s="60">
        <v>50</v>
      </c>
      <c r="H7" s="60">
        <v>50</v>
      </c>
    </row>
    <row r="8" spans="1:8" ht="78.75" x14ac:dyDescent="0.25">
      <c r="A8" s="57" t="s">
        <v>188</v>
      </c>
      <c r="B8" s="58">
        <v>0</v>
      </c>
      <c r="C8" s="58">
        <v>1</v>
      </c>
      <c r="D8" s="59"/>
      <c r="E8" s="59"/>
      <c r="F8" s="58">
        <v>1</v>
      </c>
      <c r="G8" s="59"/>
      <c r="H8" s="60">
        <v>0</v>
      </c>
    </row>
    <row r="9" spans="1:8" ht="78.75" x14ac:dyDescent="0.25">
      <c r="A9" s="57" t="s">
        <v>189</v>
      </c>
      <c r="B9" s="58">
        <v>3</v>
      </c>
      <c r="C9" s="58">
        <v>3</v>
      </c>
      <c r="D9" s="59"/>
      <c r="E9" s="58">
        <v>1</v>
      </c>
      <c r="F9" s="58">
        <v>7</v>
      </c>
      <c r="G9" s="60">
        <v>50</v>
      </c>
      <c r="H9" s="60">
        <v>42.86</v>
      </c>
    </row>
    <row r="10" spans="1:8" ht="67.5" x14ac:dyDescent="0.25">
      <c r="A10" s="57" t="s">
        <v>180</v>
      </c>
      <c r="B10" s="58">
        <v>2</v>
      </c>
      <c r="C10" s="59"/>
      <c r="D10" s="59"/>
      <c r="E10" s="59"/>
      <c r="F10" s="58">
        <v>2</v>
      </c>
      <c r="G10" s="60">
        <v>100</v>
      </c>
      <c r="H10" s="60">
        <v>100</v>
      </c>
    </row>
    <row r="11" spans="1:8" ht="67.5" x14ac:dyDescent="0.25">
      <c r="A11" s="57" t="s">
        <v>181</v>
      </c>
      <c r="B11" s="58">
        <v>5</v>
      </c>
      <c r="C11" s="58">
        <v>2</v>
      </c>
      <c r="D11" s="59"/>
      <c r="E11" s="59"/>
      <c r="F11" s="58">
        <v>7</v>
      </c>
      <c r="G11" s="60">
        <v>71.430000000000007</v>
      </c>
      <c r="H11" s="60">
        <v>71.430000000000007</v>
      </c>
    </row>
    <row r="12" spans="1:8" ht="78.75" x14ac:dyDescent="0.25">
      <c r="A12" s="57" t="s">
        <v>182</v>
      </c>
      <c r="B12" s="58">
        <v>3</v>
      </c>
      <c r="C12" s="58">
        <v>3</v>
      </c>
      <c r="D12" s="59"/>
      <c r="E12" s="59"/>
      <c r="F12" s="58">
        <v>6</v>
      </c>
      <c r="G12" s="60">
        <v>50</v>
      </c>
      <c r="H12" s="60">
        <v>50</v>
      </c>
    </row>
    <row r="13" spans="1:8" ht="56.25" x14ac:dyDescent="0.25">
      <c r="A13" s="57" t="s">
        <v>213</v>
      </c>
      <c r="B13" s="58">
        <v>7</v>
      </c>
      <c r="C13" s="58">
        <v>2</v>
      </c>
      <c r="D13" s="59"/>
      <c r="E13" s="59"/>
      <c r="F13" s="58">
        <v>9</v>
      </c>
      <c r="G13" s="60">
        <v>77.78</v>
      </c>
      <c r="H13" s="60">
        <v>77.78</v>
      </c>
    </row>
    <row r="14" spans="1:8" ht="56.25" x14ac:dyDescent="0.25">
      <c r="A14" s="57" t="s">
        <v>214</v>
      </c>
      <c r="B14" s="58">
        <v>1</v>
      </c>
      <c r="C14" s="58">
        <v>2</v>
      </c>
      <c r="D14" s="59"/>
      <c r="E14" s="59"/>
      <c r="F14" s="58">
        <v>3</v>
      </c>
      <c r="G14" s="60">
        <v>33.33</v>
      </c>
      <c r="H14" s="60">
        <v>33.33</v>
      </c>
    </row>
    <row r="15" spans="1:8" ht="67.5" x14ac:dyDescent="0.25">
      <c r="A15" s="57" t="s">
        <v>190</v>
      </c>
      <c r="B15" s="58">
        <v>0</v>
      </c>
      <c r="C15" s="58">
        <v>1</v>
      </c>
      <c r="D15" s="59"/>
      <c r="E15" s="58">
        <v>1</v>
      </c>
      <c r="F15" s="58">
        <v>2</v>
      </c>
      <c r="G15" s="59"/>
      <c r="H15" s="60">
        <v>0</v>
      </c>
    </row>
    <row r="16" spans="1:8" ht="67.5" x14ac:dyDescent="0.25">
      <c r="A16" s="57" t="s">
        <v>184</v>
      </c>
      <c r="B16" s="58">
        <v>3</v>
      </c>
      <c r="C16" s="59"/>
      <c r="D16" s="59"/>
      <c r="E16" s="59"/>
      <c r="F16" s="58">
        <v>3</v>
      </c>
      <c r="G16" s="60">
        <v>100</v>
      </c>
      <c r="H16" s="60">
        <v>100</v>
      </c>
    </row>
    <row r="17" spans="1:8" ht="67.5" x14ac:dyDescent="0.25">
      <c r="A17" s="57" t="s">
        <v>183</v>
      </c>
      <c r="B17" s="58">
        <v>1</v>
      </c>
      <c r="C17" s="59"/>
      <c r="D17" s="59"/>
      <c r="E17" s="59"/>
      <c r="F17" s="58">
        <v>1</v>
      </c>
      <c r="G17" s="60">
        <v>100</v>
      </c>
      <c r="H17" s="60">
        <v>100</v>
      </c>
    </row>
    <row r="18" spans="1:8" ht="67.5" x14ac:dyDescent="0.25">
      <c r="A18" s="57" t="s">
        <v>215</v>
      </c>
      <c r="B18" s="58">
        <v>3</v>
      </c>
      <c r="C18" s="58">
        <v>2</v>
      </c>
      <c r="D18" s="59"/>
      <c r="E18" s="59"/>
      <c r="F18" s="58">
        <v>5</v>
      </c>
      <c r="G18" s="60">
        <v>60</v>
      </c>
      <c r="H18" s="60">
        <v>60</v>
      </c>
    </row>
    <row r="19" spans="1:8" ht="67.5" x14ac:dyDescent="0.25">
      <c r="A19" s="57" t="s">
        <v>216</v>
      </c>
      <c r="B19" s="58">
        <v>3</v>
      </c>
      <c r="C19" s="58">
        <v>1</v>
      </c>
      <c r="D19" s="59"/>
      <c r="E19" s="58">
        <v>2</v>
      </c>
      <c r="F19" s="58">
        <v>6</v>
      </c>
      <c r="G19" s="60">
        <v>75</v>
      </c>
      <c r="H19" s="60">
        <v>50</v>
      </c>
    </row>
    <row r="20" spans="1:8" ht="67.5" x14ac:dyDescent="0.25">
      <c r="A20" s="57" t="s">
        <v>217</v>
      </c>
      <c r="B20" s="58">
        <v>0</v>
      </c>
      <c r="C20" s="59"/>
      <c r="D20" s="59"/>
      <c r="E20" s="58">
        <v>1</v>
      </c>
      <c r="F20" s="58">
        <v>1</v>
      </c>
      <c r="G20" s="59"/>
      <c r="H20" s="60">
        <v>0</v>
      </c>
    </row>
    <row r="21" spans="1:8" ht="67.5" x14ac:dyDescent="0.25">
      <c r="A21" s="57" t="s">
        <v>218</v>
      </c>
      <c r="B21" s="58">
        <v>0</v>
      </c>
      <c r="C21" s="58">
        <v>2</v>
      </c>
      <c r="D21" s="59"/>
      <c r="E21" s="59"/>
      <c r="F21" s="58">
        <v>2</v>
      </c>
      <c r="G21" s="59"/>
      <c r="H21" s="60">
        <v>0</v>
      </c>
    </row>
    <row r="22" spans="1:8" ht="67.5" x14ac:dyDescent="0.25">
      <c r="A22" s="57" t="s">
        <v>219</v>
      </c>
      <c r="B22" s="58">
        <v>1</v>
      </c>
      <c r="C22" s="59"/>
      <c r="D22" s="59"/>
      <c r="E22" s="59"/>
      <c r="F22" s="58">
        <v>1</v>
      </c>
      <c r="G22" s="60">
        <v>100</v>
      </c>
      <c r="H22" s="60">
        <v>100</v>
      </c>
    </row>
    <row r="23" spans="1:8" ht="90" x14ac:dyDescent="0.25">
      <c r="A23" s="57" t="s">
        <v>191</v>
      </c>
      <c r="B23" s="58">
        <v>70</v>
      </c>
      <c r="C23" s="58">
        <v>31</v>
      </c>
      <c r="D23" s="59"/>
      <c r="E23" s="58">
        <v>1</v>
      </c>
      <c r="F23" s="58">
        <v>102</v>
      </c>
      <c r="G23" s="60">
        <v>69.31</v>
      </c>
      <c r="H23" s="60">
        <v>68.63</v>
      </c>
    </row>
    <row r="24" spans="1:8" ht="90" x14ac:dyDescent="0.25">
      <c r="A24" s="57" t="s">
        <v>192</v>
      </c>
      <c r="B24" s="58">
        <v>17</v>
      </c>
      <c r="C24" s="58">
        <v>6</v>
      </c>
      <c r="D24" s="59"/>
      <c r="E24" s="59"/>
      <c r="F24" s="58">
        <v>23</v>
      </c>
      <c r="G24" s="60">
        <v>73.91</v>
      </c>
      <c r="H24" s="60">
        <v>73.91</v>
      </c>
    </row>
    <row r="25" spans="1:8" ht="90" x14ac:dyDescent="0.25">
      <c r="A25" s="57" t="s">
        <v>193</v>
      </c>
      <c r="B25" s="58">
        <v>1</v>
      </c>
      <c r="C25" s="58">
        <v>3</v>
      </c>
      <c r="D25" s="59"/>
      <c r="E25" s="58">
        <v>1</v>
      </c>
      <c r="F25" s="58">
        <v>5</v>
      </c>
      <c r="G25" s="60">
        <v>25</v>
      </c>
      <c r="H25" s="60">
        <v>20</v>
      </c>
    </row>
    <row r="26" spans="1:8" ht="90" x14ac:dyDescent="0.25">
      <c r="A26" s="57" t="s">
        <v>194</v>
      </c>
      <c r="B26" s="58">
        <v>0</v>
      </c>
      <c r="C26" s="58">
        <v>3</v>
      </c>
      <c r="D26" s="59"/>
      <c r="E26" s="58">
        <v>1</v>
      </c>
      <c r="F26" s="58">
        <v>4</v>
      </c>
      <c r="G26" s="59"/>
      <c r="H26" s="60">
        <v>0</v>
      </c>
    </row>
    <row r="27" spans="1:8" ht="67.5" x14ac:dyDescent="0.25">
      <c r="A27" s="57" t="s">
        <v>195</v>
      </c>
      <c r="B27" s="58">
        <v>2</v>
      </c>
      <c r="C27" s="59"/>
      <c r="D27" s="59"/>
      <c r="E27" s="59"/>
      <c r="F27" s="58">
        <v>2</v>
      </c>
      <c r="G27" s="60">
        <v>100</v>
      </c>
      <c r="H27" s="60">
        <v>100</v>
      </c>
    </row>
    <row r="28" spans="1:8" ht="67.5" x14ac:dyDescent="0.25">
      <c r="A28" s="57" t="s">
        <v>196</v>
      </c>
      <c r="B28" s="58">
        <v>0</v>
      </c>
      <c r="C28" s="58">
        <v>1</v>
      </c>
      <c r="D28" s="59"/>
      <c r="E28" s="59"/>
      <c r="F28" s="58">
        <v>1</v>
      </c>
      <c r="G28" s="59"/>
      <c r="H28" s="60">
        <v>0</v>
      </c>
    </row>
    <row r="29" spans="1:8" ht="67.5" x14ac:dyDescent="0.25">
      <c r="A29" s="57" t="s">
        <v>197</v>
      </c>
      <c r="B29" s="58">
        <v>2</v>
      </c>
      <c r="C29" s="58">
        <v>1</v>
      </c>
      <c r="D29" s="59"/>
      <c r="E29" s="59"/>
      <c r="F29" s="58">
        <v>3</v>
      </c>
      <c r="G29" s="60">
        <v>66.67</v>
      </c>
      <c r="H29" s="60">
        <v>66.67</v>
      </c>
    </row>
    <row r="30" spans="1:8" ht="67.5" x14ac:dyDescent="0.25">
      <c r="A30" s="57" t="s">
        <v>198</v>
      </c>
      <c r="B30" s="58">
        <v>0</v>
      </c>
      <c r="C30" s="58">
        <v>2</v>
      </c>
      <c r="D30" s="59"/>
      <c r="E30" s="59"/>
      <c r="F30" s="58">
        <v>2</v>
      </c>
      <c r="G30" s="59"/>
      <c r="H30" s="60">
        <v>0</v>
      </c>
    </row>
    <row r="31" spans="1:8" ht="90" x14ac:dyDescent="0.25">
      <c r="A31" s="57" t="s">
        <v>199</v>
      </c>
      <c r="B31" s="58">
        <v>1</v>
      </c>
      <c r="C31" s="58">
        <v>1</v>
      </c>
      <c r="D31" s="59"/>
      <c r="E31" s="59"/>
      <c r="F31" s="58">
        <v>2</v>
      </c>
      <c r="G31" s="60">
        <v>50</v>
      </c>
      <c r="H31" s="60">
        <v>50</v>
      </c>
    </row>
    <row r="32" spans="1:8" ht="90" x14ac:dyDescent="0.25">
      <c r="A32" s="57" t="s">
        <v>200</v>
      </c>
      <c r="B32" s="58">
        <v>1</v>
      </c>
      <c r="C32" s="58">
        <v>1</v>
      </c>
      <c r="D32" s="59"/>
      <c r="E32" s="59"/>
      <c r="F32" s="58">
        <v>2</v>
      </c>
      <c r="G32" s="60">
        <v>50</v>
      </c>
      <c r="H32" s="60">
        <v>50</v>
      </c>
    </row>
    <row r="33" spans="1:8" ht="67.5" x14ac:dyDescent="0.25">
      <c r="A33" s="57" t="s">
        <v>201</v>
      </c>
      <c r="B33" s="58">
        <v>5</v>
      </c>
      <c r="C33" s="58">
        <v>4</v>
      </c>
      <c r="D33" s="59"/>
      <c r="E33" s="59"/>
      <c r="F33" s="58">
        <v>9</v>
      </c>
      <c r="G33" s="60">
        <v>55.56</v>
      </c>
      <c r="H33" s="60">
        <v>55.56</v>
      </c>
    </row>
    <row r="34" spans="1:8" ht="67.5" x14ac:dyDescent="0.25">
      <c r="A34" s="57" t="s">
        <v>202</v>
      </c>
      <c r="B34" s="58">
        <v>0</v>
      </c>
      <c r="C34" s="58">
        <v>1</v>
      </c>
      <c r="D34" s="59"/>
      <c r="E34" s="59"/>
      <c r="F34" s="58">
        <v>1</v>
      </c>
      <c r="G34" s="59"/>
      <c r="H34" s="60">
        <v>0</v>
      </c>
    </row>
    <row r="35" spans="1:8" ht="67.5" x14ac:dyDescent="0.25">
      <c r="A35" s="57" t="s">
        <v>203</v>
      </c>
      <c r="B35" s="58">
        <v>0</v>
      </c>
      <c r="C35" s="58">
        <v>1</v>
      </c>
      <c r="D35" s="59"/>
      <c r="E35" s="59"/>
      <c r="F35" s="58">
        <v>1</v>
      </c>
      <c r="G35" s="59"/>
      <c r="H35" s="60">
        <v>0</v>
      </c>
    </row>
    <row r="36" spans="1:8" ht="78.75" x14ac:dyDescent="0.25">
      <c r="A36" s="57" t="s">
        <v>207</v>
      </c>
      <c r="B36" s="58">
        <v>2</v>
      </c>
      <c r="C36" s="58">
        <v>3</v>
      </c>
      <c r="D36" s="59"/>
      <c r="E36" s="59"/>
      <c r="F36" s="58">
        <v>5</v>
      </c>
      <c r="G36" s="60">
        <v>40</v>
      </c>
      <c r="H36" s="60">
        <v>40</v>
      </c>
    </row>
    <row r="37" spans="1:8" ht="67.5" x14ac:dyDescent="0.25">
      <c r="A37" s="57" t="s">
        <v>6</v>
      </c>
      <c r="B37" s="58">
        <v>13</v>
      </c>
      <c r="C37" s="58">
        <v>4</v>
      </c>
      <c r="D37" s="59"/>
      <c r="E37" s="59"/>
      <c r="F37" s="58">
        <v>17</v>
      </c>
      <c r="G37" s="60">
        <v>76.47</v>
      </c>
      <c r="H37" s="60">
        <v>76.47</v>
      </c>
    </row>
    <row r="38" spans="1:8" ht="67.5" x14ac:dyDescent="0.25">
      <c r="A38" s="57" t="s">
        <v>7</v>
      </c>
      <c r="B38" s="58">
        <v>10</v>
      </c>
      <c r="C38" s="58">
        <v>2</v>
      </c>
      <c r="D38" s="59"/>
      <c r="E38" s="58">
        <v>1</v>
      </c>
      <c r="F38" s="58">
        <v>13</v>
      </c>
      <c r="G38" s="60">
        <v>83.33</v>
      </c>
      <c r="H38" s="60">
        <v>76.92</v>
      </c>
    </row>
    <row r="39" spans="1:8" ht="67.5" x14ac:dyDescent="0.25">
      <c r="A39" s="57" t="s">
        <v>8</v>
      </c>
      <c r="B39" s="58">
        <v>8</v>
      </c>
      <c r="C39" s="58">
        <v>5</v>
      </c>
      <c r="D39" s="59"/>
      <c r="E39" s="59"/>
      <c r="F39" s="58">
        <v>13</v>
      </c>
      <c r="G39" s="60">
        <v>61.54</v>
      </c>
      <c r="H39" s="60">
        <v>61.54</v>
      </c>
    </row>
    <row r="40" spans="1:8" ht="67.5" x14ac:dyDescent="0.25">
      <c r="A40" s="57" t="s">
        <v>9</v>
      </c>
      <c r="B40" s="58">
        <v>54</v>
      </c>
      <c r="C40" s="58">
        <v>16</v>
      </c>
      <c r="D40" s="59"/>
      <c r="E40" s="59"/>
      <c r="F40" s="58">
        <v>70</v>
      </c>
      <c r="G40" s="60">
        <v>77.14</v>
      </c>
      <c r="H40" s="60">
        <v>77.14</v>
      </c>
    </row>
    <row r="41" spans="1:8" ht="67.5" x14ac:dyDescent="0.25">
      <c r="A41" s="57" t="s">
        <v>10</v>
      </c>
      <c r="B41" s="58">
        <v>14</v>
      </c>
      <c r="C41" s="58">
        <v>1</v>
      </c>
      <c r="D41" s="59"/>
      <c r="E41" s="59"/>
      <c r="F41" s="58">
        <v>15</v>
      </c>
      <c r="G41" s="60">
        <v>93.33</v>
      </c>
      <c r="H41" s="60">
        <v>93.33</v>
      </c>
    </row>
    <row r="42" spans="1:8" ht="67.5" x14ac:dyDescent="0.25">
      <c r="A42" s="57" t="s">
        <v>11</v>
      </c>
      <c r="B42" s="58">
        <v>15</v>
      </c>
      <c r="C42" s="58">
        <v>9</v>
      </c>
      <c r="D42" s="59"/>
      <c r="E42" s="59"/>
      <c r="F42" s="58">
        <v>24</v>
      </c>
      <c r="G42" s="60">
        <v>62.5</v>
      </c>
      <c r="H42" s="60">
        <v>62.5</v>
      </c>
    </row>
    <row r="43" spans="1:8" ht="78.75" x14ac:dyDescent="0.25">
      <c r="A43" s="57" t="s">
        <v>12</v>
      </c>
      <c r="B43" s="58">
        <v>0</v>
      </c>
      <c r="C43" s="58">
        <v>2</v>
      </c>
      <c r="D43" s="59"/>
      <c r="E43" s="59"/>
      <c r="F43" s="58">
        <v>2</v>
      </c>
      <c r="G43" s="59"/>
      <c r="H43" s="60">
        <v>0</v>
      </c>
    </row>
    <row r="44" spans="1:8" ht="67.5" x14ac:dyDescent="0.25">
      <c r="A44" s="57" t="s">
        <v>13</v>
      </c>
      <c r="B44" s="58">
        <v>5</v>
      </c>
      <c r="C44" s="58">
        <v>1</v>
      </c>
      <c r="D44" s="59"/>
      <c r="E44" s="59"/>
      <c r="F44" s="58">
        <v>6</v>
      </c>
      <c r="G44" s="60">
        <v>83.33</v>
      </c>
      <c r="H44" s="60">
        <v>83.33</v>
      </c>
    </row>
    <row r="45" spans="1:8" ht="67.5" x14ac:dyDescent="0.25">
      <c r="A45" s="57" t="s">
        <v>14</v>
      </c>
      <c r="B45" s="58">
        <v>54</v>
      </c>
      <c r="C45" s="58">
        <v>8</v>
      </c>
      <c r="D45" s="59"/>
      <c r="E45" s="59"/>
      <c r="F45" s="58">
        <v>62</v>
      </c>
      <c r="G45" s="60">
        <v>87.1</v>
      </c>
      <c r="H45" s="60">
        <v>87.1</v>
      </c>
    </row>
    <row r="46" spans="1:8" ht="67.5" x14ac:dyDescent="0.25">
      <c r="A46" s="57" t="s">
        <v>16</v>
      </c>
      <c r="B46" s="58">
        <v>9</v>
      </c>
      <c r="C46" s="59"/>
      <c r="D46" s="59"/>
      <c r="E46" s="59"/>
      <c r="F46" s="58">
        <v>9</v>
      </c>
      <c r="G46" s="60">
        <v>100</v>
      </c>
      <c r="H46" s="60">
        <v>100</v>
      </c>
    </row>
    <row r="47" spans="1:8" ht="67.5" x14ac:dyDescent="0.25">
      <c r="A47" s="57" t="s">
        <v>17</v>
      </c>
      <c r="B47" s="58">
        <v>2</v>
      </c>
      <c r="C47" s="59"/>
      <c r="D47" s="59"/>
      <c r="E47" s="59"/>
      <c r="F47" s="58">
        <v>2</v>
      </c>
      <c r="G47" s="60">
        <v>100</v>
      </c>
      <c r="H47" s="60">
        <v>100</v>
      </c>
    </row>
    <row r="48" spans="1:8" ht="67.5" x14ac:dyDescent="0.25">
      <c r="A48" s="57" t="s">
        <v>18</v>
      </c>
      <c r="B48" s="58">
        <v>10</v>
      </c>
      <c r="C48" s="58">
        <v>2</v>
      </c>
      <c r="D48" s="59"/>
      <c r="E48" s="58">
        <v>1</v>
      </c>
      <c r="F48" s="58">
        <v>13</v>
      </c>
      <c r="G48" s="60">
        <v>83.33</v>
      </c>
      <c r="H48" s="60">
        <v>76.92</v>
      </c>
    </row>
    <row r="49" spans="1:8" ht="67.5" x14ac:dyDescent="0.25">
      <c r="A49" s="57" t="s">
        <v>19</v>
      </c>
      <c r="B49" s="58">
        <v>14</v>
      </c>
      <c r="C49" s="58">
        <v>7</v>
      </c>
      <c r="D49" s="59"/>
      <c r="E49" s="58">
        <v>1</v>
      </c>
      <c r="F49" s="58">
        <v>22</v>
      </c>
      <c r="G49" s="60">
        <v>66.67</v>
      </c>
      <c r="H49" s="60">
        <v>63.64</v>
      </c>
    </row>
    <row r="50" spans="1:8" ht="67.5" x14ac:dyDescent="0.25">
      <c r="A50" s="57" t="s">
        <v>20</v>
      </c>
      <c r="B50" s="58">
        <v>28</v>
      </c>
      <c r="C50" s="58">
        <v>22</v>
      </c>
      <c r="D50" s="59"/>
      <c r="E50" s="59"/>
      <c r="F50" s="58">
        <v>50</v>
      </c>
      <c r="G50" s="60">
        <v>56</v>
      </c>
      <c r="H50" s="60">
        <v>56</v>
      </c>
    </row>
    <row r="51" spans="1:8" ht="67.5" x14ac:dyDescent="0.25">
      <c r="A51" s="57" t="s">
        <v>21</v>
      </c>
      <c r="B51" s="58">
        <v>26</v>
      </c>
      <c r="C51" s="58">
        <v>59</v>
      </c>
      <c r="D51" s="59"/>
      <c r="E51" s="59"/>
      <c r="F51" s="58">
        <v>85</v>
      </c>
      <c r="G51" s="60">
        <v>30.59</v>
      </c>
      <c r="H51" s="60">
        <v>30.59</v>
      </c>
    </row>
    <row r="52" spans="1:8" ht="67.5" x14ac:dyDescent="0.25">
      <c r="A52" s="57" t="s">
        <v>24</v>
      </c>
      <c r="B52" s="58">
        <v>11</v>
      </c>
      <c r="C52" s="58">
        <v>4</v>
      </c>
      <c r="D52" s="59"/>
      <c r="E52" s="58">
        <v>1</v>
      </c>
      <c r="F52" s="58">
        <v>16</v>
      </c>
      <c r="G52" s="60">
        <v>73.33</v>
      </c>
      <c r="H52" s="60">
        <v>68.75</v>
      </c>
    </row>
    <row r="53" spans="1:8" ht="67.5" x14ac:dyDescent="0.25">
      <c r="A53" s="57" t="s">
        <v>26</v>
      </c>
      <c r="B53" s="58">
        <v>107</v>
      </c>
      <c r="C53" s="58">
        <v>20</v>
      </c>
      <c r="D53" s="59"/>
      <c r="E53" s="59"/>
      <c r="F53" s="58">
        <v>127</v>
      </c>
      <c r="G53" s="60">
        <v>84.25</v>
      </c>
      <c r="H53" s="60">
        <v>84.25</v>
      </c>
    </row>
    <row r="54" spans="1:8" ht="67.5" x14ac:dyDescent="0.25">
      <c r="A54" s="57" t="s">
        <v>27</v>
      </c>
      <c r="B54" s="58">
        <v>115</v>
      </c>
      <c r="C54" s="58">
        <v>17</v>
      </c>
      <c r="D54" s="59"/>
      <c r="E54" s="58">
        <v>1</v>
      </c>
      <c r="F54" s="58">
        <v>133</v>
      </c>
      <c r="G54" s="60">
        <v>87.12</v>
      </c>
      <c r="H54" s="60">
        <v>86.47</v>
      </c>
    </row>
    <row r="55" spans="1:8" ht="67.5" x14ac:dyDescent="0.25">
      <c r="A55" s="57" t="s">
        <v>28</v>
      </c>
      <c r="B55" s="58">
        <v>81</v>
      </c>
      <c r="C55" s="58">
        <v>41</v>
      </c>
      <c r="D55" s="59"/>
      <c r="E55" s="58">
        <v>2</v>
      </c>
      <c r="F55" s="58">
        <v>124</v>
      </c>
      <c r="G55" s="60">
        <v>66.39</v>
      </c>
      <c r="H55" s="60">
        <v>65.319999999999993</v>
      </c>
    </row>
    <row r="56" spans="1:8" ht="67.5" x14ac:dyDescent="0.25">
      <c r="A56" s="57" t="s">
        <v>29</v>
      </c>
      <c r="B56" s="58">
        <v>57</v>
      </c>
      <c r="C56" s="58">
        <v>4</v>
      </c>
      <c r="D56" s="59"/>
      <c r="E56" s="58">
        <v>3</v>
      </c>
      <c r="F56" s="58">
        <v>64</v>
      </c>
      <c r="G56" s="60">
        <v>93.44</v>
      </c>
      <c r="H56" s="60">
        <v>89.06</v>
      </c>
    </row>
    <row r="57" spans="1:8" ht="90" x14ac:dyDescent="0.25">
      <c r="A57" s="57" t="s">
        <v>185</v>
      </c>
      <c r="B57" s="58">
        <v>9</v>
      </c>
      <c r="C57" s="58">
        <v>5</v>
      </c>
      <c r="D57" s="59"/>
      <c r="E57" s="58">
        <v>3</v>
      </c>
      <c r="F57" s="58">
        <v>17</v>
      </c>
      <c r="G57" s="60">
        <v>64.290000000000006</v>
      </c>
      <c r="H57" s="60">
        <v>52.94</v>
      </c>
    </row>
    <row r="58" spans="1:8" ht="67.5" x14ac:dyDescent="0.25">
      <c r="A58" s="57" t="s">
        <v>30</v>
      </c>
      <c r="B58" s="58">
        <v>14</v>
      </c>
      <c r="C58" s="58">
        <v>9</v>
      </c>
      <c r="D58" s="59"/>
      <c r="E58" s="59"/>
      <c r="F58" s="58">
        <v>23</v>
      </c>
      <c r="G58" s="60">
        <v>60.87</v>
      </c>
      <c r="H58" s="60">
        <v>60.87</v>
      </c>
    </row>
    <row r="59" spans="1:8" ht="78.75" x14ac:dyDescent="0.25">
      <c r="A59" s="57" t="s">
        <v>31</v>
      </c>
      <c r="B59" s="58">
        <v>8</v>
      </c>
      <c r="C59" s="58">
        <v>5</v>
      </c>
      <c r="D59" s="59"/>
      <c r="E59" s="59"/>
      <c r="F59" s="58">
        <v>13</v>
      </c>
      <c r="G59" s="60">
        <v>61.54</v>
      </c>
      <c r="H59" s="60">
        <v>61.54</v>
      </c>
    </row>
    <row r="60" spans="1:8" ht="67.5" x14ac:dyDescent="0.25">
      <c r="A60" s="57" t="s">
        <v>32</v>
      </c>
      <c r="B60" s="58">
        <v>6</v>
      </c>
      <c r="C60" s="58">
        <v>1</v>
      </c>
      <c r="D60" s="59"/>
      <c r="E60" s="59"/>
      <c r="F60" s="58">
        <v>7</v>
      </c>
      <c r="G60" s="60">
        <v>85.71</v>
      </c>
      <c r="H60" s="60">
        <v>85.71</v>
      </c>
    </row>
    <row r="61" spans="1:8" ht="67.5" x14ac:dyDescent="0.25">
      <c r="A61" s="57" t="s">
        <v>33</v>
      </c>
      <c r="B61" s="58">
        <v>6</v>
      </c>
      <c r="C61" s="58">
        <v>7</v>
      </c>
      <c r="D61" s="59"/>
      <c r="E61" s="58">
        <v>2</v>
      </c>
      <c r="F61" s="58">
        <v>15</v>
      </c>
      <c r="G61" s="60">
        <v>46.15</v>
      </c>
      <c r="H61" s="60">
        <v>40</v>
      </c>
    </row>
    <row r="62" spans="1:8" ht="78.75" x14ac:dyDescent="0.25">
      <c r="A62" s="57" t="s">
        <v>34</v>
      </c>
      <c r="B62" s="58">
        <v>6</v>
      </c>
      <c r="C62" s="58">
        <v>4</v>
      </c>
      <c r="D62" s="59"/>
      <c r="E62" s="59"/>
      <c r="F62" s="58">
        <v>10</v>
      </c>
      <c r="G62" s="60">
        <v>60</v>
      </c>
      <c r="H62" s="60">
        <v>60</v>
      </c>
    </row>
    <row r="63" spans="1:8" ht="78.75" x14ac:dyDescent="0.25">
      <c r="A63" s="57" t="s">
        <v>35</v>
      </c>
      <c r="B63" s="58">
        <v>8</v>
      </c>
      <c r="C63" s="58">
        <v>25</v>
      </c>
      <c r="D63" s="59"/>
      <c r="E63" s="59"/>
      <c r="F63" s="58">
        <v>33</v>
      </c>
      <c r="G63" s="60">
        <v>24.24</v>
      </c>
      <c r="H63" s="60">
        <v>24.24</v>
      </c>
    </row>
    <row r="64" spans="1:8" ht="78.75" x14ac:dyDescent="0.25">
      <c r="A64" s="57" t="s">
        <v>37</v>
      </c>
      <c r="B64" s="58">
        <v>23</v>
      </c>
      <c r="C64" s="58">
        <v>12</v>
      </c>
      <c r="D64" s="59"/>
      <c r="E64" s="58">
        <v>2</v>
      </c>
      <c r="F64" s="58">
        <v>37</v>
      </c>
      <c r="G64" s="60">
        <v>65.709999999999994</v>
      </c>
      <c r="H64" s="60">
        <v>62.16</v>
      </c>
    </row>
    <row r="65" spans="1:8" ht="78.75" x14ac:dyDescent="0.25">
      <c r="A65" s="57" t="s">
        <v>38</v>
      </c>
      <c r="B65" s="58">
        <v>20</v>
      </c>
      <c r="C65" s="58">
        <v>7</v>
      </c>
      <c r="D65" s="59"/>
      <c r="E65" s="59"/>
      <c r="F65" s="58">
        <v>27</v>
      </c>
      <c r="G65" s="60">
        <v>74.069999999999993</v>
      </c>
      <c r="H65" s="60">
        <v>74.069999999999993</v>
      </c>
    </row>
    <row r="66" spans="1:8" ht="78.75" x14ac:dyDescent="0.25">
      <c r="A66" s="57" t="s">
        <v>39</v>
      </c>
      <c r="B66" s="58">
        <v>3</v>
      </c>
      <c r="C66" s="58">
        <v>4</v>
      </c>
      <c r="D66" s="59"/>
      <c r="E66" s="59"/>
      <c r="F66" s="58">
        <v>7</v>
      </c>
      <c r="G66" s="60">
        <v>42.86</v>
      </c>
      <c r="H66" s="60">
        <v>42.86</v>
      </c>
    </row>
    <row r="67" spans="1:8" ht="78.75" x14ac:dyDescent="0.25">
      <c r="A67" s="57" t="s">
        <v>40</v>
      </c>
      <c r="B67" s="58">
        <v>9</v>
      </c>
      <c r="C67" s="58">
        <v>8</v>
      </c>
      <c r="D67" s="59"/>
      <c r="E67" s="59"/>
      <c r="F67" s="58">
        <v>17</v>
      </c>
      <c r="G67" s="60">
        <v>52.94</v>
      </c>
      <c r="H67" s="60">
        <v>52.94</v>
      </c>
    </row>
    <row r="68" spans="1:8" ht="67.5" x14ac:dyDescent="0.25">
      <c r="A68" s="57" t="s">
        <v>42</v>
      </c>
      <c r="B68" s="58">
        <v>5</v>
      </c>
      <c r="C68" s="58">
        <v>2</v>
      </c>
      <c r="D68" s="59"/>
      <c r="E68" s="58">
        <v>1</v>
      </c>
      <c r="F68" s="58">
        <v>8</v>
      </c>
      <c r="G68" s="60">
        <v>71.430000000000007</v>
      </c>
      <c r="H68" s="60">
        <v>62.5</v>
      </c>
    </row>
    <row r="69" spans="1:8" ht="67.5" x14ac:dyDescent="0.25">
      <c r="A69" s="57" t="s">
        <v>43</v>
      </c>
      <c r="B69" s="58">
        <v>11</v>
      </c>
      <c r="C69" s="58">
        <v>5</v>
      </c>
      <c r="D69" s="59"/>
      <c r="E69" s="59"/>
      <c r="F69" s="58">
        <v>16</v>
      </c>
      <c r="G69" s="60">
        <v>68.75</v>
      </c>
      <c r="H69" s="60">
        <v>68.75</v>
      </c>
    </row>
    <row r="70" spans="1:8" ht="78.75" x14ac:dyDescent="0.25">
      <c r="A70" s="57" t="s">
        <v>204</v>
      </c>
      <c r="B70" s="58">
        <v>0</v>
      </c>
      <c r="C70" s="58">
        <v>2</v>
      </c>
      <c r="D70" s="59"/>
      <c r="E70" s="58">
        <v>1</v>
      </c>
      <c r="F70" s="58">
        <v>3</v>
      </c>
      <c r="G70" s="59"/>
      <c r="H70" s="60">
        <v>0</v>
      </c>
    </row>
    <row r="71" spans="1:8" ht="78.75" x14ac:dyDescent="0.25">
      <c r="A71" s="57" t="s">
        <v>205</v>
      </c>
      <c r="B71" s="58">
        <v>0</v>
      </c>
      <c r="C71" s="58">
        <v>1</v>
      </c>
      <c r="D71" s="59"/>
      <c r="E71" s="59"/>
      <c r="F71" s="58">
        <v>1</v>
      </c>
      <c r="G71" s="59"/>
      <c r="H71" s="60">
        <v>0</v>
      </c>
    </row>
    <row r="72" spans="1:8" ht="90" x14ac:dyDescent="0.25">
      <c r="A72" s="57" t="s">
        <v>206</v>
      </c>
      <c r="B72" s="58">
        <v>0</v>
      </c>
      <c r="C72" s="59"/>
      <c r="D72" s="59"/>
      <c r="E72" s="58">
        <v>1</v>
      </c>
      <c r="F72" s="58">
        <v>1</v>
      </c>
      <c r="G72" s="59"/>
      <c r="H72" s="60">
        <v>0</v>
      </c>
    </row>
    <row r="73" spans="1:8" ht="78.75" x14ac:dyDescent="0.25">
      <c r="A73" s="57" t="s">
        <v>46</v>
      </c>
      <c r="B73" s="58">
        <v>1</v>
      </c>
      <c r="C73" s="58">
        <v>1</v>
      </c>
      <c r="D73" s="59"/>
      <c r="E73" s="59"/>
      <c r="F73" s="58">
        <v>2</v>
      </c>
      <c r="G73" s="60">
        <v>50</v>
      </c>
      <c r="H73" s="60">
        <v>50</v>
      </c>
    </row>
    <row r="74" spans="1:8" ht="78.75" x14ac:dyDescent="0.25">
      <c r="A74" s="57" t="s">
        <v>47</v>
      </c>
      <c r="B74" s="58">
        <v>73</v>
      </c>
      <c r="C74" s="58">
        <v>45</v>
      </c>
      <c r="D74" s="59"/>
      <c r="E74" s="58">
        <v>2</v>
      </c>
      <c r="F74" s="58">
        <v>120</v>
      </c>
      <c r="G74" s="60">
        <v>61.86</v>
      </c>
      <c r="H74" s="60">
        <v>60.83</v>
      </c>
    </row>
    <row r="75" spans="1:8" ht="78.75" x14ac:dyDescent="0.25">
      <c r="A75" s="57" t="s">
        <v>48</v>
      </c>
      <c r="B75" s="58">
        <v>8</v>
      </c>
      <c r="C75" s="58">
        <v>3</v>
      </c>
      <c r="D75" s="59"/>
      <c r="E75" s="59"/>
      <c r="F75" s="58">
        <v>11</v>
      </c>
      <c r="G75" s="60">
        <v>72.73</v>
      </c>
      <c r="H75" s="60">
        <v>72.73</v>
      </c>
    </row>
    <row r="76" spans="1:8" ht="78.75" x14ac:dyDescent="0.25">
      <c r="A76" s="57" t="s">
        <v>49</v>
      </c>
      <c r="B76" s="58">
        <v>27</v>
      </c>
      <c r="C76" s="58">
        <v>6</v>
      </c>
      <c r="D76" s="59"/>
      <c r="E76" s="59"/>
      <c r="F76" s="58">
        <v>33</v>
      </c>
      <c r="G76" s="60">
        <v>81.819999999999993</v>
      </c>
      <c r="H76" s="60">
        <v>81.819999999999993</v>
      </c>
    </row>
    <row r="77" spans="1:8" ht="67.5" x14ac:dyDescent="0.25">
      <c r="A77" s="57" t="s">
        <v>50</v>
      </c>
      <c r="B77" s="58">
        <v>0</v>
      </c>
      <c r="C77" s="58">
        <v>1</v>
      </c>
      <c r="D77" s="59"/>
      <c r="E77" s="59"/>
      <c r="F77" s="58">
        <v>1</v>
      </c>
      <c r="G77" s="59"/>
      <c r="H77" s="60">
        <v>0</v>
      </c>
    </row>
    <row r="78" spans="1:8" ht="67.5" x14ac:dyDescent="0.25">
      <c r="A78" s="57" t="s">
        <v>51</v>
      </c>
      <c r="B78" s="58">
        <v>11</v>
      </c>
      <c r="C78" s="58">
        <v>5</v>
      </c>
      <c r="D78" s="59"/>
      <c r="E78" s="59"/>
      <c r="F78" s="58">
        <v>16</v>
      </c>
      <c r="G78" s="60">
        <v>68.75</v>
      </c>
      <c r="H78" s="60">
        <v>68.75</v>
      </c>
    </row>
    <row r="79" spans="1:8" ht="67.5" x14ac:dyDescent="0.25">
      <c r="A79" s="57" t="s">
        <v>52</v>
      </c>
      <c r="B79" s="58">
        <v>9</v>
      </c>
      <c r="C79" s="59"/>
      <c r="D79" s="59"/>
      <c r="E79" s="59"/>
      <c r="F79" s="58">
        <v>9</v>
      </c>
      <c r="G79" s="60">
        <v>100</v>
      </c>
      <c r="H79" s="60">
        <v>100</v>
      </c>
    </row>
    <row r="80" spans="1:8" ht="67.5" x14ac:dyDescent="0.25">
      <c r="A80" s="57" t="s">
        <v>53</v>
      </c>
      <c r="B80" s="58">
        <v>18</v>
      </c>
      <c r="C80" s="58">
        <v>19</v>
      </c>
      <c r="D80" s="59"/>
      <c r="E80" s="58">
        <v>1</v>
      </c>
      <c r="F80" s="58">
        <v>38</v>
      </c>
      <c r="G80" s="60">
        <v>48.65</v>
      </c>
      <c r="H80" s="60">
        <v>47.37</v>
      </c>
    </row>
    <row r="81" spans="1:8" ht="67.5" x14ac:dyDescent="0.25">
      <c r="A81" s="57" t="s">
        <v>55</v>
      </c>
      <c r="B81" s="58">
        <v>8</v>
      </c>
      <c r="C81" s="58">
        <v>2</v>
      </c>
      <c r="D81" s="59"/>
      <c r="E81" s="59"/>
      <c r="F81" s="58">
        <v>10</v>
      </c>
      <c r="G81" s="60">
        <v>80</v>
      </c>
      <c r="H81" s="60">
        <v>80</v>
      </c>
    </row>
    <row r="82" spans="1:8" ht="67.5" x14ac:dyDescent="0.25">
      <c r="A82" s="57" t="s">
        <v>56</v>
      </c>
      <c r="B82" s="58">
        <v>74</v>
      </c>
      <c r="C82" s="58">
        <v>22</v>
      </c>
      <c r="D82" s="59"/>
      <c r="E82" s="58">
        <v>3</v>
      </c>
      <c r="F82" s="58">
        <v>99</v>
      </c>
      <c r="G82" s="60">
        <v>77.08</v>
      </c>
      <c r="H82" s="60">
        <v>74.75</v>
      </c>
    </row>
    <row r="83" spans="1:8" ht="90" x14ac:dyDescent="0.25">
      <c r="A83" s="57" t="s">
        <v>57</v>
      </c>
      <c r="B83" s="58">
        <v>29</v>
      </c>
      <c r="C83" s="58">
        <v>25</v>
      </c>
      <c r="D83" s="59"/>
      <c r="E83" s="59"/>
      <c r="F83" s="58">
        <v>54</v>
      </c>
      <c r="G83" s="60">
        <v>53.7</v>
      </c>
      <c r="H83" s="60">
        <v>53.7</v>
      </c>
    </row>
    <row r="84" spans="1:8" ht="90" x14ac:dyDescent="0.25">
      <c r="A84" s="57" t="s">
        <v>58</v>
      </c>
      <c r="B84" s="58">
        <v>4</v>
      </c>
      <c r="C84" s="58">
        <v>4</v>
      </c>
      <c r="D84" s="59"/>
      <c r="E84" s="59"/>
      <c r="F84" s="58">
        <v>8</v>
      </c>
      <c r="G84" s="60">
        <v>50</v>
      </c>
      <c r="H84" s="60">
        <v>50</v>
      </c>
    </row>
    <row r="85" spans="1:8" ht="90" x14ac:dyDescent="0.25">
      <c r="A85" s="57" t="s">
        <v>59</v>
      </c>
      <c r="B85" s="58">
        <v>28</v>
      </c>
      <c r="C85" s="58">
        <v>19</v>
      </c>
      <c r="D85" s="59"/>
      <c r="E85" s="59"/>
      <c r="F85" s="58">
        <v>47</v>
      </c>
      <c r="G85" s="60">
        <v>59.57</v>
      </c>
      <c r="H85" s="60">
        <v>59.57</v>
      </c>
    </row>
    <row r="86" spans="1:8" ht="90" x14ac:dyDescent="0.25">
      <c r="A86" s="57" t="s">
        <v>60</v>
      </c>
      <c r="B86" s="58">
        <v>4</v>
      </c>
      <c r="C86" s="58">
        <v>2</v>
      </c>
      <c r="D86" s="59"/>
      <c r="E86" s="59"/>
      <c r="F86" s="58">
        <v>6</v>
      </c>
      <c r="G86" s="60">
        <v>66.67</v>
      </c>
      <c r="H86" s="60">
        <v>66.67</v>
      </c>
    </row>
    <row r="87" spans="1:8" ht="78.75" x14ac:dyDescent="0.25">
      <c r="A87" s="57" t="s">
        <v>63</v>
      </c>
      <c r="B87" s="58">
        <v>37</v>
      </c>
      <c r="C87" s="58">
        <v>16</v>
      </c>
      <c r="D87" s="59"/>
      <c r="E87" s="59"/>
      <c r="F87" s="58">
        <v>53</v>
      </c>
      <c r="G87" s="60">
        <v>69.81</v>
      </c>
      <c r="H87" s="60">
        <v>69.81</v>
      </c>
    </row>
    <row r="88" spans="1:8" ht="90" x14ac:dyDescent="0.25">
      <c r="A88" s="57" t="s">
        <v>64</v>
      </c>
      <c r="B88" s="58">
        <v>10</v>
      </c>
      <c r="C88" s="58">
        <v>7</v>
      </c>
      <c r="D88" s="59"/>
      <c r="E88" s="59"/>
      <c r="F88" s="58">
        <v>17</v>
      </c>
      <c r="G88" s="60">
        <v>58.82</v>
      </c>
      <c r="H88" s="60">
        <v>58.82</v>
      </c>
    </row>
    <row r="89" spans="1:8" ht="90" x14ac:dyDescent="0.25">
      <c r="A89" s="57" t="s">
        <v>66</v>
      </c>
      <c r="B89" s="58">
        <v>43</v>
      </c>
      <c r="C89" s="58">
        <v>18</v>
      </c>
      <c r="D89" s="59"/>
      <c r="E89" s="58">
        <v>1</v>
      </c>
      <c r="F89" s="58">
        <v>62</v>
      </c>
      <c r="G89" s="60">
        <v>70.489999999999995</v>
      </c>
      <c r="H89" s="60">
        <v>69.349999999999994</v>
      </c>
    </row>
    <row r="90" spans="1:8" ht="90" x14ac:dyDescent="0.25">
      <c r="A90" s="57" t="s">
        <v>67</v>
      </c>
      <c r="B90" s="58">
        <v>18</v>
      </c>
      <c r="C90" s="58">
        <v>9</v>
      </c>
      <c r="D90" s="59"/>
      <c r="E90" s="59"/>
      <c r="F90" s="58">
        <v>27</v>
      </c>
      <c r="G90" s="60">
        <v>66.67</v>
      </c>
      <c r="H90" s="60">
        <v>66.67</v>
      </c>
    </row>
    <row r="91" spans="1:8" ht="90" x14ac:dyDescent="0.25">
      <c r="A91" s="57" t="s">
        <v>69</v>
      </c>
      <c r="B91" s="58">
        <v>32</v>
      </c>
      <c r="C91" s="58">
        <v>11</v>
      </c>
      <c r="D91" s="59"/>
      <c r="E91" s="59"/>
      <c r="F91" s="58">
        <v>43</v>
      </c>
      <c r="G91" s="60">
        <v>74.42</v>
      </c>
      <c r="H91" s="60">
        <v>74.42</v>
      </c>
    </row>
    <row r="92" spans="1:8" ht="90" x14ac:dyDescent="0.25">
      <c r="A92" s="57" t="s">
        <v>70</v>
      </c>
      <c r="B92" s="58">
        <v>92</v>
      </c>
      <c r="C92" s="58">
        <v>26</v>
      </c>
      <c r="D92" s="59"/>
      <c r="E92" s="58">
        <v>1</v>
      </c>
      <c r="F92" s="58">
        <v>119</v>
      </c>
      <c r="G92" s="60">
        <v>77.97</v>
      </c>
      <c r="H92" s="60">
        <v>77.31</v>
      </c>
    </row>
    <row r="93" spans="1:8" ht="112.5" x14ac:dyDescent="0.25">
      <c r="A93" s="57" t="s">
        <v>75</v>
      </c>
      <c r="B93" s="58">
        <v>5</v>
      </c>
      <c r="C93" s="58">
        <v>38</v>
      </c>
      <c r="D93" s="59"/>
      <c r="E93" s="58">
        <v>3</v>
      </c>
      <c r="F93" s="58">
        <v>46</v>
      </c>
      <c r="G93" s="60">
        <v>11.63</v>
      </c>
      <c r="H93" s="60">
        <v>10.87</v>
      </c>
    </row>
    <row r="94" spans="1:8" ht="78.75" x14ac:dyDescent="0.25">
      <c r="A94" s="57" t="s">
        <v>77</v>
      </c>
      <c r="B94" s="58">
        <v>24</v>
      </c>
      <c r="C94" s="58">
        <v>19</v>
      </c>
      <c r="D94" s="59"/>
      <c r="E94" s="59"/>
      <c r="F94" s="58">
        <v>43</v>
      </c>
      <c r="G94" s="60">
        <v>55.81</v>
      </c>
      <c r="H94" s="60">
        <v>55.81</v>
      </c>
    </row>
    <row r="95" spans="1:8" ht="78.75" x14ac:dyDescent="0.25">
      <c r="A95" s="57" t="s">
        <v>78</v>
      </c>
      <c r="B95" s="58">
        <v>23</v>
      </c>
      <c r="C95" s="58">
        <v>9</v>
      </c>
      <c r="D95" s="59"/>
      <c r="E95" s="59"/>
      <c r="F95" s="58">
        <v>32</v>
      </c>
      <c r="G95" s="60">
        <v>71.88</v>
      </c>
      <c r="H95" s="60">
        <v>71.88</v>
      </c>
    </row>
    <row r="96" spans="1:8" ht="78.75" x14ac:dyDescent="0.25">
      <c r="A96" s="57" t="s">
        <v>79</v>
      </c>
      <c r="B96" s="58">
        <v>12</v>
      </c>
      <c r="C96" s="58">
        <v>3</v>
      </c>
      <c r="D96" s="59"/>
      <c r="E96" s="59"/>
      <c r="F96" s="58">
        <v>15</v>
      </c>
      <c r="G96" s="60">
        <v>80</v>
      </c>
      <c r="H96" s="60">
        <v>80</v>
      </c>
    </row>
    <row r="97" spans="1:8" ht="78.75" x14ac:dyDescent="0.25">
      <c r="A97" s="57" t="s">
        <v>80</v>
      </c>
      <c r="B97" s="58">
        <v>27</v>
      </c>
      <c r="C97" s="58">
        <v>1</v>
      </c>
      <c r="D97" s="59"/>
      <c r="E97" s="59"/>
      <c r="F97" s="58">
        <v>28</v>
      </c>
      <c r="G97" s="60">
        <v>96.43</v>
      </c>
      <c r="H97" s="60">
        <v>96.43</v>
      </c>
    </row>
    <row r="98" spans="1:8" ht="67.5" x14ac:dyDescent="0.25">
      <c r="A98" s="57" t="s">
        <v>82</v>
      </c>
      <c r="B98" s="58">
        <v>33</v>
      </c>
      <c r="C98" s="58">
        <v>14</v>
      </c>
      <c r="D98" s="59"/>
      <c r="E98" s="59"/>
      <c r="F98" s="58">
        <v>47</v>
      </c>
      <c r="G98" s="60">
        <v>70.209999999999994</v>
      </c>
      <c r="H98" s="60">
        <v>70.209999999999994</v>
      </c>
    </row>
    <row r="99" spans="1:8" ht="67.5" x14ac:dyDescent="0.25">
      <c r="A99" s="57" t="s">
        <v>83</v>
      </c>
      <c r="B99" s="58">
        <v>14</v>
      </c>
      <c r="C99" s="58">
        <v>15</v>
      </c>
      <c r="D99" s="59"/>
      <c r="E99" s="59"/>
      <c r="F99" s="58">
        <v>29</v>
      </c>
      <c r="G99" s="60">
        <v>48.28</v>
      </c>
      <c r="H99" s="60">
        <v>48.28</v>
      </c>
    </row>
    <row r="100" spans="1:8" ht="67.5" x14ac:dyDescent="0.25">
      <c r="A100" s="57" t="s">
        <v>84</v>
      </c>
      <c r="B100" s="58">
        <v>2</v>
      </c>
      <c r="C100" s="58">
        <v>3</v>
      </c>
      <c r="D100" s="59"/>
      <c r="E100" s="58">
        <v>2</v>
      </c>
      <c r="F100" s="58">
        <v>7</v>
      </c>
      <c r="G100" s="60">
        <v>40</v>
      </c>
      <c r="H100" s="60">
        <v>28.57</v>
      </c>
    </row>
    <row r="101" spans="1:8" ht="67.5" x14ac:dyDescent="0.25">
      <c r="A101" s="57" t="s">
        <v>85</v>
      </c>
      <c r="B101" s="58">
        <v>0</v>
      </c>
      <c r="C101" s="58">
        <v>1</v>
      </c>
      <c r="D101" s="59"/>
      <c r="E101" s="59"/>
      <c r="F101" s="58">
        <v>1</v>
      </c>
      <c r="G101" s="59"/>
      <c r="H101" s="60">
        <v>0</v>
      </c>
    </row>
    <row r="102" spans="1:8" ht="67.5" x14ac:dyDescent="0.25">
      <c r="A102" s="57" t="s">
        <v>86</v>
      </c>
      <c r="B102" s="58">
        <v>48</v>
      </c>
      <c r="C102" s="58">
        <v>24</v>
      </c>
      <c r="D102" s="59"/>
      <c r="E102" s="59"/>
      <c r="F102" s="58">
        <v>72</v>
      </c>
      <c r="G102" s="60">
        <v>66.67</v>
      </c>
      <c r="H102" s="60">
        <v>66.67</v>
      </c>
    </row>
    <row r="103" spans="1:8" ht="67.5" x14ac:dyDescent="0.25">
      <c r="A103" s="57" t="s">
        <v>87</v>
      </c>
      <c r="B103" s="58">
        <v>9</v>
      </c>
      <c r="C103" s="58">
        <v>4</v>
      </c>
      <c r="D103" s="59"/>
      <c r="E103" s="59"/>
      <c r="F103" s="58">
        <v>13</v>
      </c>
      <c r="G103" s="60">
        <v>69.23</v>
      </c>
      <c r="H103" s="60">
        <v>69.23</v>
      </c>
    </row>
    <row r="104" spans="1:8" ht="67.5" x14ac:dyDescent="0.25">
      <c r="A104" s="57" t="s">
        <v>88</v>
      </c>
      <c r="B104" s="58">
        <v>2</v>
      </c>
      <c r="C104" s="58">
        <v>2</v>
      </c>
      <c r="D104" s="59"/>
      <c r="E104" s="59"/>
      <c r="F104" s="58">
        <v>4</v>
      </c>
      <c r="G104" s="60">
        <v>50</v>
      </c>
      <c r="H104" s="60">
        <v>50</v>
      </c>
    </row>
    <row r="105" spans="1:8" ht="67.5" x14ac:dyDescent="0.25">
      <c r="A105" s="57" t="s">
        <v>89</v>
      </c>
      <c r="B105" s="58">
        <v>21</v>
      </c>
      <c r="C105" s="58">
        <v>15</v>
      </c>
      <c r="D105" s="59"/>
      <c r="E105" s="59"/>
      <c r="F105" s="58">
        <v>36</v>
      </c>
      <c r="G105" s="60">
        <v>58.33</v>
      </c>
      <c r="H105" s="60">
        <v>58.33</v>
      </c>
    </row>
    <row r="106" spans="1:8" ht="67.5" x14ac:dyDescent="0.25">
      <c r="A106" s="57" t="s">
        <v>90</v>
      </c>
      <c r="B106" s="58">
        <v>41</v>
      </c>
      <c r="C106" s="58">
        <v>35</v>
      </c>
      <c r="D106" s="59"/>
      <c r="E106" s="58">
        <v>2</v>
      </c>
      <c r="F106" s="58">
        <v>78</v>
      </c>
      <c r="G106" s="60">
        <v>53.95</v>
      </c>
      <c r="H106" s="60">
        <v>52.56</v>
      </c>
    </row>
    <row r="107" spans="1:8" ht="67.5" x14ac:dyDescent="0.25">
      <c r="A107" s="57" t="s">
        <v>91</v>
      </c>
      <c r="B107" s="58">
        <v>8</v>
      </c>
      <c r="C107" s="58">
        <v>4</v>
      </c>
      <c r="D107" s="59"/>
      <c r="E107" s="58">
        <v>1</v>
      </c>
      <c r="F107" s="58">
        <v>13</v>
      </c>
      <c r="G107" s="60">
        <v>66.67</v>
      </c>
      <c r="H107" s="60">
        <v>61.54</v>
      </c>
    </row>
    <row r="108" spans="1:8" ht="67.5" x14ac:dyDescent="0.25">
      <c r="A108" s="57" t="s">
        <v>92</v>
      </c>
      <c r="B108" s="58">
        <v>4</v>
      </c>
      <c r="C108" s="58">
        <v>1</v>
      </c>
      <c r="D108" s="59"/>
      <c r="E108" s="59"/>
      <c r="F108" s="58">
        <v>5</v>
      </c>
      <c r="G108" s="60">
        <v>80</v>
      </c>
      <c r="H108" s="60">
        <v>80</v>
      </c>
    </row>
    <row r="109" spans="1:8" ht="67.5" x14ac:dyDescent="0.25">
      <c r="A109" s="57" t="s">
        <v>93</v>
      </c>
      <c r="B109" s="58">
        <v>39</v>
      </c>
      <c r="C109" s="58">
        <v>23</v>
      </c>
      <c r="D109" s="59"/>
      <c r="E109" s="59"/>
      <c r="F109" s="58">
        <v>62</v>
      </c>
      <c r="G109" s="60">
        <v>62.9</v>
      </c>
      <c r="H109" s="60">
        <v>62.9</v>
      </c>
    </row>
    <row r="110" spans="1:8" ht="67.5" x14ac:dyDescent="0.25">
      <c r="A110" s="57" t="s">
        <v>94</v>
      </c>
      <c r="B110" s="58">
        <v>5</v>
      </c>
      <c r="C110" s="59"/>
      <c r="D110" s="59"/>
      <c r="E110" s="58">
        <v>1</v>
      </c>
      <c r="F110" s="58">
        <v>6</v>
      </c>
      <c r="G110" s="60">
        <v>100</v>
      </c>
      <c r="H110" s="60">
        <v>83.33</v>
      </c>
    </row>
    <row r="111" spans="1:8" ht="67.5" x14ac:dyDescent="0.25">
      <c r="A111" s="57" t="s">
        <v>95</v>
      </c>
      <c r="B111" s="58">
        <v>4</v>
      </c>
      <c r="C111" s="58">
        <v>3</v>
      </c>
      <c r="D111" s="59"/>
      <c r="E111" s="58">
        <v>1</v>
      </c>
      <c r="F111" s="58">
        <v>8</v>
      </c>
      <c r="G111" s="60">
        <v>57.14</v>
      </c>
      <c r="H111" s="60">
        <v>50</v>
      </c>
    </row>
    <row r="112" spans="1:8" ht="67.5" x14ac:dyDescent="0.25">
      <c r="A112" s="57" t="s">
        <v>96</v>
      </c>
      <c r="B112" s="58">
        <v>0</v>
      </c>
      <c r="C112" s="58">
        <v>4</v>
      </c>
      <c r="D112" s="59"/>
      <c r="E112" s="59"/>
      <c r="F112" s="58">
        <v>4</v>
      </c>
      <c r="G112" s="59"/>
      <c r="H112" s="60">
        <v>0</v>
      </c>
    </row>
    <row r="113" spans="1:8" ht="78.75" x14ac:dyDescent="0.25">
      <c r="A113" s="57" t="s">
        <v>97</v>
      </c>
      <c r="B113" s="58">
        <v>1</v>
      </c>
      <c r="C113" s="58">
        <v>1</v>
      </c>
      <c r="D113" s="59"/>
      <c r="E113" s="59"/>
      <c r="F113" s="58">
        <v>2</v>
      </c>
      <c r="G113" s="60">
        <v>50</v>
      </c>
      <c r="H113" s="60">
        <v>50</v>
      </c>
    </row>
    <row r="114" spans="1:8" ht="78.75" x14ac:dyDescent="0.25">
      <c r="A114" s="57" t="s">
        <v>98</v>
      </c>
      <c r="B114" s="58">
        <v>6</v>
      </c>
      <c r="C114" s="58">
        <v>14</v>
      </c>
      <c r="D114" s="59"/>
      <c r="E114" s="59"/>
      <c r="F114" s="58">
        <v>20</v>
      </c>
      <c r="G114" s="60">
        <v>30</v>
      </c>
      <c r="H114" s="60">
        <v>30</v>
      </c>
    </row>
    <row r="115" spans="1:8" ht="78.75" x14ac:dyDescent="0.25">
      <c r="A115" s="57" t="s">
        <v>99</v>
      </c>
      <c r="B115" s="58">
        <v>10</v>
      </c>
      <c r="C115" s="58">
        <v>6</v>
      </c>
      <c r="D115" s="59"/>
      <c r="E115" s="59"/>
      <c r="F115" s="58">
        <v>16</v>
      </c>
      <c r="G115" s="60">
        <v>62.5</v>
      </c>
      <c r="H115" s="60">
        <v>62.5</v>
      </c>
    </row>
    <row r="116" spans="1:8" ht="78.75" x14ac:dyDescent="0.25">
      <c r="A116" s="57" t="s">
        <v>100</v>
      </c>
      <c r="B116" s="58">
        <v>11</v>
      </c>
      <c r="C116" s="58">
        <v>5</v>
      </c>
      <c r="D116" s="59"/>
      <c r="E116" s="59"/>
      <c r="F116" s="58">
        <v>16</v>
      </c>
      <c r="G116" s="60">
        <v>68.75</v>
      </c>
      <c r="H116" s="60">
        <v>68.75</v>
      </c>
    </row>
    <row r="117" spans="1:8" ht="78.75" x14ac:dyDescent="0.25">
      <c r="A117" s="57" t="s">
        <v>101</v>
      </c>
      <c r="B117" s="58">
        <v>8</v>
      </c>
      <c r="C117" s="58">
        <v>15</v>
      </c>
      <c r="D117" s="59"/>
      <c r="E117" s="59"/>
      <c r="F117" s="58">
        <v>23</v>
      </c>
      <c r="G117" s="60">
        <v>34.78</v>
      </c>
      <c r="H117" s="60">
        <v>34.78</v>
      </c>
    </row>
    <row r="118" spans="1:8" ht="78.75" x14ac:dyDescent="0.25">
      <c r="A118" s="57" t="s">
        <v>102</v>
      </c>
      <c r="B118" s="58">
        <v>20</v>
      </c>
      <c r="C118" s="58">
        <v>7</v>
      </c>
      <c r="D118" s="59"/>
      <c r="E118" s="59"/>
      <c r="F118" s="58">
        <v>27</v>
      </c>
      <c r="G118" s="60">
        <v>74.069999999999993</v>
      </c>
      <c r="H118" s="60">
        <v>74.069999999999993</v>
      </c>
    </row>
    <row r="119" spans="1:8" ht="78.75" x14ac:dyDescent="0.25">
      <c r="A119" s="57" t="s">
        <v>103</v>
      </c>
      <c r="B119" s="58">
        <v>15</v>
      </c>
      <c r="C119" s="58">
        <v>15</v>
      </c>
      <c r="D119" s="59"/>
      <c r="E119" s="59"/>
      <c r="F119" s="58">
        <v>30</v>
      </c>
      <c r="G119" s="60">
        <v>50</v>
      </c>
      <c r="H119" s="60">
        <v>50</v>
      </c>
    </row>
    <row r="120" spans="1:8" ht="78.75" x14ac:dyDescent="0.25">
      <c r="A120" s="57" t="s">
        <v>104</v>
      </c>
      <c r="B120" s="58">
        <v>36</v>
      </c>
      <c r="C120" s="58">
        <v>34</v>
      </c>
      <c r="D120" s="59"/>
      <c r="E120" s="58">
        <v>1</v>
      </c>
      <c r="F120" s="58">
        <v>71</v>
      </c>
      <c r="G120" s="60">
        <v>51.43</v>
      </c>
      <c r="H120" s="60">
        <v>50.7</v>
      </c>
    </row>
    <row r="121" spans="1:8" ht="101.25" x14ac:dyDescent="0.25">
      <c r="A121" s="57" t="s">
        <v>105</v>
      </c>
      <c r="B121" s="58">
        <v>4</v>
      </c>
      <c r="C121" s="58">
        <v>1</v>
      </c>
      <c r="D121" s="59"/>
      <c r="E121" s="59"/>
      <c r="F121" s="58">
        <v>5</v>
      </c>
      <c r="G121" s="60">
        <v>80</v>
      </c>
      <c r="H121" s="60">
        <v>80</v>
      </c>
    </row>
    <row r="122" spans="1:8" ht="78.75" x14ac:dyDescent="0.25">
      <c r="A122" s="57" t="s">
        <v>106</v>
      </c>
      <c r="B122" s="58">
        <v>59</v>
      </c>
      <c r="C122" s="58">
        <v>10</v>
      </c>
      <c r="D122" s="59"/>
      <c r="E122" s="58">
        <v>1</v>
      </c>
      <c r="F122" s="58">
        <v>70</v>
      </c>
      <c r="G122" s="60">
        <v>85.51</v>
      </c>
      <c r="H122" s="60">
        <v>84.29</v>
      </c>
    </row>
    <row r="123" spans="1:8" ht="67.5" x14ac:dyDescent="0.25">
      <c r="A123" s="57" t="s">
        <v>114</v>
      </c>
      <c r="B123" s="58">
        <v>12</v>
      </c>
      <c r="C123" s="58">
        <v>4</v>
      </c>
      <c r="D123" s="59"/>
      <c r="E123" s="58">
        <v>1</v>
      </c>
      <c r="F123" s="58">
        <v>17</v>
      </c>
      <c r="G123" s="60">
        <v>75</v>
      </c>
      <c r="H123" s="60">
        <v>70.59</v>
      </c>
    </row>
    <row r="124" spans="1:8" ht="56.25" x14ac:dyDescent="0.25">
      <c r="A124" s="57" t="s">
        <v>208</v>
      </c>
      <c r="B124" s="58">
        <v>0</v>
      </c>
      <c r="C124" s="58">
        <v>2</v>
      </c>
      <c r="D124" s="59"/>
      <c r="E124" s="59"/>
      <c r="F124" s="58">
        <v>2</v>
      </c>
      <c r="G124" s="59"/>
      <c r="H124" s="60">
        <v>0</v>
      </c>
    </row>
    <row r="125" spans="1:8" ht="56.25" x14ac:dyDescent="0.25">
      <c r="A125" s="57" t="s">
        <v>209</v>
      </c>
      <c r="B125" s="58">
        <v>13</v>
      </c>
      <c r="C125" s="58">
        <v>4</v>
      </c>
      <c r="D125" s="59"/>
      <c r="E125" s="58">
        <v>2</v>
      </c>
      <c r="F125" s="58">
        <v>19</v>
      </c>
      <c r="G125" s="60">
        <v>76.47</v>
      </c>
      <c r="H125" s="60">
        <v>68.42</v>
      </c>
    </row>
    <row r="126" spans="1:8" ht="67.5" x14ac:dyDescent="0.25">
      <c r="A126" s="57" t="s">
        <v>211</v>
      </c>
      <c r="B126" s="58">
        <v>1</v>
      </c>
      <c r="C126" s="59"/>
      <c r="D126" s="59"/>
      <c r="E126" s="59"/>
      <c r="F126" s="58">
        <v>1</v>
      </c>
      <c r="G126" s="60">
        <v>100</v>
      </c>
      <c r="H126" s="60">
        <v>100</v>
      </c>
    </row>
    <row r="127" spans="1:8" ht="67.5" x14ac:dyDescent="0.25">
      <c r="A127" s="57" t="s">
        <v>210</v>
      </c>
      <c r="B127" s="58">
        <v>1</v>
      </c>
      <c r="C127" s="59"/>
      <c r="D127" s="59"/>
      <c r="E127" s="59"/>
      <c r="F127" s="58">
        <v>1</v>
      </c>
      <c r="G127" s="60">
        <v>100</v>
      </c>
      <c r="H127" s="60">
        <v>100</v>
      </c>
    </row>
    <row r="128" spans="1:8" x14ac:dyDescent="0.25">
      <c r="A128" s="61" t="s">
        <v>1</v>
      </c>
      <c r="B128" s="62">
        <v>1959</v>
      </c>
      <c r="C128" s="63">
        <v>991</v>
      </c>
      <c r="D128" s="64"/>
      <c r="E128" s="63">
        <v>52</v>
      </c>
      <c r="F128" s="62">
        <v>3002</v>
      </c>
      <c r="G128" s="65">
        <v>66.41</v>
      </c>
      <c r="H128" s="65">
        <v>65.260000000000005</v>
      </c>
    </row>
    <row r="129" spans="1:8" x14ac:dyDescent="0.25">
      <c r="A129" s="66"/>
      <c r="B129" s="66"/>
      <c r="C129" s="66"/>
      <c r="D129" s="66"/>
      <c r="E129" s="66"/>
      <c r="F129" s="66"/>
      <c r="G129" s="66"/>
      <c r="H129" s="66"/>
    </row>
    <row r="130" spans="1:8" x14ac:dyDescent="0.25">
      <c r="A130" s="66"/>
      <c r="B130" s="66"/>
      <c r="C130" s="66"/>
      <c r="D130" s="66"/>
      <c r="E130" s="66"/>
      <c r="F130" s="66"/>
      <c r="G130" s="66"/>
      <c r="H130" s="66"/>
    </row>
    <row r="131" spans="1:8" x14ac:dyDescent="0.25">
      <c r="A131" s="66"/>
      <c r="B131" s="66"/>
      <c r="C131" s="66"/>
      <c r="D131" s="66"/>
      <c r="E131" s="66"/>
      <c r="F131" s="66"/>
      <c r="G131" s="66"/>
      <c r="H131" s="66"/>
    </row>
    <row r="132" spans="1:8" x14ac:dyDescent="0.25">
      <c r="A132" s="66"/>
      <c r="B132" s="66"/>
      <c r="C132" s="66"/>
      <c r="D132" s="66"/>
      <c r="E132" s="66"/>
      <c r="F132" s="66"/>
      <c r="G132" s="66"/>
      <c r="H132" s="66"/>
    </row>
    <row r="133" spans="1:8" x14ac:dyDescent="0.25">
      <c r="A133" s="66"/>
      <c r="B133" s="66"/>
      <c r="C133" s="66"/>
      <c r="D133" s="66"/>
      <c r="E133" s="66"/>
      <c r="F133" s="66"/>
      <c r="G133" s="66"/>
      <c r="H133" s="66"/>
    </row>
    <row r="134" spans="1:8" x14ac:dyDescent="0.25">
      <c r="A134" s="66"/>
      <c r="B134" s="66"/>
      <c r="C134" s="66"/>
      <c r="D134" s="66"/>
      <c r="E134" s="66"/>
      <c r="F134" s="66"/>
      <c r="G134" s="66"/>
      <c r="H134" s="66"/>
    </row>
    <row r="135" spans="1:8" x14ac:dyDescent="0.25">
      <c r="A135" s="66"/>
      <c r="B135" s="66"/>
      <c r="C135" s="66"/>
      <c r="D135" s="66"/>
      <c r="E135" s="66"/>
      <c r="F135" s="66"/>
      <c r="G135" s="66"/>
      <c r="H135" s="66"/>
    </row>
    <row r="136" spans="1:8" x14ac:dyDescent="0.25">
      <c r="A136" s="66"/>
      <c r="B136" s="66"/>
      <c r="C136" s="66"/>
      <c r="D136" s="66"/>
      <c r="E136" s="66"/>
      <c r="F136" s="66"/>
      <c r="G136" s="66"/>
      <c r="H136" s="66"/>
    </row>
    <row r="137" spans="1:8" x14ac:dyDescent="0.25">
      <c r="A137" s="66"/>
      <c r="B137" s="66"/>
      <c r="C137" s="66"/>
      <c r="D137" s="66"/>
      <c r="E137" s="66"/>
      <c r="F137" s="66"/>
      <c r="G137" s="66"/>
      <c r="H137" s="66"/>
    </row>
    <row r="138" spans="1:8" x14ac:dyDescent="0.25">
      <c r="A138" s="66"/>
      <c r="B138" s="66"/>
      <c r="C138" s="66"/>
      <c r="D138" s="66"/>
      <c r="E138" s="66"/>
      <c r="F138" s="66"/>
      <c r="G138" s="66"/>
      <c r="H138" s="66"/>
    </row>
    <row r="139" spans="1:8" x14ac:dyDescent="0.25">
      <c r="A139" s="66"/>
      <c r="B139" s="66"/>
      <c r="C139" s="66"/>
      <c r="D139" s="66"/>
      <c r="E139" s="66"/>
      <c r="F139" s="66"/>
      <c r="G139" s="66"/>
      <c r="H139" s="66"/>
    </row>
    <row r="140" spans="1:8" x14ac:dyDescent="0.25">
      <c r="A140" s="66"/>
      <c r="B140" s="66"/>
      <c r="C140" s="66"/>
      <c r="D140" s="66"/>
      <c r="E140" s="66"/>
      <c r="F140" s="66"/>
      <c r="G140" s="66"/>
      <c r="H140" s="66"/>
    </row>
    <row r="141" spans="1:8" x14ac:dyDescent="0.25">
      <c r="A141" s="66"/>
      <c r="B141" s="66"/>
      <c r="C141" s="66"/>
      <c r="D141" s="66"/>
      <c r="E141" s="66"/>
      <c r="F141" s="66"/>
      <c r="G141" s="66"/>
      <c r="H141" s="66"/>
    </row>
    <row r="142" spans="1:8" x14ac:dyDescent="0.25">
      <c r="A142" s="66"/>
      <c r="B142" s="66"/>
      <c r="C142" s="66"/>
      <c r="D142" s="66"/>
      <c r="E142" s="66"/>
      <c r="F142" s="66"/>
      <c r="G142" s="66"/>
      <c r="H142" s="66"/>
    </row>
    <row r="143" spans="1:8" x14ac:dyDescent="0.25">
      <c r="A143" s="66"/>
      <c r="B143" s="66"/>
      <c r="C143" s="66"/>
      <c r="D143" s="66"/>
      <c r="E143" s="66"/>
      <c r="F143" s="66"/>
      <c r="G143" s="66"/>
      <c r="H143" s="66"/>
    </row>
    <row r="144" spans="1:8" x14ac:dyDescent="0.25">
      <c r="A144" s="66"/>
      <c r="B144" s="66"/>
      <c r="C144" s="66"/>
      <c r="D144" s="66"/>
      <c r="E144" s="66"/>
      <c r="F144" s="66"/>
      <c r="G144" s="66"/>
      <c r="H144" s="66"/>
    </row>
    <row r="145" spans="1:8" x14ac:dyDescent="0.25">
      <c r="A145" s="66"/>
      <c r="B145" s="66"/>
      <c r="C145" s="66"/>
      <c r="D145" s="66"/>
      <c r="E145" s="66"/>
      <c r="F145" s="66"/>
      <c r="G145" s="66"/>
      <c r="H145" s="66"/>
    </row>
    <row r="146" spans="1:8" x14ac:dyDescent="0.25">
      <c r="A146" s="66"/>
      <c r="B146" s="66"/>
      <c r="C146" s="66"/>
      <c r="D146" s="66"/>
      <c r="E146" s="66"/>
      <c r="F146" s="66"/>
      <c r="G146" s="66"/>
      <c r="H146" s="66"/>
    </row>
    <row r="147" spans="1:8" x14ac:dyDescent="0.25">
      <c r="A147" s="66"/>
      <c r="B147" s="66"/>
      <c r="C147" s="66"/>
      <c r="D147" s="66"/>
      <c r="E147" s="66"/>
      <c r="F147" s="66"/>
      <c r="G147" s="66"/>
      <c r="H147" s="66"/>
    </row>
    <row r="148" spans="1:8" x14ac:dyDescent="0.25">
      <c r="A148" s="66"/>
      <c r="B148" s="66"/>
      <c r="C148" s="66"/>
      <c r="D148" s="66"/>
      <c r="E148" s="66"/>
      <c r="F148" s="66"/>
      <c r="G148" s="66"/>
      <c r="H148" s="66"/>
    </row>
    <row r="149" spans="1:8" x14ac:dyDescent="0.25">
      <c r="A149" s="66"/>
      <c r="B149" s="66"/>
      <c r="C149" s="66"/>
      <c r="D149" s="66"/>
      <c r="E149" s="66"/>
      <c r="F149" s="66"/>
      <c r="G149" s="66"/>
      <c r="H149" s="66"/>
    </row>
    <row r="150" spans="1:8" x14ac:dyDescent="0.25">
      <c r="A150" s="66"/>
      <c r="B150" s="66"/>
      <c r="C150" s="66"/>
      <c r="D150" s="66"/>
      <c r="E150" s="66"/>
      <c r="F150" s="66"/>
      <c r="G150" s="66"/>
      <c r="H150" s="66"/>
    </row>
    <row r="151" spans="1:8" x14ac:dyDescent="0.25">
      <c r="A151" s="66"/>
      <c r="B151" s="66"/>
      <c r="C151" s="66"/>
      <c r="D151" s="66"/>
      <c r="E151" s="66"/>
      <c r="F151" s="66"/>
      <c r="G151" s="66"/>
      <c r="H151" s="66"/>
    </row>
    <row r="152" spans="1:8" x14ac:dyDescent="0.25">
      <c r="A152" s="66"/>
      <c r="B152" s="66"/>
      <c r="C152" s="66"/>
      <c r="D152" s="66"/>
      <c r="E152" s="66"/>
      <c r="F152" s="66"/>
      <c r="G152" s="66"/>
      <c r="H152" s="66"/>
    </row>
    <row r="153" spans="1:8" x14ac:dyDescent="0.25">
      <c r="A153" s="66"/>
      <c r="B153" s="66"/>
      <c r="C153" s="66"/>
      <c r="D153" s="66"/>
      <c r="E153" s="66"/>
      <c r="F153" s="66"/>
      <c r="G153" s="66"/>
      <c r="H153" s="66"/>
    </row>
    <row r="154" spans="1:8" x14ac:dyDescent="0.25">
      <c r="A154" s="66"/>
      <c r="B154" s="66"/>
      <c r="C154" s="66"/>
      <c r="D154" s="66"/>
      <c r="E154" s="66"/>
      <c r="F154" s="66"/>
      <c r="G154" s="66"/>
      <c r="H154" s="66"/>
    </row>
    <row r="155" spans="1:8" x14ac:dyDescent="0.25">
      <c r="A155" s="66"/>
      <c r="B155" s="66"/>
      <c r="C155" s="66"/>
      <c r="D155" s="66"/>
      <c r="E155" s="66"/>
      <c r="F155" s="66"/>
      <c r="G155" s="66"/>
      <c r="H155" s="66"/>
    </row>
    <row r="156" spans="1:8" x14ac:dyDescent="0.25">
      <c r="A156" s="66"/>
      <c r="B156" s="66"/>
      <c r="C156" s="66"/>
      <c r="D156" s="66"/>
      <c r="E156" s="66"/>
      <c r="F156" s="66"/>
      <c r="G156" s="66"/>
      <c r="H156" s="66"/>
    </row>
    <row r="157" spans="1:8" x14ac:dyDescent="0.25">
      <c r="A157" s="66"/>
      <c r="B157" s="66"/>
      <c r="C157" s="66"/>
      <c r="D157" s="66"/>
      <c r="E157" s="66"/>
      <c r="F157" s="66"/>
      <c r="G157" s="66"/>
      <c r="H157" s="66"/>
    </row>
    <row r="158" spans="1:8" x14ac:dyDescent="0.25">
      <c r="A158" s="66"/>
      <c r="B158" s="66"/>
      <c r="C158" s="66"/>
      <c r="D158" s="66"/>
      <c r="E158" s="66"/>
      <c r="F158" s="66"/>
      <c r="G158" s="66"/>
      <c r="H158" s="66"/>
    </row>
    <row r="159" spans="1:8" x14ac:dyDescent="0.25">
      <c r="A159" s="66"/>
      <c r="B159" s="66"/>
      <c r="C159" s="66"/>
      <c r="D159" s="66"/>
      <c r="E159" s="66"/>
      <c r="F159" s="66"/>
      <c r="G159" s="66"/>
      <c r="H159" s="66"/>
    </row>
    <row r="160" spans="1:8" x14ac:dyDescent="0.25">
      <c r="A160" s="66"/>
      <c r="B160" s="66"/>
      <c r="C160" s="66"/>
      <c r="D160" s="66"/>
      <c r="E160" s="66"/>
      <c r="F160" s="66"/>
      <c r="G160" s="66"/>
      <c r="H160" s="66"/>
    </row>
    <row r="161" spans="1:8" x14ac:dyDescent="0.25">
      <c r="A161" s="66"/>
      <c r="B161" s="66"/>
      <c r="C161" s="66"/>
      <c r="D161" s="66"/>
      <c r="E161" s="66"/>
      <c r="F161" s="66"/>
      <c r="G161" s="66"/>
      <c r="H161" s="66"/>
    </row>
    <row r="162" spans="1:8" x14ac:dyDescent="0.25">
      <c r="A162" s="66"/>
      <c r="B162" s="66"/>
      <c r="C162" s="66"/>
      <c r="D162" s="66"/>
      <c r="E162" s="66"/>
      <c r="F162" s="66"/>
      <c r="G162" s="66"/>
      <c r="H162" s="66"/>
    </row>
    <row r="163" spans="1:8" x14ac:dyDescent="0.25">
      <c r="A163" s="66"/>
      <c r="B163" s="66"/>
      <c r="C163" s="66"/>
      <c r="D163" s="66"/>
      <c r="E163" s="66"/>
      <c r="F163" s="66"/>
      <c r="G163" s="66"/>
      <c r="H163" s="66"/>
    </row>
    <row r="164" spans="1:8" x14ac:dyDescent="0.25">
      <c r="A164" s="66"/>
      <c r="B164" s="66"/>
      <c r="C164" s="66"/>
      <c r="D164" s="66"/>
      <c r="E164" s="66"/>
      <c r="F164" s="66"/>
      <c r="G164" s="66"/>
      <c r="H164" s="66"/>
    </row>
    <row r="165" spans="1:8" x14ac:dyDescent="0.25">
      <c r="A165" s="66"/>
      <c r="B165" s="66"/>
      <c r="C165" s="66"/>
      <c r="D165" s="66"/>
      <c r="E165" s="66"/>
      <c r="F165" s="66"/>
      <c r="G165" s="66"/>
      <c r="H165" s="66"/>
    </row>
    <row r="166" spans="1:8" x14ac:dyDescent="0.25">
      <c r="A166" s="66"/>
      <c r="B166" s="66"/>
      <c r="C166" s="66"/>
      <c r="D166" s="66"/>
      <c r="E166" s="66"/>
      <c r="F166" s="66"/>
      <c r="G166" s="66"/>
      <c r="H166" s="66"/>
    </row>
    <row r="167" spans="1:8" x14ac:dyDescent="0.25">
      <c r="A167" s="66"/>
      <c r="B167" s="66"/>
      <c r="C167" s="66"/>
      <c r="D167" s="66"/>
      <c r="E167" s="66"/>
      <c r="F167" s="66"/>
      <c r="G167" s="66"/>
      <c r="H167" s="66"/>
    </row>
    <row r="168" spans="1:8" x14ac:dyDescent="0.25">
      <c r="A168" s="66"/>
      <c r="B168" s="66"/>
      <c r="C168" s="66"/>
      <c r="D168" s="66"/>
      <c r="E168" s="66"/>
      <c r="F168" s="66"/>
      <c r="G168" s="66"/>
      <c r="H168" s="66"/>
    </row>
    <row r="169" spans="1:8" x14ac:dyDescent="0.25">
      <c r="A169" s="66"/>
      <c r="B169" s="66"/>
      <c r="C169" s="66"/>
      <c r="D169" s="66"/>
      <c r="E169" s="66"/>
      <c r="F169" s="66"/>
      <c r="G169" s="66"/>
      <c r="H169" s="66"/>
    </row>
    <row r="170" spans="1:8" x14ac:dyDescent="0.25">
      <c r="A170" s="66"/>
      <c r="B170" s="66"/>
      <c r="C170" s="66"/>
      <c r="D170" s="66"/>
      <c r="E170" s="66"/>
      <c r="F170" s="66"/>
      <c r="G170" s="66"/>
      <c r="H170" s="66"/>
    </row>
    <row r="171" spans="1:8" x14ac:dyDescent="0.25">
      <c r="A171" s="66"/>
      <c r="B171" s="66"/>
      <c r="C171" s="66"/>
      <c r="D171" s="66"/>
      <c r="E171" s="66"/>
      <c r="F171" s="66"/>
      <c r="G171" s="66"/>
      <c r="H171" s="66"/>
    </row>
    <row r="172" spans="1:8" x14ac:dyDescent="0.25">
      <c r="A172" s="66"/>
      <c r="B172" s="66"/>
      <c r="C172" s="66"/>
      <c r="D172" s="66"/>
      <c r="E172" s="66"/>
      <c r="F172" s="66"/>
      <c r="G172" s="66"/>
      <c r="H172" s="66"/>
    </row>
    <row r="173" spans="1:8" x14ac:dyDescent="0.25">
      <c r="A173" s="66"/>
      <c r="B173" s="66"/>
      <c r="C173" s="66"/>
      <c r="D173" s="66"/>
      <c r="E173" s="66"/>
      <c r="F173" s="66"/>
      <c r="G173" s="66"/>
      <c r="H173" s="66"/>
    </row>
    <row r="174" spans="1:8" x14ac:dyDescent="0.25">
      <c r="A174" s="66"/>
      <c r="B174" s="66"/>
      <c r="C174" s="66"/>
      <c r="D174" s="66"/>
      <c r="E174" s="66"/>
      <c r="F174" s="66"/>
      <c r="G174" s="66"/>
      <c r="H174" s="66"/>
    </row>
    <row r="175" spans="1:8" x14ac:dyDescent="0.25">
      <c r="A175" s="66"/>
      <c r="B175" s="66"/>
      <c r="C175" s="66"/>
      <c r="D175" s="66"/>
      <c r="E175" s="66"/>
      <c r="F175" s="66"/>
      <c r="G175" s="66"/>
      <c r="H175" s="66"/>
    </row>
    <row r="176" spans="1:8" x14ac:dyDescent="0.25">
      <c r="A176" s="66"/>
      <c r="B176" s="66"/>
      <c r="C176" s="66"/>
      <c r="D176" s="66"/>
      <c r="E176" s="66"/>
      <c r="F176" s="66"/>
      <c r="G176" s="66"/>
      <c r="H176" s="66"/>
    </row>
    <row r="177" spans="1:8" x14ac:dyDescent="0.25">
      <c r="A177" s="66"/>
      <c r="B177" s="66"/>
      <c r="C177" s="66"/>
      <c r="D177" s="66"/>
      <c r="E177" s="66"/>
      <c r="F177" s="66"/>
      <c r="G177" s="66"/>
      <c r="H177" s="66"/>
    </row>
    <row r="178" spans="1:8" x14ac:dyDescent="0.25">
      <c r="A178" s="66"/>
      <c r="B178" s="66"/>
      <c r="C178" s="66"/>
      <c r="D178" s="66"/>
      <c r="E178" s="66"/>
      <c r="F178" s="66"/>
      <c r="G178" s="66"/>
      <c r="H178" s="66"/>
    </row>
    <row r="179" spans="1:8" x14ac:dyDescent="0.25">
      <c r="A179" s="66"/>
      <c r="B179" s="66"/>
      <c r="C179" s="66"/>
      <c r="D179" s="66"/>
      <c r="E179" s="66"/>
      <c r="F179" s="66"/>
      <c r="G179" s="66"/>
      <c r="H179" s="66"/>
    </row>
    <row r="180" spans="1:8" x14ac:dyDescent="0.25">
      <c r="A180" s="66"/>
      <c r="B180" s="66"/>
      <c r="C180" s="66"/>
      <c r="D180" s="66"/>
      <c r="E180" s="66"/>
      <c r="F180" s="66"/>
      <c r="G180" s="66"/>
      <c r="H180" s="66"/>
    </row>
    <row r="181" spans="1:8" x14ac:dyDescent="0.25">
      <c r="A181" s="66"/>
      <c r="B181" s="66"/>
      <c r="C181" s="66"/>
      <c r="D181" s="66"/>
      <c r="E181" s="66"/>
      <c r="F181" s="66"/>
      <c r="G181" s="66"/>
      <c r="H181" s="66"/>
    </row>
    <row r="182" spans="1:8" x14ac:dyDescent="0.25">
      <c r="A182" s="66"/>
      <c r="B182" s="66"/>
      <c r="C182" s="66"/>
      <c r="D182" s="66"/>
      <c r="E182" s="66"/>
      <c r="F182" s="66"/>
      <c r="G182" s="66"/>
      <c r="H182" s="66"/>
    </row>
    <row r="183" spans="1:8" x14ac:dyDescent="0.25">
      <c r="A183" s="66"/>
      <c r="B183" s="66"/>
      <c r="C183" s="66"/>
      <c r="D183" s="66"/>
      <c r="E183" s="66"/>
      <c r="F183" s="66"/>
      <c r="G183" s="66"/>
      <c r="H183" s="66"/>
    </row>
    <row r="184" spans="1:8" x14ac:dyDescent="0.25">
      <c r="A184" s="66"/>
      <c r="B184" s="66"/>
      <c r="C184" s="66"/>
      <c r="D184" s="66"/>
      <c r="E184" s="66"/>
      <c r="F184" s="66"/>
      <c r="G184" s="66"/>
      <c r="H184" s="66"/>
    </row>
    <row r="185" spans="1:8" x14ac:dyDescent="0.25">
      <c r="A185" s="66"/>
      <c r="B185" s="66"/>
      <c r="C185" s="66"/>
      <c r="D185" s="66"/>
      <c r="E185" s="66"/>
      <c r="F185" s="66"/>
      <c r="G185" s="66"/>
      <c r="H185" s="66"/>
    </row>
    <row r="186" spans="1:8" x14ac:dyDescent="0.25">
      <c r="A186" s="66"/>
      <c r="B186" s="66"/>
      <c r="C186" s="66"/>
      <c r="D186" s="66"/>
      <c r="E186" s="66"/>
      <c r="F186" s="66"/>
      <c r="G186" s="66"/>
      <c r="H186" s="66"/>
    </row>
    <row r="187" spans="1:8" x14ac:dyDescent="0.25">
      <c r="A187" s="66"/>
      <c r="B187" s="66"/>
      <c r="C187" s="66"/>
      <c r="D187" s="66"/>
      <c r="E187" s="66"/>
      <c r="F187" s="66"/>
      <c r="G187" s="66"/>
      <c r="H187" s="66"/>
    </row>
    <row r="188" spans="1:8" x14ac:dyDescent="0.25">
      <c r="A188" s="66"/>
      <c r="B188" s="66"/>
      <c r="C188" s="66"/>
      <c r="D188" s="66"/>
      <c r="E188" s="66"/>
      <c r="F188" s="66"/>
      <c r="G188" s="66"/>
      <c r="H188" s="66"/>
    </row>
    <row r="189" spans="1:8" x14ac:dyDescent="0.25">
      <c r="A189" s="66"/>
      <c r="B189" s="66"/>
      <c r="C189" s="66"/>
      <c r="D189" s="66"/>
      <c r="E189" s="66"/>
      <c r="F189" s="66"/>
      <c r="G189" s="66"/>
      <c r="H189" s="66"/>
    </row>
    <row r="190" spans="1:8" x14ac:dyDescent="0.25">
      <c r="A190" s="66"/>
      <c r="B190" s="66"/>
      <c r="C190" s="66"/>
      <c r="D190" s="66"/>
      <c r="E190" s="66"/>
      <c r="F190" s="66"/>
      <c r="G190" s="66"/>
      <c r="H190" s="66"/>
    </row>
    <row r="191" spans="1:8" x14ac:dyDescent="0.25">
      <c r="A191" s="66"/>
      <c r="B191" s="66"/>
      <c r="C191" s="66"/>
      <c r="D191" s="66"/>
      <c r="E191" s="66"/>
      <c r="F191" s="66"/>
      <c r="G191" s="66"/>
      <c r="H191" s="66"/>
    </row>
    <row r="192" spans="1:8" x14ac:dyDescent="0.25">
      <c r="A192" s="66"/>
      <c r="B192" s="66"/>
      <c r="C192" s="66"/>
      <c r="D192" s="66"/>
      <c r="E192" s="66"/>
      <c r="F192" s="66"/>
      <c r="G192" s="66"/>
      <c r="H192" s="66"/>
    </row>
    <row r="193" spans="1:8" x14ac:dyDescent="0.25">
      <c r="A193" s="66"/>
      <c r="B193" s="66"/>
      <c r="C193" s="66"/>
      <c r="D193" s="66"/>
      <c r="E193" s="66"/>
      <c r="F193" s="66"/>
      <c r="G193" s="66"/>
      <c r="H193" s="66"/>
    </row>
    <row r="194" spans="1:8" x14ac:dyDescent="0.25">
      <c r="A194" s="66"/>
      <c r="B194" s="66"/>
      <c r="C194" s="66"/>
      <c r="D194" s="66"/>
      <c r="E194" s="66"/>
      <c r="F194" s="66"/>
      <c r="G194" s="66"/>
      <c r="H194" s="66"/>
    </row>
    <row r="195" spans="1:8" x14ac:dyDescent="0.25">
      <c r="A195" s="66"/>
      <c r="B195" s="66"/>
      <c r="C195" s="66"/>
      <c r="D195" s="66"/>
      <c r="E195" s="66"/>
      <c r="F195" s="66"/>
      <c r="G195" s="66"/>
      <c r="H195" s="66"/>
    </row>
    <row r="196" spans="1:8" x14ac:dyDescent="0.25">
      <c r="A196" s="66"/>
      <c r="B196" s="66"/>
      <c r="C196" s="66"/>
      <c r="D196" s="66"/>
      <c r="E196" s="66"/>
      <c r="F196" s="66"/>
      <c r="G196" s="66"/>
      <c r="H196" s="66"/>
    </row>
    <row r="197" spans="1:8" x14ac:dyDescent="0.25">
      <c r="A197" s="66"/>
      <c r="B197" s="66"/>
      <c r="C197" s="66"/>
      <c r="D197" s="66"/>
      <c r="E197" s="66"/>
      <c r="F197" s="66"/>
      <c r="G197" s="66"/>
      <c r="H197" s="66"/>
    </row>
    <row r="198" spans="1:8" x14ac:dyDescent="0.25">
      <c r="A198" s="66"/>
      <c r="B198" s="66"/>
      <c r="C198" s="66"/>
      <c r="D198" s="66"/>
      <c r="E198" s="66"/>
      <c r="F198" s="66"/>
      <c r="G198" s="66"/>
      <c r="H198" s="66"/>
    </row>
    <row r="199" spans="1:8" x14ac:dyDescent="0.25">
      <c r="A199" s="66"/>
      <c r="B199" s="66"/>
      <c r="C199" s="66"/>
      <c r="D199" s="66"/>
      <c r="E199" s="66"/>
      <c r="F199" s="66"/>
      <c r="G199" s="66"/>
      <c r="H199" s="66"/>
    </row>
    <row r="200" spans="1:8" x14ac:dyDescent="0.25">
      <c r="A200" s="66"/>
      <c r="B200" s="66"/>
      <c r="C200" s="66"/>
      <c r="D200" s="66"/>
      <c r="E200" s="66"/>
      <c r="F200" s="66"/>
      <c r="G200" s="66"/>
      <c r="H200" s="66"/>
    </row>
    <row r="201" spans="1:8" x14ac:dyDescent="0.25">
      <c r="A201" s="66"/>
      <c r="B201" s="66"/>
      <c r="C201" s="66"/>
      <c r="D201" s="66"/>
      <c r="E201" s="66"/>
      <c r="F201" s="66"/>
      <c r="G201" s="66"/>
      <c r="H201" s="66"/>
    </row>
    <row r="202" spans="1:8" x14ac:dyDescent="0.25">
      <c r="A202" s="66"/>
      <c r="B202" s="66"/>
      <c r="C202" s="66"/>
      <c r="D202" s="66"/>
      <c r="E202" s="66"/>
      <c r="F202" s="66"/>
      <c r="G202" s="66"/>
      <c r="H202" s="66"/>
    </row>
    <row r="203" spans="1:8" x14ac:dyDescent="0.25">
      <c r="A203" s="66"/>
      <c r="B203" s="66"/>
      <c r="C203" s="66"/>
      <c r="D203" s="66"/>
      <c r="E203" s="66"/>
      <c r="F203" s="66"/>
      <c r="G203" s="66"/>
      <c r="H203" s="66"/>
    </row>
    <row r="204" spans="1:8" x14ac:dyDescent="0.25">
      <c r="A204" s="66"/>
      <c r="B204" s="66"/>
      <c r="C204" s="66"/>
      <c r="D204" s="66"/>
      <c r="E204" s="66"/>
      <c r="F204" s="66"/>
      <c r="G204" s="66"/>
      <c r="H204" s="66"/>
    </row>
    <row r="205" spans="1:8" x14ac:dyDescent="0.25">
      <c r="A205" s="66"/>
      <c r="B205" s="66"/>
      <c r="C205" s="66"/>
      <c r="D205" s="66"/>
      <c r="E205" s="66"/>
      <c r="F205" s="66"/>
      <c r="G205" s="66"/>
      <c r="H205" s="66"/>
    </row>
    <row r="206" spans="1:8" x14ac:dyDescent="0.25">
      <c r="A206" s="66"/>
      <c r="B206" s="66"/>
      <c r="C206" s="66"/>
      <c r="D206" s="66"/>
      <c r="E206" s="66"/>
      <c r="F206" s="66"/>
      <c r="G206" s="66"/>
      <c r="H206" s="66"/>
    </row>
    <row r="207" spans="1:8" x14ac:dyDescent="0.25">
      <c r="A207" s="66"/>
      <c r="B207" s="66"/>
      <c r="C207" s="66"/>
      <c r="D207" s="66"/>
      <c r="E207" s="66"/>
      <c r="F207" s="66"/>
      <c r="G207" s="66"/>
      <c r="H207" s="66"/>
    </row>
    <row r="208" spans="1:8" x14ac:dyDescent="0.25">
      <c r="A208" s="66"/>
      <c r="B208" s="66"/>
      <c r="C208" s="66"/>
      <c r="D208" s="66"/>
      <c r="E208" s="66"/>
      <c r="F208" s="66"/>
      <c r="G208" s="66"/>
      <c r="H208" s="66"/>
    </row>
    <row r="209" spans="1:8" x14ac:dyDescent="0.25">
      <c r="A209" s="66"/>
      <c r="B209" s="66"/>
      <c r="C209" s="66"/>
      <c r="D209" s="66"/>
      <c r="E209" s="66"/>
      <c r="F209" s="66"/>
      <c r="G209" s="66"/>
      <c r="H209" s="66"/>
    </row>
    <row r="210" spans="1:8" x14ac:dyDescent="0.25">
      <c r="A210" s="66"/>
      <c r="B210" s="66"/>
      <c r="C210" s="66"/>
      <c r="D210" s="66"/>
      <c r="E210" s="66"/>
      <c r="F210" s="66"/>
      <c r="G210" s="66"/>
      <c r="H210" s="66"/>
    </row>
    <row r="211" spans="1:8" x14ac:dyDescent="0.25">
      <c r="A211" s="66"/>
      <c r="B211" s="66"/>
      <c r="C211" s="66"/>
      <c r="D211" s="66"/>
      <c r="E211" s="66"/>
      <c r="F211" s="66"/>
      <c r="G211" s="66"/>
      <c r="H211" s="66"/>
    </row>
    <row r="212" spans="1:8" x14ac:dyDescent="0.25">
      <c r="A212" s="66"/>
      <c r="B212" s="66"/>
      <c r="C212" s="66"/>
      <c r="D212" s="66"/>
      <c r="E212" s="66"/>
      <c r="F212" s="66"/>
      <c r="G212" s="66"/>
      <c r="H212" s="66"/>
    </row>
    <row r="213" spans="1:8" x14ac:dyDescent="0.25">
      <c r="A213" s="66"/>
      <c r="B213" s="66"/>
      <c r="C213" s="66"/>
      <c r="D213" s="66"/>
      <c r="E213" s="66"/>
      <c r="F213" s="66"/>
      <c r="G213" s="66"/>
      <c r="H213" s="66"/>
    </row>
    <row r="214" spans="1:8" x14ac:dyDescent="0.25">
      <c r="A214" s="66"/>
      <c r="B214" s="66"/>
      <c r="C214" s="66"/>
      <c r="D214" s="66"/>
      <c r="E214" s="66"/>
      <c r="F214" s="66"/>
      <c r="G214" s="66"/>
      <c r="H214" s="66"/>
    </row>
    <row r="215" spans="1:8" x14ac:dyDescent="0.25">
      <c r="A215" s="66"/>
      <c r="B215" s="66"/>
      <c r="C215" s="66"/>
      <c r="D215" s="66"/>
      <c r="E215" s="66"/>
      <c r="F215" s="66"/>
      <c r="G215" s="66"/>
      <c r="H215" s="66"/>
    </row>
    <row r="216" spans="1:8" x14ac:dyDescent="0.25">
      <c r="A216" s="66"/>
      <c r="B216" s="66"/>
      <c r="C216" s="66"/>
      <c r="D216" s="66"/>
      <c r="E216" s="66"/>
      <c r="F216" s="66"/>
      <c r="G216" s="66"/>
      <c r="H216" s="66"/>
    </row>
    <row r="217" spans="1:8" x14ac:dyDescent="0.25">
      <c r="A217" s="66"/>
      <c r="B217" s="66"/>
      <c r="C217" s="66"/>
      <c r="D217" s="66"/>
      <c r="E217" s="66"/>
      <c r="F217" s="66"/>
      <c r="G217" s="66"/>
      <c r="H217" s="66"/>
    </row>
    <row r="218" spans="1:8" x14ac:dyDescent="0.25">
      <c r="A218" s="66"/>
      <c r="B218" s="66"/>
      <c r="C218" s="66"/>
      <c r="D218" s="66"/>
      <c r="E218" s="66"/>
      <c r="F218" s="66"/>
      <c r="G218" s="66"/>
      <c r="H218" s="66"/>
    </row>
    <row r="219" spans="1:8" x14ac:dyDescent="0.25">
      <c r="A219" s="66"/>
      <c r="B219" s="66"/>
      <c r="C219" s="66"/>
      <c r="D219" s="66"/>
      <c r="E219" s="66"/>
      <c r="F219" s="66"/>
      <c r="G219" s="66"/>
      <c r="H219" s="66"/>
    </row>
    <row r="220" spans="1:8" x14ac:dyDescent="0.25">
      <c r="A220" s="66"/>
      <c r="B220" s="66"/>
      <c r="C220" s="66"/>
      <c r="D220" s="66"/>
      <c r="E220" s="66"/>
      <c r="F220" s="66"/>
      <c r="G220" s="66"/>
      <c r="H220" s="66"/>
    </row>
    <row r="221" spans="1:8" x14ac:dyDescent="0.25">
      <c r="A221" s="66"/>
      <c r="B221" s="66"/>
      <c r="C221" s="66"/>
      <c r="D221" s="66"/>
      <c r="E221" s="66"/>
      <c r="F221" s="66"/>
      <c r="G221" s="66"/>
      <c r="H221" s="66"/>
    </row>
    <row r="222" spans="1:8" x14ac:dyDescent="0.25">
      <c r="A222" s="66"/>
      <c r="B222" s="66"/>
      <c r="C222" s="66"/>
      <c r="D222" s="66"/>
      <c r="E222" s="66"/>
      <c r="F222" s="66"/>
      <c r="G222" s="66"/>
      <c r="H222" s="66"/>
    </row>
    <row r="223" spans="1:8" x14ac:dyDescent="0.25">
      <c r="A223" s="66"/>
      <c r="B223" s="66"/>
      <c r="C223" s="66"/>
      <c r="D223" s="66"/>
      <c r="E223" s="66"/>
      <c r="F223" s="66"/>
      <c r="G223" s="66"/>
      <c r="H223" s="66"/>
    </row>
    <row r="224" spans="1:8" x14ac:dyDescent="0.25">
      <c r="A224" s="66"/>
      <c r="B224" s="66"/>
      <c r="C224" s="66"/>
      <c r="D224" s="66"/>
      <c r="E224" s="66"/>
      <c r="F224" s="66"/>
      <c r="G224" s="66"/>
      <c r="H224" s="66"/>
    </row>
    <row r="225" spans="1:8" x14ac:dyDescent="0.25">
      <c r="A225" s="66"/>
      <c r="B225" s="66"/>
      <c r="C225" s="66"/>
      <c r="D225" s="66"/>
      <c r="E225" s="66"/>
      <c r="F225" s="66"/>
      <c r="G225" s="66"/>
      <c r="H225" s="66"/>
    </row>
    <row r="226" spans="1:8" x14ac:dyDescent="0.25">
      <c r="A226" s="66"/>
      <c r="B226" s="66"/>
      <c r="C226" s="66"/>
      <c r="D226" s="66"/>
      <c r="E226" s="66"/>
      <c r="F226" s="66"/>
      <c r="G226" s="66"/>
      <c r="H226" s="66"/>
    </row>
    <row r="227" spans="1:8" x14ac:dyDescent="0.25">
      <c r="A227" s="66"/>
      <c r="B227" s="66"/>
      <c r="C227" s="66"/>
      <c r="D227" s="66"/>
      <c r="E227" s="66"/>
      <c r="F227" s="66"/>
      <c r="G227" s="66"/>
      <c r="H227" s="66"/>
    </row>
    <row r="228" spans="1:8" x14ac:dyDescent="0.25">
      <c r="A228" s="66"/>
      <c r="B228" s="66"/>
      <c r="C228" s="66"/>
      <c r="D228" s="66"/>
      <c r="E228" s="66"/>
      <c r="F228" s="66"/>
      <c r="G228" s="66"/>
      <c r="H228" s="66"/>
    </row>
    <row r="229" spans="1:8" x14ac:dyDescent="0.25">
      <c r="A229" s="66"/>
      <c r="B229" s="66"/>
      <c r="C229" s="66"/>
      <c r="D229" s="66"/>
      <c r="E229" s="66"/>
      <c r="F229" s="66"/>
      <c r="G229" s="66"/>
      <c r="H229" s="66"/>
    </row>
    <row r="230" spans="1:8" x14ac:dyDescent="0.25">
      <c r="A230" s="66"/>
      <c r="B230" s="66"/>
      <c r="C230" s="66"/>
      <c r="D230" s="66"/>
      <c r="E230" s="66"/>
      <c r="F230" s="66"/>
      <c r="G230" s="66"/>
      <c r="H230" s="66"/>
    </row>
    <row r="231" spans="1:8" x14ac:dyDescent="0.25">
      <c r="A231" s="66"/>
      <c r="B231" s="66"/>
      <c r="C231" s="66"/>
      <c r="D231" s="66"/>
      <c r="E231" s="66"/>
      <c r="F231" s="66"/>
      <c r="G231" s="66"/>
      <c r="H231" s="66"/>
    </row>
    <row r="232" spans="1:8" x14ac:dyDescent="0.25">
      <c r="A232" s="66"/>
      <c r="B232" s="66"/>
      <c r="C232" s="66"/>
      <c r="D232" s="66"/>
      <c r="E232" s="66"/>
      <c r="F232" s="66"/>
      <c r="G232" s="66"/>
      <c r="H232" s="66"/>
    </row>
    <row r="233" spans="1:8" x14ac:dyDescent="0.25">
      <c r="A233" s="66"/>
      <c r="B233" s="66"/>
      <c r="C233" s="66"/>
      <c r="D233" s="66"/>
      <c r="E233" s="66"/>
      <c r="F233" s="66"/>
      <c r="G233" s="66"/>
      <c r="H233" s="66"/>
    </row>
    <row r="234" spans="1:8" x14ac:dyDescent="0.25">
      <c r="A234" s="66"/>
      <c r="B234" s="66"/>
      <c r="C234" s="66"/>
      <c r="D234" s="66"/>
      <c r="E234" s="66"/>
      <c r="F234" s="66"/>
      <c r="G234" s="66"/>
      <c r="H234" s="66"/>
    </row>
    <row r="235" spans="1:8" x14ac:dyDescent="0.25">
      <c r="A235" s="66"/>
      <c r="B235" s="66"/>
      <c r="C235" s="66"/>
      <c r="D235" s="66"/>
      <c r="E235" s="66"/>
      <c r="F235" s="66"/>
      <c r="G235" s="66"/>
      <c r="H235" s="66"/>
    </row>
    <row r="236" spans="1:8" x14ac:dyDescent="0.25">
      <c r="A236" s="66"/>
      <c r="B236" s="66"/>
      <c r="C236" s="66"/>
      <c r="D236" s="66"/>
      <c r="E236" s="66"/>
      <c r="F236" s="66"/>
      <c r="G236" s="66"/>
      <c r="H236" s="66"/>
    </row>
    <row r="237" spans="1:8" x14ac:dyDescent="0.25">
      <c r="A237" s="66"/>
      <c r="B237" s="66"/>
      <c r="C237" s="66"/>
      <c r="D237" s="66"/>
      <c r="E237" s="66"/>
      <c r="F237" s="66"/>
      <c r="G237" s="66"/>
      <c r="H237" s="66"/>
    </row>
    <row r="238" spans="1:8" x14ac:dyDescent="0.25">
      <c r="A238" s="66"/>
      <c r="B238" s="66"/>
      <c r="C238" s="66"/>
      <c r="D238" s="66"/>
      <c r="E238" s="66"/>
      <c r="F238" s="66"/>
      <c r="G238" s="66"/>
      <c r="H238" s="66"/>
    </row>
    <row r="239" spans="1:8" x14ac:dyDescent="0.25">
      <c r="A239" s="66"/>
      <c r="B239" s="66"/>
      <c r="C239" s="66"/>
      <c r="D239" s="66"/>
      <c r="E239" s="66"/>
      <c r="F239" s="66"/>
      <c r="G239" s="66"/>
      <c r="H239" s="66"/>
    </row>
    <row r="240" spans="1:8" x14ac:dyDescent="0.25">
      <c r="A240" s="66"/>
      <c r="B240" s="66"/>
      <c r="C240" s="66"/>
      <c r="D240" s="66"/>
      <c r="E240" s="66"/>
      <c r="F240" s="66"/>
      <c r="G240" s="66"/>
      <c r="H240" s="66"/>
    </row>
    <row r="241" spans="1:8" x14ac:dyDescent="0.25">
      <c r="A241" s="66"/>
      <c r="B241" s="66"/>
      <c r="C241" s="66"/>
      <c r="D241" s="66"/>
      <c r="E241" s="66"/>
      <c r="F241" s="66"/>
      <c r="G241" s="66"/>
      <c r="H241" s="66"/>
    </row>
    <row r="242" spans="1:8" x14ac:dyDescent="0.25">
      <c r="A242" s="66"/>
      <c r="B242" s="66"/>
      <c r="C242" s="66"/>
      <c r="D242" s="66"/>
      <c r="E242" s="66"/>
      <c r="F242" s="66"/>
      <c r="G242" s="66"/>
      <c r="H242" s="66"/>
    </row>
    <row r="243" spans="1:8" x14ac:dyDescent="0.25">
      <c r="A243" s="66"/>
      <c r="B243" s="66"/>
      <c r="C243" s="66"/>
      <c r="D243" s="66"/>
      <c r="E243" s="66"/>
      <c r="F243" s="66"/>
      <c r="G243" s="66"/>
      <c r="H243" s="66"/>
    </row>
    <row r="244" spans="1:8" x14ac:dyDescent="0.25">
      <c r="A244" s="66"/>
      <c r="B244" s="66"/>
      <c r="C244" s="66"/>
      <c r="D244" s="66"/>
      <c r="E244" s="66"/>
      <c r="F244" s="66"/>
      <c r="G244" s="66"/>
      <c r="H244" s="66"/>
    </row>
  </sheetData>
  <mergeCells count="2">
    <mergeCell ref="A1:A2"/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workbookViewId="0">
      <selection sqref="A1:H244"/>
    </sheetView>
  </sheetViews>
  <sheetFormatPr defaultRowHeight="15" x14ac:dyDescent="0.25"/>
  <cols>
    <col min="1" max="1" width="101.42578125" customWidth="1"/>
  </cols>
  <sheetData>
    <row r="1" spans="1:8" ht="14.45" customHeight="1" x14ac:dyDescent="0.25">
      <c r="A1" s="135" t="s">
        <v>0</v>
      </c>
      <c r="B1" s="136" t="s">
        <v>1</v>
      </c>
      <c r="C1" s="136"/>
      <c r="D1" s="136"/>
      <c r="E1" s="136"/>
      <c r="F1" s="136"/>
      <c r="G1" s="136"/>
      <c r="H1" s="136"/>
    </row>
    <row r="2" spans="1:8" ht="38.25" x14ac:dyDescent="0.25">
      <c r="A2" s="135"/>
      <c r="B2" s="67" t="s">
        <v>2</v>
      </c>
      <c r="C2" s="67" t="s">
        <v>3</v>
      </c>
      <c r="D2" s="67" t="s">
        <v>160</v>
      </c>
      <c r="E2" s="67" t="s">
        <v>161</v>
      </c>
      <c r="F2" s="67" t="s">
        <v>4</v>
      </c>
      <c r="G2" s="67" t="s">
        <v>162</v>
      </c>
      <c r="H2" s="67" t="s">
        <v>5</v>
      </c>
    </row>
    <row r="3" spans="1:8" x14ac:dyDescent="0.25">
      <c r="A3" s="68" t="s">
        <v>186</v>
      </c>
      <c r="B3" s="69">
        <v>10</v>
      </c>
      <c r="C3" s="69">
        <v>6</v>
      </c>
      <c r="D3" s="70"/>
      <c r="E3" s="70"/>
      <c r="F3" s="69">
        <v>16</v>
      </c>
      <c r="G3" s="71">
        <v>62.5</v>
      </c>
      <c r="H3" s="71">
        <v>62.5</v>
      </c>
    </row>
    <row r="4" spans="1:8" x14ac:dyDescent="0.25">
      <c r="A4" s="68" t="s">
        <v>177</v>
      </c>
      <c r="B4" s="69">
        <v>1</v>
      </c>
      <c r="C4" s="70"/>
      <c r="D4" s="70"/>
      <c r="E4" s="70"/>
      <c r="F4" s="69">
        <v>1</v>
      </c>
      <c r="G4" s="71">
        <v>100</v>
      </c>
      <c r="H4" s="71">
        <v>100</v>
      </c>
    </row>
    <row r="5" spans="1:8" x14ac:dyDescent="0.25">
      <c r="A5" s="68" t="s">
        <v>187</v>
      </c>
      <c r="B5" s="69">
        <v>10</v>
      </c>
      <c r="C5" s="69">
        <v>2</v>
      </c>
      <c r="D5" s="70"/>
      <c r="E5" s="69">
        <v>1</v>
      </c>
      <c r="F5" s="69">
        <v>13</v>
      </c>
      <c r="G5" s="71">
        <v>83.33</v>
      </c>
      <c r="H5" s="71">
        <v>76.92</v>
      </c>
    </row>
    <row r="6" spans="1:8" x14ac:dyDescent="0.25">
      <c r="A6" s="68" t="s">
        <v>178</v>
      </c>
      <c r="B6" s="69">
        <v>3</v>
      </c>
      <c r="C6" s="69">
        <v>3</v>
      </c>
      <c r="D6" s="70"/>
      <c r="E6" s="70"/>
      <c r="F6" s="69">
        <v>6</v>
      </c>
      <c r="G6" s="71">
        <v>50</v>
      </c>
      <c r="H6" s="71">
        <v>50</v>
      </c>
    </row>
    <row r="7" spans="1:8" x14ac:dyDescent="0.25">
      <c r="A7" s="68" t="s">
        <v>179</v>
      </c>
      <c r="B7" s="69">
        <v>1</v>
      </c>
      <c r="C7" s="69">
        <v>1</v>
      </c>
      <c r="D7" s="70"/>
      <c r="E7" s="70"/>
      <c r="F7" s="69">
        <v>2</v>
      </c>
      <c r="G7" s="71">
        <v>50</v>
      </c>
      <c r="H7" s="71">
        <v>50</v>
      </c>
    </row>
    <row r="8" spans="1:8" x14ac:dyDescent="0.25">
      <c r="A8" s="68" t="s">
        <v>188</v>
      </c>
      <c r="B8" s="69">
        <v>0</v>
      </c>
      <c r="C8" s="69">
        <v>1</v>
      </c>
      <c r="D8" s="70"/>
      <c r="E8" s="70"/>
      <c r="F8" s="69">
        <v>1</v>
      </c>
      <c r="G8" s="70"/>
      <c r="H8" s="71">
        <v>0</v>
      </c>
    </row>
    <row r="9" spans="1:8" x14ac:dyDescent="0.25">
      <c r="A9" s="68" t="s">
        <v>189</v>
      </c>
      <c r="B9" s="69">
        <v>4</v>
      </c>
      <c r="C9" s="69">
        <v>2</v>
      </c>
      <c r="D9" s="70"/>
      <c r="E9" s="69">
        <v>1</v>
      </c>
      <c r="F9" s="69">
        <v>7</v>
      </c>
      <c r="G9" s="71">
        <v>66.67</v>
      </c>
      <c r="H9" s="71">
        <v>57.14</v>
      </c>
    </row>
    <row r="10" spans="1:8" x14ac:dyDescent="0.25">
      <c r="A10" s="68" t="s">
        <v>180</v>
      </c>
      <c r="B10" s="69">
        <v>2</v>
      </c>
      <c r="C10" s="70"/>
      <c r="D10" s="70"/>
      <c r="E10" s="70"/>
      <c r="F10" s="69">
        <v>2</v>
      </c>
      <c r="G10" s="71">
        <v>100</v>
      </c>
      <c r="H10" s="71">
        <v>100</v>
      </c>
    </row>
    <row r="11" spans="1:8" x14ac:dyDescent="0.25">
      <c r="A11" s="68" t="s">
        <v>181</v>
      </c>
      <c r="B11" s="69">
        <v>5</v>
      </c>
      <c r="C11" s="69">
        <v>2</v>
      </c>
      <c r="D11" s="70"/>
      <c r="E11" s="70"/>
      <c r="F11" s="69">
        <v>7</v>
      </c>
      <c r="G11" s="71">
        <v>71.430000000000007</v>
      </c>
      <c r="H11" s="71">
        <v>71.430000000000007</v>
      </c>
    </row>
    <row r="12" spans="1:8" x14ac:dyDescent="0.25">
      <c r="A12" s="68" t="s">
        <v>182</v>
      </c>
      <c r="B12" s="69">
        <v>4</v>
      </c>
      <c r="C12" s="69">
        <v>2</v>
      </c>
      <c r="D12" s="70"/>
      <c r="E12" s="70"/>
      <c r="F12" s="69">
        <v>6</v>
      </c>
      <c r="G12" s="71">
        <v>66.67</v>
      </c>
      <c r="H12" s="71">
        <v>66.67</v>
      </c>
    </row>
    <row r="13" spans="1:8" x14ac:dyDescent="0.25">
      <c r="A13" s="68" t="s">
        <v>213</v>
      </c>
      <c r="B13" s="69">
        <v>7</v>
      </c>
      <c r="C13" s="69">
        <v>2</v>
      </c>
      <c r="D13" s="70"/>
      <c r="E13" s="70"/>
      <c r="F13" s="69">
        <v>9</v>
      </c>
      <c r="G13" s="71">
        <v>77.78</v>
      </c>
      <c r="H13" s="71">
        <v>77.78</v>
      </c>
    </row>
    <row r="14" spans="1:8" x14ac:dyDescent="0.25">
      <c r="A14" s="68" t="s">
        <v>214</v>
      </c>
      <c r="B14" s="69">
        <v>1</v>
      </c>
      <c r="C14" s="69">
        <v>2</v>
      </c>
      <c r="D14" s="70"/>
      <c r="E14" s="70"/>
      <c r="F14" s="69">
        <v>3</v>
      </c>
      <c r="G14" s="71">
        <v>33.33</v>
      </c>
      <c r="H14" s="71">
        <v>33.33</v>
      </c>
    </row>
    <row r="15" spans="1:8" x14ac:dyDescent="0.25">
      <c r="A15" s="68" t="s">
        <v>190</v>
      </c>
      <c r="B15" s="69">
        <v>0</v>
      </c>
      <c r="C15" s="69">
        <v>1</v>
      </c>
      <c r="D15" s="70"/>
      <c r="E15" s="69">
        <v>1</v>
      </c>
      <c r="F15" s="69">
        <v>2</v>
      </c>
      <c r="G15" s="70"/>
      <c r="H15" s="71">
        <v>0</v>
      </c>
    </row>
    <row r="16" spans="1:8" x14ac:dyDescent="0.25">
      <c r="A16" s="68" t="s">
        <v>184</v>
      </c>
      <c r="B16" s="69">
        <v>3</v>
      </c>
      <c r="C16" s="70"/>
      <c r="D16" s="70"/>
      <c r="E16" s="70"/>
      <c r="F16" s="69">
        <v>3</v>
      </c>
      <c r="G16" s="71">
        <v>100</v>
      </c>
      <c r="H16" s="71">
        <v>100</v>
      </c>
    </row>
    <row r="17" spans="1:8" x14ac:dyDescent="0.25">
      <c r="A17" s="68" t="s">
        <v>183</v>
      </c>
      <c r="B17" s="69">
        <v>0</v>
      </c>
      <c r="C17" s="69">
        <v>1</v>
      </c>
      <c r="D17" s="70"/>
      <c r="E17" s="70"/>
      <c r="F17" s="69">
        <v>1</v>
      </c>
      <c r="G17" s="70"/>
      <c r="H17" s="71">
        <v>0</v>
      </c>
    </row>
    <row r="18" spans="1:8" x14ac:dyDescent="0.25">
      <c r="A18" s="68" t="s">
        <v>215</v>
      </c>
      <c r="B18" s="69">
        <v>4</v>
      </c>
      <c r="C18" s="69">
        <v>1</v>
      </c>
      <c r="D18" s="70"/>
      <c r="E18" s="70"/>
      <c r="F18" s="69">
        <v>5</v>
      </c>
      <c r="G18" s="71">
        <v>80</v>
      </c>
      <c r="H18" s="71">
        <v>80</v>
      </c>
    </row>
    <row r="19" spans="1:8" x14ac:dyDescent="0.25">
      <c r="A19" s="68" t="s">
        <v>216</v>
      </c>
      <c r="B19" s="69">
        <v>4</v>
      </c>
      <c r="C19" s="69">
        <v>1</v>
      </c>
      <c r="D19" s="70"/>
      <c r="E19" s="69">
        <v>1</v>
      </c>
      <c r="F19" s="69">
        <v>6</v>
      </c>
      <c r="G19" s="71">
        <v>80</v>
      </c>
      <c r="H19" s="71">
        <v>66.67</v>
      </c>
    </row>
    <row r="20" spans="1:8" x14ac:dyDescent="0.25">
      <c r="A20" s="68" t="s">
        <v>217</v>
      </c>
      <c r="B20" s="69">
        <v>0</v>
      </c>
      <c r="C20" s="70"/>
      <c r="D20" s="70"/>
      <c r="E20" s="69">
        <v>1</v>
      </c>
      <c r="F20" s="69">
        <v>1</v>
      </c>
      <c r="G20" s="70"/>
      <c r="H20" s="71">
        <v>0</v>
      </c>
    </row>
    <row r="21" spans="1:8" x14ac:dyDescent="0.25">
      <c r="A21" s="68" t="s">
        <v>218</v>
      </c>
      <c r="B21" s="69">
        <v>0</v>
      </c>
      <c r="C21" s="69">
        <v>2</v>
      </c>
      <c r="D21" s="70"/>
      <c r="E21" s="70"/>
      <c r="F21" s="69">
        <v>2</v>
      </c>
      <c r="G21" s="70"/>
      <c r="H21" s="71">
        <v>0</v>
      </c>
    </row>
    <row r="22" spans="1:8" x14ac:dyDescent="0.25">
      <c r="A22" s="68" t="s">
        <v>219</v>
      </c>
      <c r="B22" s="69">
        <v>1</v>
      </c>
      <c r="C22" s="70"/>
      <c r="D22" s="70"/>
      <c r="E22" s="70"/>
      <c r="F22" s="69">
        <v>1</v>
      </c>
      <c r="G22" s="71">
        <v>100</v>
      </c>
      <c r="H22" s="71">
        <v>100</v>
      </c>
    </row>
    <row r="23" spans="1:8" x14ac:dyDescent="0.25">
      <c r="A23" s="68" t="s">
        <v>191</v>
      </c>
      <c r="B23" s="69">
        <v>72</v>
      </c>
      <c r="C23" s="69">
        <v>29</v>
      </c>
      <c r="D23" s="70"/>
      <c r="E23" s="69">
        <v>1</v>
      </c>
      <c r="F23" s="69">
        <v>102</v>
      </c>
      <c r="G23" s="71">
        <v>71.290000000000006</v>
      </c>
      <c r="H23" s="71">
        <v>70.59</v>
      </c>
    </row>
    <row r="24" spans="1:8" x14ac:dyDescent="0.25">
      <c r="A24" s="68" t="s">
        <v>192</v>
      </c>
      <c r="B24" s="69">
        <v>15</v>
      </c>
      <c r="C24" s="69">
        <v>8</v>
      </c>
      <c r="D24" s="70"/>
      <c r="E24" s="70"/>
      <c r="F24" s="69">
        <v>23</v>
      </c>
      <c r="G24" s="71">
        <v>65.22</v>
      </c>
      <c r="H24" s="71">
        <v>65.22</v>
      </c>
    </row>
    <row r="25" spans="1:8" x14ac:dyDescent="0.25">
      <c r="A25" s="68" t="s">
        <v>193</v>
      </c>
      <c r="B25" s="69">
        <v>1</v>
      </c>
      <c r="C25" s="69">
        <v>3</v>
      </c>
      <c r="D25" s="70"/>
      <c r="E25" s="69">
        <v>1</v>
      </c>
      <c r="F25" s="69">
        <v>5</v>
      </c>
      <c r="G25" s="71">
        <v>25</v>
      </c>
      <c r="H25" s="71">
        <v>20</v>
      </c>
    </row>
    <row r="26" spans="1:8" x14ac:dyDescent="0.25">
      <c r="A26" s="68" t="s">
        <v>194</v>
      </c>
      <c r="B26" s="69">
        <v>0</v>
      </c>
      <c r="C26" s="69">
        <v>3</v>
      </c>
      <c r="D26" s="70"/>
      <c r="E26" s="69">
        <v>1</v>
      </c>
      <c r="F26" s="69">
        <v>4</v>
      </c>
      <c r="G26" s="70"/>
      <c r="H26" s="71">
        <v>0</v>
      </c>
    </row>
    <row r="27" spans="1:8" x14ac:dyDescent="0.25">
      <c r="A27" s="68" t="s">
        <v>195</v>
      </c>
      <c r="B27" s="69">
        <v>1</v>
      </c>
      <c r="C27" s="69">
        <v>1</v>
      </c>
      <c r="D27" s="70"/>
      <c r="E27" s="70"/>
      <c r="F27" s="69">
        <v>2</v>
      </c>
      <c r="G27" s="71">
        <v>50</v>
      </c>
      <c r="H27" s="71">
        <v>50</v>
      </c>
    </row>
    <row r="28" spans="1:8" x14ac:dyDescent="0.25">
      <c r="A28" s="68" t="s">
        <v>196</v>
      </c>
      <c r="B28" s="69">
        <v>0</v>
      </c>
      <c r="C28" s="69">
        <v>1</v>
      </c>
      <c r="D28" s="70"/>
      <c r="E28" s="70"/>
      <c r="F28" s="69">
        <v>1</v>
      </c>
      <c r="G28" s="70"/>
      <c r="H28" s="71">
        <v>0</v>
      </c>
    </row>
    <row r="29" spans="1:8" x14ac:dyDescent="0.25">
      <c r="A29" s="68" t="s">
        <v>197</v>
      </c>
      <c r="B29" s="69">
        <v>1</v>
      </c>
      <c r="C29" s="69">
        <v>2</v>
      </c>
      <c r="D29" s="70"/>
      <c r="E29" s="70"/>
      <c r="F29" s="69">
        <v>3</v>
      </c>
      <c r="G29" s="71">
        <v>33.33</v>
      </c>
      <c r="H29" s="71">
        <v>33.33</v>
      </c>
    </row>
    <row r="30" spans="1:8" x14ac:dyDescent="0.25">
      <c r="A30" s="68" t="s">
        <v>198</v>
      </c>
      <c r="B30" s="69">
        <v>0</v>
      </c>
      <c r="C30" s="69">
        <v>2</v>
      </c>
      <c r="D30" s="70"/>
      <c r="E30" s="70"/>
      <c r="F30" s="69">
        <v>2</v>
      </c>
      <c r="G30" s="70"/>
      <c r="H30" s="71">
        <v>0</v>
      </c>
    </row>
    <row r="31" spans="1:8" x14ac:dyDescent="0.25">
      <c r="A31" s="68" t="s">
        <v>199</v>
      </c>
      <c r="B31" s="69">
        <v>0</v>
      </c>
      <c r="C31" s="69">
        <v>2</v>
      </c>
      <c r="D31" s="70"/>
      <c r="E31" s="70"/>
      <c r="F31" s="69">
        <v>2</v>
      </c>
      <c r="G31" s="70"/>
      <c r="H31" s="71">
        <v>0</v>
      </c>
    </row>
    <row r="32" spans="1:8" x14ac:dyDescent="0.25">
      <c r="A32" s="68" t="s">
        <v>200</v>
      </c>
      <c r="B32" s="69">
        <v>1</v>
      </c>
      <c r="C32" s="69">
        <v>1</v>
      </c>
      <c r="D32" s="70"/>
      <c r="E32" s="70"/>
      <c r="F32" s="69">
        <v>2</v>
      </c>
      <c r="G32" s="71">
        <v>50</v>
      </c>
      <c r="H32" s="71">
        <v>50</v>
      </c>
    </row>
    <row r="33" spans="1:8" x14ac:dyDescent="0.25">
      <c r="A33" s="68" t="s">
        <v>201</v>
      </c>
      <c r="B33" s="69">
        <v>3</v>
      </c>
      <c r="C33" s="69">
        <v>6</v>
      </c>
      <c r="D33" s="70"/>
      <c r="E33" s="70"/>
      <c r="F33" s="69">
        <v>9</v>
      </c>
      <c r="G33" s="71">
        <v>33.33</v>
      </c>
      <c r="H33" s="71">
        <v>33.33</v>
      </c>
    </row>
    <row r="34" spans="1:8" x14ac:dyDescent="0.25">
      <c r="A34" s="68" t="s">
        <v>202</v>
      </c>
      <c r="B34" s="69">
        <v>0</v>
      </c>
      <c r="C34" s="69">
        <v>1</v>
      </c>
      <c r="D34" s="70"/>
      <c r="E34" s="70"/>
      <c r="F34" s="69">
        <v>1</v>
      </c>
      <c r="G34" s="70"/>
      <c r="H34" s="71">
        <v>0</v>
      </c>
    </row>
    <row r="35" spans="1:8" x14ac:dyDescent="0.25">
      <c r="A35" s="68" t="s">
        <v>203</v>
      </c>
      <c r="B35" s="69">
        <v>0</v>
      </c>
      <c r="C35" s="69">
        <v>1</v>
      </c>
      <c r="D35" s="70"/>
      <c r="E35" s="70"/>
      <c r="F35" s="69">
        <v>1</v>
      </c>
      <c r="G35" s="70"/>
      <c r="H35" s="71">
        <v>0</v>
      </c>
    </row>
    <row r="36" spans="1:8" x14ac:dyDescent="0.25">
      <c r="A36" s="68" t="s">
        <v>207</v>
      </c>
      <c r="B36" s="69">
        <v>3</v>
      </c>
      <c r="C36" s="69">
        <v>2</v>
      </c>
      <c r="D36" s="70"/>
      <c r="E36" s="70"/>
      <c r="F36" s="69">
        <v>5</v>
      </c>
      <c r="G36" s="71">
        <v>60</v>
      </c>
      <c r="H36" s="71">
        <v>60</v>
      </c>
    </row>
    <row r="37" spans="1:8" x14ac:dyDescent="0.25">
      <c r="A37" s="68" t="s">
        <v>6</v>
      </c>
      <c r="B37" s="69">
        <v>12</v>
      </c>
      <c r="C37" s="69">
        <v>5</v>
      </c>
      <c r="D37" s="70"/>
      <c r="E37" s="70"/>
      <c r="F37" s="69">
        <v>17</v>
      </c>
      <c r="G37" s="71">
        <v>70.59</v>
      </c>
      <c r="H37" s="71">
        <v>70.59</v>
      </c>
    </row>
    <row r="38" spans="1:8" x14ac:dyDescent="0.25">
      <c r="A38" s="68" t="s">
        <v>7</v>
      </c>
      <c r="B38" s="69">
        <v>7</v>
      </c>
      <c r="C38" s="69">
        <v>5</v>
      </c>
      <c r="D38" s="70"/>
      <c r="E38" s="69">
        <v>1</v>
      </c>
      <c r="F38" s="69">
        <v>13</v>
      </c>
      <c r="G38" s="71">
        <v>58.33</v>
      </c>
      <c r="H38" s="71">
        <v>53.85</v>
      </c>
    </row>
    <row r="39" spans="1:8" x14ac:dyDescent="0.25">
      <c r="A39" s="68" t="s">
        <v>8</v>
      </c>
      <c r="B39" s="69">
        <v>12</v>
      </c>
      <c r="C39" s="70"/>
      <c r="D39" s="69">
        <v>1</v>
      </c>
      <c r="E39" s="70"/>
      <c r="F39" s="69">
        <v>13</v>
      </c>
      <c r="G39" s="71">
        <v>92.31</v>
      </c>
      <c r="H39" s="71">
        <v>92.31</v>
      </c>
    </row>
    <row r="40" spans="1:8" x14ac:dyDescent="0.25">
      <c r="A40" s="68" t="s">
        <v>9</v>
      </c>
      <c r="B40" s="69">
        <v>62</v>
      </c>
      <c r="C40" s="69">
        <v>22</v>
      </c>
      <c r="D40" s="70"/>
      <c r="E40" s="70"/>
      <c r="F40" s="69">
        <v>84</v>
      </c>
      <c r="G40" s="71">
        <v>73.81</v>
      </c>
      <c r="H40" s="71">
        <v>73.81</v>
      </c>
    </row>
    <row r="41" spans="1:8" x14ac:dyDescent="0.25">
      <c r="A41" s="68" t="s">
        <v>10</v>
      </c>
      <c r="B41" s="69">
        <v>14</v>
      </c>
      <c r="C41" s="70"/>
      <c r="D41" s="70"/>
      <c r="E41" s="69">
        <v>1</v>
      </c>
      <c r="F41" s="69">
        <v>15</v>
      </c>
      <c r="G41" s="71">
        <v>100</v>
      </c>
      <c r="H41" s="71">
        <v>93.33</v>
      </c>
    </row>
    <row r="42" spans="1:8" x14ac:dyDescent="0.25">
      <c r="A42" s="68" t="s">
        <v>11</v>
      </c>
      <c r="B42" s="69">
        <v>22</v>
      </c>
      <c r="C42" s="69">
        <v>2</v>
      </c>
      <c r="D42" s="70"/>
      <c r="E42" s="70"/>
      <c r="F42" s="69">
        <v>24</v>
      </c>
      <c r="G42" s="71">
        <v>91.67</v>
      </c>
      <c r="H42" s="71">
        <v>91.67</v>
      </c>
    </row>
    <row r="43" spans="1:8" x14ac:dyDescent="0.25">
      <c r="A43" s="68" t="s">
        <v>12</v>
      </c>
      <c r="B43" s="69">
        <v>3</v>
      </c>
      <c r="C43" s="69">
        <v>7</v>
      </c>
      <c r="D43" s="70"/>
      <c r="E43" s="70"/>
      <c r="F43" s="69">
        <v>10</v>
      </c>
      <c r="G43" s="71">
        <v>30</v>
      </c>
      <c r="H43" s="71">
        <v>30</v>
      </c>
    </row>
    <row r="44" spans="1:8" x14ac:dyDescent="0.25">
      <c r="A44" s="68" t="s">
        <v>13</v>
      </c>
      <c r="B44" s="69">
        <v>5</v>
      </c>
      <c r="C44" s="69">
        <v>1</v>
      </c>
      <c r="D44" s="70"/>
      <c r="E44" s="70"/>
      <c r="F44" s="69">
        <v>6</v>
      </c>
      <c r="G44" s="71">
        <v>83.33</v>
      </c>
      <c r="H44" s="71">
        <v>83.33</v>
      </c>
    </row>
    <row r="45" spans="1:8" x14ac:dyDescent="0.25">
      <c r="A45" s="68" t="s">
        <v>14</v>
      </c>
      <c r="B45" s="69">
        <v>51</v>
      </c>
      <c r="C45" s="69">
        <v>10</v>
      </c>
      <c r="D45" s="70"/>
      <c r="E45" s="69">
        <v>1</v>
      </c>
      <c r="F45" s="69">
        <v>62</v>
      </c>
      <c r="G45" s="71">
        <v>83.61</v>
      </c>
      <c r="H45" s="71">
        <v>82.26</v>
      </c>
    </row>
    <row r="46" spans="1:8" x14ac:dyDescent="0.25">
      <c r="A46" s="68" t="s">
        <v>16</v>
      </c>
      <c r="B46" s="69">
        <v>8</v>
      </c>
      <c r="C46" s="69">
        <v>1</v>
      </c>
      <c r="D46" s="70"/>
      <c r="E46" s="70"/>
      <c r="F46" s="69">
        <v>9</v>
      </c>
      <c r="G46" s="71">
        <v>88.89</v>
      </c>
      <c r="H46" s="71">
        <v>88.89</v>
      </c>
    </row>
    <row r="47" spans="1:8" x14ac:dyDescent="0.25">
      <c r="A47" s="68" t="s">
        <v>17</v>
      </c>
      <c r="B47" s="69">
        <v>3</v>
      </c>
      <c r="C47" s="69">
        <v>3</v>
      </c>
      <c r="D47" s="70"/>
      <c r="E47" s="70"/>
      <c r="F47" s="69">
        <v>6</v>
      </c>
      <c r="G47" s="71">
        <v>50</v>
      </c>
      <c r="H47" s="71">
        <v>50</v>
      </c>
    </row>
    <row r="48" spans="1:8" x14ac:dyDescent="0.25">
      <c r="A48" s="68" t="s">
        <v>18</v>
      </c>
      <c r="B48" s="69">
        <v>9</v>
      </c>
      <c r="C48" s="69">
        <v>2</v>
      </c>
      <c r="D48" s="70"/>
      <c r="E48" s="69">
        <v>2</v>
      </c>
      <c r="F48" s="69">
        <v>13</v>
      </c>
      <c r="G48" s="71">
        <v>81.819999999999993</v>
      </c>
      <c r="H48" s="71">
        <v>69.23</v>
      </c>
    </row>
    <row r="49" spans="1:8" x14ac:dyDescent="0.25">
      <c r="A49" s="68" t="s">
        <v>19</v>
      </c>
      <c r="B49" s="69">
        <v>13</v>
      </c>
      <c r="C49" s="69">
        <v>8</v>
      </c>
      <c r="D49" s="70"/>
      <c r="E49" s="69">
        <v>1</v>
      </c>
      <c r="F49" s="69">
        <v>22</v>
      </c>
      <c r="G49" s="71">
        <v>61.9</v>
      </c>
      <c r="H49" s="71">
        <v>59.09</v>
      </c>
    </row>
    <row r="50" spans="1:8" x14ac:dyDescent="0.25">
      <c r="A50" s="68" t="s">
        <v>20</v>
      </c>
      <c r="B50" s="69">
        <v>44</v>
      </c>
      <c r="C50" s="69">
        <v>23</v>
      </c>
      <c r="D50" s="70"/>
      <c r="E50" s="69">
        <v>3</v>
      </c>
      <c r="F50" s="69">
        <v>70</v>
      </c>
      <c r="G50" s="71">
        <v>65.67</v>
      </c>
      <c r="H50" s="71">
        <v>62.86</v>
      </c>
    </row>
    <row r="51" spans="1:8" x14ac:dyDescent="0.25">
      <c r="A51" s="68" t="s">
        <v>21</v>
      </c>
      <c r="B51" s="69">
        <v>37</v>
      </c>
      <c r="C51" s="69">
        <v>52</v>
      </c>
      <c r="D51" s="70"/>
      <c r="E51" s="70"/>
      <c r="F51" s="69">
        <v>89</v>
      </c>
      <c r="G51" s="71">
        <v>41.57</v>
      </c>
      <c r="H51" s="71">
        <v>41.57</v>
      </c>
    </row>
    <row r="52" spans="1:8" x14ac:dyDescent="0.25">
      <c r="A52" s="68" t="s">
        <v>24</v>
      </c>
      <c r="B52" s="69">
        <v>12</v>
      </c>
      <c r="C52" s="69">
        <v>28</v>
      </c>
      <c r="D52" s="70"/>
      <c r="E52" s="70"/>
      <c r="F52" s="69">
        <v>40</v>
      </c>
      <c r="G52" s="71">
        <v>30</v>
      </c>
      <c r="H52" s="71">
        <v>30</v>
      </c>
    </row>
    <row r="53" spans="1:8" x14ac:dyDescent="0.25">
      <c r="A53" s="68" t="s">
        <v>26</v>
      </c>
      <c r="B53" s="69">
        <v>101</v>
      </c>
      <c r="C53" s="69">
        <v>30</v>
      </c>
      <c r="D53" s="70"/>
      <c r="E53" s="70"/>
      <c r="F53" s="69">
        <v>131</v>
      </c>
      <c r="G53" s="71">
        <v>77.099999999999994</v>
      </c>
      <c r="H53" s="71">
        <v>77.099999999999994</v>
      </c>
    </row>
    <row r="54" spans="1:8" x14ac:dyDescent="0.25">
      <c r="A54" s="68" t="s">
        <v>27</v>
      </c>
      <c r="B54" s="69">
        <v>134</v>
      </c>
      <c r="C54" s="69">
        <v>23</v>
      </c>
      <c r="D54" s="70"/>
      <c r="E54" s="69">
        <v>2</v>
      </c>
      <c r="F54" s="69">
        <v>159</v>
      </c>
      <c r="G54" s="71">
        <v>85.35</v>
      </c>
      <c r="H54" s="71">
        <v>84.28</v>
      </c>
    </row>
    <row r="55" spans="1:8" x14ac:dyDescent="0.25">
      <c r="A55" s="68" t="s">
        <v>28</v>
      </c>
      <c r="B55" s="69">
        <v>73</v>
      </c>
      <c r="C55" s="69">
        <v>47</v>
      </c>
      <c r="D55" s="70"/>
      <c r="E55" s="69">
        <v>8</v>
      </c>
      <c r="F55" s="69">
        <v>128</v>
      </c>
      <c r="G55" s="71">
        <v>60.83</v>
      </c>
      <c r="H55" s="71">
        <v>57.03</v>
      </c>
    </row>
    <row r="56" spans="1:8" x14ac:dyDescent="0.25">
      <c r="A56" s="68" t="s">
        <v>29</v>
      </c>
      <c r="B56" s="69">
        <v>66</v>
      </c>
      <c r="C56" s="69">
        <v>3</v>
      </c>
      <c r="D56" s="70"/>
      <c r="E56" s="69">
        <v>3</v>
      </c>
      <c r="F56" s="69">
        <v>72</v>
      </c>
      <c r="G56" s="71">
        <v>95.65</v>
      </c>
      <c r="H56" s="71">
        <v>91.67</v>
      </c>
    </row>
    <row r="57" spans="1:8" x14ac:dyDescent="0.25">
      <c r="A57" s="68" t="s">
        <v>185</v>
      </c>
      <c r="B57" s="69">
        <v>10</v>
      </c>
      <c r="C57" s="69">
        <v>5</v>
      </c>
      <c r="D57" s="70"/>
      <c r="E57" s="69">
        <v>2</v>
      </c>
      <c r="F57" s="69">
        <v>17</v>
      </c>
      <c r="G57" s="71">
        <v>66.67</v>
      </c>
      <c r="H57" s="71">
        <v>58.82</v>
      </c>
    </row>
    <row r="58" spans="1:8" x14ac:dyDescent="0.25">
      <c r="A58" s="68" t="s">
        <v>30</v>
      </c>
      <c r="B58" s="69">
        <v>16</v>
      </c>
      <c r="C58" s="69">
        <v>7</v>
      </c>
      <c r="D58" s="70"/>
      <c r="E58" s="70"/>
      <c r="F58" s="69">
        <v>23</v>
      </c>
      <c r="G58" s="71">
        <v>69.569999999999993</v>
      </c>
      <c r="H58" s="71">
        <v>69.569999999999993</v>
      </c>
    </row>
    <row r="59" spans="1:8" x14ac:dyDescent="0.25">
      <c r="A59" s="68" t="s">
        <v>31</v>
      </c>
      <c r="B59" s="69">
        <v>7</v>
      </c>
      <c r="C59" s="69">
        <v>6</v>
      </c>
      <c r="D59" s="70"/>
      <c r="E59" s="70"/>
      <c r="F59" s="69">
        <v>13</v>
      </c>
      <c r="G59" s="71">
        <v>53.85</v>
      </c>
      <c r="H59" s="71">
        <v>53.85</v>
      </c>
    </row>
    <row r="60" spans="1:8" x14ac:dyDescent="0.25">
      <c r="A60" s="68" t="s">
        <v>32</v>
      </c>
      <c r="B60" s="69">
        <v>3</v>
      </c>
      <c r="C60" s="69">
        <v>4</v>
      </c>
      <c r="D60" s="70"/>
      <c r="E60" s="70"/>
      <c r="F60" s="69">
        <v>7</v>
      </c>
      <c r="G60" s="71">
        <v>42.86</v>
      </c>
      <c r="H60" s="71">
        <v>42.86</v>
      </c>
    </row>
    <row r="61" spans="1:8" x14ac:dyDescent="0.25">
      <c r="A61" s="68" t="s">
        <v>33</v>
      </c>
      <c r="B61" s="69">
        <v>10</v>
      </c>
      <c r="C61" s="69">
        <v>4</v>
      </c>
      <c r="D61" s="70"/>
      <c r="E61" s="69">
        <v>1</v>
      </c>
      <c r="F61" s="69">
        <v>15</v>
      </c>
      <c r="G61" s="71">
        <v>71.430000000000007</v>
      </c>
      <c r="H61" s="71">
        <v>66.67</v>
      </c>
    </row>
    <row r="62" spans="1:8" x14ac:dyDescent="0.25">
      <c r="A62" s="68" t="s">
        <v>34</v>
      </c>
      <c r="B62" s="69">
        <v>7</v>
      </c>
      <c r="C62" s="69">
        <v>3</v>
      </c>
      <c r="D62" s="70"/>
      <c r="E62" s="70"/>
      <c r="F62" s="69">
        <v>10</v>
      </c>
      <c r="G62" s="71">
        <v>70</v>
      </c>
      <c r="H62" s="71">
        <v>70</v>
      </c>
    </row>
    <row r="63" spans="1:8" x14ac:dyDescent="0.25">
      <c r="A63" s="68" t="s">
        <v>35</v>
      </c>
      <c r="B63" s="69">
        <v>12</v>
      </c>
      <c r="C63" s="69">
        <v>36</v>
      </c>
      <c r="D63" s="70"/>
      <c r="E63" s="70"/>
      <c r="F63" s="69">
        <v>48</v>
      </c>
      <c r="G63" s="71">
        <v>25</v>
      </c>
      <c r="H63" s="71">
        <v>25</v>
      </c>
    </row>
    <row r="64" spans="1:8" x14ac:dyDescent="0.25">
      <c r="A64" s="68" t="s">
        <v>37</v>
      </c>
      <c r="B64" s="69">
        <v>21</v>
      </c>
      <c r="C64" s="69">
        <v>16</v>
      </c>
      <c r="D64" s="70"/>
      <c r="E64" s="70"/>
      <c r="F64" s="69">
        <v>37</v>
      </c>
      <c r="G64" s="71">
        <v>56.76</v>
      </c>
      <c r="H64" s="71">
        <v>56.76</v>
      </c>
    </row>
    <row r="65" spans="1:8" x14ac:dyDescent="0.25">
      <c r="A65" s="68" t="s">
        <v>38</v>
      </c>
      <c r="B65" s="69">
        <v>16</v>
      </c>
      <c r="C65" s="69">
        <v>11</v>
      </c>
      <c r="D65" s="70"/>
      <c r="E65" s="70"/>
      <c r="F65" s="69">
        <v>27</v>
      </c>
      <c r="G65" s="71">
        <v>59.26</v>
      </c>
      <c r="H65" s="71">
        <v>59.26</v>
      </c>
    </row>
    <row r="66" spans="1:8" x14ac:dyDescent="0.25">
      <c r="A66" s="68" t="s">
        <v>39</v>
      </c>
      <c r="B66" s="69">
        <v>6</v>
      </c>
      <c r="C66" s="69">
        <v>1</v>
      </c>
      <c r="D66" s="70"/>
      <c r="E66" s="70"/>
      <c r="F66" s="69">
        <v>7</v>
      </c>
      <c r="G66" s="71">
        <v>85.71</v>
      </c>
      <c r="H66" s="71">
        <v>85.71</v>
      </c>
    </row>
    <row r="67" spans="1:8" x14ac:dyDescent="0.25">
      <c r="A67" s="68" t="s">
        <v>40</v>
      </c>
      <c r="B67" s="69">
        <v>9</v>
      </c>
      <c r="C67" s="69">
        <v>8</v>
      </c>
      <c r="D67" s="70"/>
      <c r="E67" s="70"/>
      <c r="F67" s="69">
        <v>17</v>
      </c>
      <c r="G67" s="71">
        <v>52.94</v>
      </c>
      <c r="H67" s="71">
        <v>52.94</v>
      </c>
    </row>
    <row r="68" spans="1:8" x14ac:dyDescent="0.25">
      <c r="A68" s="68" t="s">
        <v>42</v>
      </c>
      <c r="B68" s="69">
        <v>3</v>
      </c>
      <c r="C68" s="69">
        <v>4</v>
      </c>
      <c r="D68" s="70"/>
      <c r="E68" s="69">
        <v>1</v>
      </c>
      <c r="F68" s="69">
        <v>8</v>
      </c>
      <c r="G68" s="71">
        <v>42.86</v>
      </c>
      <c r="H68" s="71">
        <v>37.5</v>
      </c>
    </row>
    <row r="69" spans="1:8" x14ac:dyDescent="0.25">
      <c r="A69" s="68" t="s">
        <v>43</v>
      </c>
      <c r="B69" s="69">
        <v>10</v>
      </c>
      <c r="C69" s="69">
        <v>6</v>
      </c>
      <c r="D69" s="70"/>
      <c r="E69" s="70"/>
      <c r="F69" s="69">
        <v>16</v>
      </c>
      <c r="G69" s="71">
        <v>62.5</v>
      </c>
      <c r="H69" s="71">
        <v>62.5</v>
      </c>
    </row>
    <row r="70" spans="1:8" x14ac:dyDescent="0.25">
      <c r="A70" s="68" t="s">
        <v>204</v>
      </c>
      <c r="B70" s="69">
        <v>0</v>
      </c>
      <c r="C70" s="69">
        <v>2</v>
      </c>
      <c r="D70" s="70"/>
      <c r="E70" s="69">
        <v>1</v>
      </c>
      <c r="F70" s="69">
        <v>3</v>
      </c>
      <c r="G70" s="70"/>
      <c r="H70" s="71">
        <v>0</v>
      </c>
    </row>
    <row r="71" spans="1:8" x14ac:dyDescent="0.25">
      <c r="A71" s="68" t="s">
        <v>205</v>
      </c>
      <c r="B71" s="69">
        <v>1</v>
      </c>
      <c r="C71" s="70"/>
      <c r="D71" s="70"/>
      <c r="E71" s="70"/>
      <c r="F71" s="69">
        <v>1</v>
      </c>
      <c r="G71" s="71">
        <v>100</v>
      </c>
      <c r="H71" s="71">
        <v>100</v>
      </c>
    </row>
    <row r="72" spans="1:8" x14ac:dyDescent="0.25">
      <c r="A72" s="68" t="s">
        <v>206</v>
      </c>
      <c r="B72" s="69">
        <v>0</v>
      </c>
      <c r="C72" s="70"/>
      <c r="D72" s="70"/>
      <c r="E72" s="69">
        <v>1</v>
      </c>
      <c r="F72" s="69">
        <v>1</v>
      </c>
      <c r="G72" s="70"/>
      <c r="H72" s="71">
        <v>0</v>
      </c>
    </row>
    <row r="73" spans="1:8" x14ac:dyDescent="0.25">
      <c r="A73" s="68" t="s">
        <v>46</v>
      </c>
      <c r="B73" s="69">
        <v>0</v>
      </c>
      <c r="C73" s="69">
        <v>2</v>
      </c>
      <c r="D73" s="70"/>
      <c r="E73" s="70"/>
      <c r="F73" s="69">
        <v>2</v>
      </c>
      <c r="G73" s="70"/>
      <c r="H73" s="71">
        <v>0</v>
      </c>
    </row>
    <row r="74" spans="1:8" x14ac:dyDescent="0.25">
      <c r="A74" s="68" t="s">
        <v>47</v>
      </c>
      <c r="B74" s="69">
        <v>78</v>
      </c>
      <c r="C74" s="69">
        <v>40</v>
      </c>
      <c r="D74" s="70"/>
      <c r="E74" s="69">
        <v>2</v>
      </c>
      <c r="F74" s="69">
        <v>120</v>
      </c>
      <c r="G74" s="71">
        <v>66.099999999999994</v>
      </c>
      <c r="H74" s="71">
        <v>65</v>
      </c>
    </row>
    <row r="75" spans="1:8" x14ac:dyDescent="0.25">
      <c r="A75" s="68" t="s">
        <v>48</v>
      </c>
      <c r="B75" s="69">
        <v>10</v>
      </c>
      <c r="C75" s="69">
        <v>1</v>
      </c>
      <c r="D75" s="70"/>
      <c r="E75" s="70"/>
      <c r="F75" s="69">
        <v>11</v>
      </c>
      <c r="G75" s="71">
        <v>90.91</v>
      </c>
      <c r="H75" s="71">
        <v>90.91</v>
      </c>
    </row>
    <row r="76" spans="1:8" x14ac:dyDescent="0.25">
      <c r="A76" s="68" t="s">
        <v>49</v>
      </c>
      <c r="B76" s="69">
        <v>28</v>
      </c>
      <c r="C76" s="69">
        <v>5</v>
      </c>
      <c r="D76" s="70"/>
      <c r="E76" s="70"/>
      <c r="F76" s="69">
        <v>33</v>
      </c>
      <c r="G76" s="71">
        <v>84.85</v>
      </c>
      <c r="H76" s="71">
        <v>84.85</v>
      </c>
    </row>
    <row r="77" spans="1:8" x14ac:dyDescent="0.25">
      <c r="A77" s="68" t="s">
        <v>50</v>
      </c>
      <c r="B77" s="69">
        <v>1</v>
      </c>
      <c r="C77" s="70"/>
      <c r="D77" s="70"/>
      <c r="E77" s="70"/>
      <c r="F77" s="69">
        <v>1</v>
      </c>
      <c r="G77" s="71">
        <v>100</v>
      </c>
      <c r="H77" s="71">
        <v>100</v>
      </c>
    </row>
    <row r="78" spans="1:8" x14ac:dyDescent="0.25">
      <c r="A78" s="68" t="s">
        <v>51</v>
      </c>
      <c r="B78" s="69">
        <v>7</v>
      </c>
      <c r="C78" s="69">
        <v>9</v>
      </c>
      <c r="D78" s="70"/>
      <c r="E78" s="70"/>
      <c r="F78" s="69">
        <v>16</v>
      </c>
      <c r="G78" s="71">
        <v>43.75</v>
      </c>
      <c r="H78" s="71">
        <v>43.75</v>
      </c>
    </row>
    <row r="79" spans="1:8" x14ac:dyDescent="0.25">
      <c r="A79" s="68" t="s">
        <v>52</v>
      </c>
      <c r="B79" s="69">
        <v>7</v>
      </c>
      <c r="C79" s="69">
        <v>2</v>
      </c>
      <c r="D79" s="70"/>
      <c r="E79" s="70"/>
      <c r="F79" s="69">
        <v>9</v>
      </c>
      <c r="G79" s="71">
        <v>77.78</v>
      </c>
      <c r="H79" s="71">
        <v>77.78</v>
      </c>
    </row>
    <row r="80" spans="1:8" x14ac:dyDescent="0.25">
      <c r="A80" s="68" t="s">
        <v>53</v>
      </c>
      <c r="B80" s="69">
        <v>23</v>
      </c>
      <c r="C80" s="69">
        <v>14</v>
      </c>
      <c r="D80" s="70"/>
      <c r="E80" s="69">
        <v>1</v>
      </c>
      <c r="F80" s="69">
        <v>38</v>
      </c>
      <c r="G80" s="71">
        <v>62.16</v>
      </c>
      <c r="H80" s="71">
        <v>60.53</v>
      </c>
    </row>
    <row r="81" spans="1:8" x14ac:dyDescent="0.25">
      <c r="A81" s="68" t="s">
        <v>55</v>
      </c>
      <c r="B81" s="69">
        <v>6</v>
      </c>
      <c r="C81" s="69">
        <v>4</v>
      </c>
      <c r="D81" s="70"/>
      <c r="E81" s="70"/>
      <c r="F81" s="69">
        <v>10</v>
      </c>
      <c r="G81" s="71">
        <v>60</v>
      </c>
      <c r="H81" s="71">
        <v>60</v>
      </c>
    </row>
    <row r="82" spans="1:8" x14ac:dyDescent="0.25">
      <c r="A82" s="68" t="s">
        <v>56</v>
      </c>
      <c r="B82" s="69">
        <v>75</v>
      </c>
      <c r="C82" s="69">
        <v>21</v>
      </c>
      <c r="D82" s="70"/>
      <c r="E82" s="69">
        <v>3</v>
      </c>
      <c r="F82" s="69">
        <v>99</v>
      </c>
      <c r="G82" s="71">
        <v>78.13</v>
      </c>
      <c r="H82" s="71">
        <v>75.760000000000005</v>
      </c>
    </row>
    <row r="83" spans="1:8" x14ac:dyDescent="0.25">
      <c r="A83" s="68" t="s">
        <v>57</v>
      </c>
      <c r="B83" s="69">
        <v>33</v>
      </c>
      <c r="C83" s="69">
        <v>26</v>
      </c>
      <c r="D83" s="70"/>
      <c r="E83" s="70"/>
      <c r="F83" s="69">
        <v>59</v>
      </c>
      <c r="G83" s="71">
        <v>55.93</v>
      </c>
      <c r="H83" s="71">
        <v>55.93</v>
      </c>
    </row>
    <row r="84" spans="1:8" x14ac:dyDescent="0.25">
      <c r="A84" s="68" t="s">
        <v>58</v>
      </c>
      <c r="B84" s="69">
        <v>5</v>
      </c>
      <c r="C84" s="69">
        <v>3</v>
      </c>
      <c r="D84" s="70"/>
      <c r="E84" s="70"/>
      <c r="F84" s="69">
        <v>8</v>
      </c>
      <c r="G84" s="71">
        <v>62.5</v>
      </c>
      <c r="H84" s="71">
        <v>62.5</v>
      </c>
    </row>
    <row r="85" spans="1:8" x14ac:dyDescent="0.25">
      <c r="A85" s="68" t="s">
        <v>59</v>
      </c>
      <c r="B85" s="69">
        <v>22</v>
      </c>
      <c r="C85" s="69">
        <v>25</v>
      </c>
      <c r="D85" s="70"/>
      <c r="E85" s="70"/>
      <c r="F85" s="69">
        <v>47</v>
      </c>
      <c r="G85" s="71">
        <v>46.81</v>
      </c>
      <c r="H85" s="71">
        <v>46.81</v>
      </c>
    </row>
    <row r="86" spans="1:8" x14ac:dyDescent="0.25">
      <c r="A86" s="68" t="s">
        <v>60</v>
      </c>
      <c r="B86" s="69">
        <v>5</v>
      </c>
      <c r="C86" s="69">
        <v>1</v>
      </c>
      <c r="D86" s="70"/>
      <c r="E86" s="70"/>
      <c r="F86" s="69">
        <v>6</v>
      </c>
      <c r="G86" s="71">
        <v>83.33</v>
      </c>
      <c r="H86" s="71">
        <v>83.33</v>
      </c>
    </row>
    <row r="87" spans="1:8" x14ac:dyDescent="0.25">
      <c r="A87" s="68" t="s">
        <v>61</v>
      </c>
      <c r="B87" s="69">
        <v>0</v>
      </c>
      <c r="C87" s="69">
        <v>3</v>
      </c>
      <c r="D87" s="70"/>
      <c r="E87" s="70"/>
      <c r="F87" s="69">
        <v>3</v>
      </c>
      <c r="G87" s="70"/>
      <c r="H87" s="71">
        <v>0</v>
      </c>
    </row>
    <row r="88" spans="1:8" x14ac:dyDescent="0.25">
      <c r="A88" s="68" t="s">
        <v>62</v>
      </c>
      <c r="B88" s="69">
        <v>0</v>
      </c>
      <c r="C88" s="69">
        <v>2</v>
      </c>
      <c r="D88" s="70"/>
      <c r="E88" s="70"/>
      <c r="F88" s="69">
        <v>2</v>
      </c>
      <c r="G88" s="70"/>
      <c r="H88" s="71">
        <v>0</v>
      </c>
    </row>
    <row r="89" spans="1:8" x14ac:dyDescent="0.25">
      <c r="A89" s="68" t="s">
        <v>63</v>
      </c>
      <c r="B89" s="69">
        <v>42</v>
      </c>
      <c r="C89" s="69">
        <v>11</v>
      </c>
      <c r="D89" s="70"/>
      <c r="E89" s="70"/>
      <c r="F89" s="69">
        <v>53</v>
      </c>
      <c r="G89" s="71">
        <v>79.25</v>
      </c>
      <c r="H89" s="71">
        <v>79.25</v>
      </c>
    </row>
    <row r="90" spans="1:8" x14ac:dyDescent="0.25">
      <c r="A90" s="68" t="s">
        <v>64</v>
      </c>
      <c r="B90" s="69">
        <v>10</v>
      </c>
      <c r="C90" s="69">
        <v>11</v>
      </c>
      <c r="D90" s="70"/>
      <c r="E90" s="70"/>
      <c r="F90" s="69">
        <v>21</v>
      </c>
      <c r="G90" s="71">
        <v>47.62</v>
      </c>
      <c r="H90" s="71">
        <v>47.62</v>
      </c>
    </row>
    <row r="91" spans="1:8" x14ac:dyDescent="0.25">
      <c r="A91" s="68" t="s">
        <v>66</v>
      </c>
      <c r="B91" s="69">
        <v>53</v>
      </c>
      <c r="C91" s="69">
        <v>18</v>
      </c>
      <c r="D91" s="70"/>
      <c r="E91" s="69">
        <v>1</v>
      </c>
      <c r="F91" s="69">
        <v>72</v>
      </c>
      <c r="G91" s="71">
        <v>74.650000000000006</v>
      </c>
      <c r="H91" s="71">
        <v>73.61</v>
      </c>
    </row>
    <row r="92" spans="1:8" x14ac:dyDescent="0.25">
      <c r="A92" s="68" t="s">
        <v>67</v>
      </c>
      <c r="B92" s="69">
        <v>16</v>
      </c>
      <c r="C92" s="69">
        <v>11</v>
      </c>
      <c r="D92" s="70"/>
      <c r="E92" s="70"/>
      <c r="F92" s="69">
        <v>27</v>
      </c>
      <c r="G92" s="71">
        <v>59.26</v>
      </c>
      <c r="H92" s="71">
        <v>59.26</v>
      </c>
    </row>
    <row r="93" spans="1:8" x14ac:dyDescent="0.25">
      <c r="A93" s="68" t="s">
        <v>69</v>
      </c>
      <c r="B93" s="69">
        <v>29</v>
      </c>
      <c r="C93" s="69">
        <v>29</v>
      </c>
      <c r="D93" s="70"/>
      <c r="E93" s="70"/>
      <c r="F93" s="69">
        <v>58</v>
      </c>
      <c r="G93" s="71">
        <v>50</v>
      </c>
      <c r="H93" s="71">
        <v>50</v>
      </c>
    </row>
    <row r="94" spans="1:8" x14ac:dyDescent="0.25">
      <c r="A94" s="68" t="s">
        <v>70</v>
      </c>
      <c r="B94" s="69">
        <v>96</v>
      </c>
      <c r="C94" s="69">
        <v>23</v>
      </c>
      <c r="D94" s="70"/>
      <c r="E94" s="70"/>
      <c r="F94" s="69">
        <v>119</v>
      </c>
      <c r="G94" s="71">
        <v>80.67</v>
      </c>
      <c r="H94" s="71">
        <v>80.67</v>
      </c>
    </row>
    <row r="95" spans="1:8" x14ac:dyDescent="0.25">
      <c r="A95" s="68" t="s">
        <v>71</v>
      </c>
      <c r="B95" s="69">
        <v>0</v>
      </c>
      <c r="C95" s="69">
        <v>5</v>
      </c>
      <c r="D95" s="70"/>
      <c r="E95" s="70"/>
      <c r="F95" s="69">
        <v>5</v>
      </c>
      <c r="G95" s="70"/>
      <c r="H95" s="71">
        <v>0</v>
      </c>
    </row>
    <row r="96" spans="1:8" x14ac:dyDescent="0.25">
      <c r="A96" s="68" t="s">
        <v>72</v>
      </c>
      <c r="B96" s="69">
        <v>0</v>
      </c>
      <c r="C96" s="69">
        <v>4</v>
      </c>
      <c r="D96" s="70"/>
      <c r="E96" s="69">
        <v>1</v>
      </c>
      <c r="F96" s="69">
        <v>5</v>
      </c>
      <c r="G96" s="70"/>
      <c r="H96" s="71">
        <v>0</v>
      </c>
    </row>
    <row r="97" spans="1:8" x14ac:dyDescent="0.25">
      <c r="A97" s="68" t="s">
        <v>73</v>
      </c>
      <c r="B97" s="69">
        <v>0</v>
      </c>
      <c r="C97" s="69">
        <v>5</v>
      </c>
      <c r="D97" s="70"/>
      <c r="E97" s="70"/>
      <c r="F97" s="69">
        <v>5</v>
      </c>
      <c r="G97" s="70"/>
      <c r="H97" s="71">
        <v>0</v>
      </c>
    </row>
    <row r="98" spans="1:8" x14ac:dyDescent="0.25">
      <c r="A98" s="68" t="s">
        <v>74</v>
      </c>
      <c r="B98" s="69">
        <v>0</v>
      </c>
      <c r="C98" s="69">
        <v>3</v>
      </c>
      <c r="D98" s="70"/>
      <c r="E98" s="69">
        <v>2</v>
      </c>
      <c r="F98" s="69">
        <v>5</v>
      </c>
      <c r="G98" s="70"/>
      <c r="H98" s="71">
        <v>0</v>
      </c>
    </row>
    <row r="99" spans="1:8" x14ac:dyDescent="0.25">
      <c r="A99" s="68" t="s">
        <v>75</v>
      </c>
      <c r="B99" s="69">
        <v>10</v>
      </c>
      <c r="C99" s="69">
        <v>29</v>
      </c>
      <c r="D99" s="70"/>
      <c r="E99" s="69">
        <v>2</v>
      </c>
      <c r="F99" s="69">
        <v>41</v>
      </c>
      <c r="G99" s="71">
        <v>25.64</v>
      </c>
      <c r="H99" s="71">
        <v>24.39</v>
      </c>
    </row>
    <row r="100" spans="1:8" x14ac:dyDescent="0.25">
      <c r="A100" s="68" t="s">
        <v>77</v>
      </c>
      <c r="B100" s="69">
        <v>26</v>
      </c>
      <c r="C100" s="69">
        <v>17</v>
      </c>
      <c r="D100" s="70"/>
      <c r="E100" s="70"/>
      <c r="F100" s="69">
        <v>43</v>
      </c>
      <c r="G100" s="71">
        <v>60.47</v>
      </c>
      <c r="H100" s="71">
        <v>60.47</v>
      </c>
    </row>
    <row r="101" spans="1:8" x14ac:dyDescent="0.25">
      <c r="A101" s="68" t="s">
        <v>78</v>
      </c>
      <c r="B101" s="69">
        <v>29</v>
      </c>
      <c r="C101" s="69">
        <v>3</v>
      </c>
      <c r="D101" s="70"/>
      <c r="E101" s="70"/>
      <c r="F101" s="69">
        <v>32</v>
      </c>
      <c r="G101" s="71">
        <v>90.63</v>
      </c>
      <c r="H101" s="71">
        <v>90.63</v>
      </c>
    </row>
    <row r="102" spans="1:8" x14ac:dyDescent="0.25">
      <c r="A102" s="68" t="s">
        <v>79</v>
      </c>
      <c r="B102" s="69">
        <v>12</v>
      </c>
      <c r="C102" s="69">
        <v>3</v>
      </c>
      <c r="D102" s="70"/>
      <c r="E102" s="70"/>
      <c r="F102" s="69">
        <v>15</v>
      </c>
      <c r="G102" s="71">
        <v>80</v>
      </c>
      <c r="H102" s="71">
        <v>80</v>
      </c>
    </row>
    <row r="103" spans="1:8" x14ac:dyDescent="0.25">
      <c r="A103" s="68" t="s">
        <v>80</v>
      </c>
      <c r="B103" s="69">
        <v>26</v>
      </c>
      <c r="C103" s="69">
        <v>2</v>
      </c>
      <c r="D103" s="70"/>
      <c r="E103" s="70"/>
      <c r="F103" s="69">
        <v>28</v>
      </c>
      <c r="G103" s="71">
        <v>92.86</v>
      </c>
      <c r="H103" s="71">
        <v>92.86</v>
      </c>
    </row>
    <row r="104" spans="1:8" x14ac:dyDescent="0.25">
      <c r="A104" s="68" t="s">
        <v>82</v>
      </c>
      <c r="B104" s="69">
        <v>32</v>
      </c>
      <c r="C104" s="69">
        <v>15</v>
      </c>
      <c r="D104" s="70"/>
      <c r="E104" s="70"/>
      <c r="F104" s="69">
        <v>47</v>
      </c>
      <c r="G104" s="71">
        <v>68.09</v>
      </c>
      <c r="H104" s="71">
        <v>68.09</v>
      </c>
    </row>
    <row r="105" spans="1:8" x14ac:dyDescent="0.25">
      <c r="A105" s="68" t="s">
        <v>83</v>
      </c>
      <c r="B105" s="69">
        <v>16</v>
      </c>
      <c r="C105" s="69">
        <v>13</v>
      </c>
      <c r="D105" s="70"/>
      <c r="E105" s="70"/>
      <c r="F105" s="69">
        <v>29</v>
      </c>
      <c r="G105" s="71">
        <v>55.17</v>
      </c>
      <c r="H105" s="71">
        <v>55.17</v>
      </c>
    </row>
    <row r="106" spans="1:8" x14ac:dyDescent="0.25">
      <c r="A106" s="68" t="s">
        <v>84</v>
      </c>
      <c r="B106" s="69">
        <v>3</v>
      </c>
      <c r="C106" s="69">
        <v>2</v>
      </c>
      <c r="D106" s="70"/>
      <c r="E106" s="69">
        <v>2</v>
      </c>
      <c r="F106" s="69">
        <v>7</v>
      </c>
      <c r="G106" s="71">
        <v>60</v>
      </c>
      <c r="H106" s="71">
        <v>42.86</v>
      </c>
    </row>
    <row r="107" spans="1:8" x14ac:dyDescent="0.25">
      <c r="A107" s="68" t="s">
        <v>85</v>
      </c>
      <c r="B107" s="69">
        <v>0</v>
      </c>
      <c r="C107" s="69">
        <v>1</v>
      </c>
      <c r="D107" s="70"/>
      <c r="E107" s="70"/>
      <c r="F107" s="69">
        <v>1</v>
      </c>
      <c r="G107" s="70"/>
      <c r="H107" s="71">
        <v>0</v>
      </c>
    </row>
    <row r="108" spans="1:8" x14ac:dyDescent="0.25">
      <c r="A108" s="68" t="s">
        <v>86</v>
      </c>
      <c r="B108" s="69">
        <v>37</v>
      </c>
      <c r="C108" s="69">
        <v>35</v>
      </c>
      <c r="D108" s="70"/>
      <c r="E108" s="70"/>
      <c r="F108" s="69">
        <v>72</v>
      </c>
      <c r="G108" s="71">
        <v>51.39</v>
      </c>
      <c r="H108" s="71">
        <v>51.39</v>
      </c>
    </row>
    <row r="109" spans="1:8" x14ac:dyDescent="0.25">
      <c r="A109" s="68" t="s">
        <v>87</v>
      </c>
      <c r="B109" s="69">
        <v>7</v>
      </c>
      <c r="C109" s="69">
        <v>6</v>
      </c>
      <c r="D109" s="70"/>
      <c r="E109" s="70"/>
      <c r="F109" s="69">
        <v>13</v>
      </c>
      <c r="G109" s="71">
        <v>53.85</v>
      </c>
      <c r="H109" s="71">
        <v>53.85</v>
      </c>
    </row>
    <row r="110" spans="1:8" x14ac:dyDescent="0.25">
      <c r="A110" s="68" t="s">
        <v>88</v>
      </c>
      <c r="B110" s="69">
        <v>2</v>
      </c>
      <c r="C110" s="69">
        <v>2</v>
      </c>
      <c r="D110" s="70"/>
      <c r="E110" s="70"/>
      <c r="F110" s="69">
        <v>4</v>
      </c>
      <c r="G110" s="71">
        <v>50</v>
      </c>
      <c r="H110" s="71">
        <v>50</v>
      </c>
    </row>
    <row r="111" spans="1:8" x14ac:dyDescent="0.25">
      <c r="A111" s="68" t="s">
        <v>89</v>
      </c>
      <c r="B111" s="69">
        <v>25</v>
      </c>
      <c r="C111" s="69">
        <v>9</v>
      </c>
      <c r="D111" s="70"/>
      <c r="E111" s="69">
        <v>2</v>
      </c>
      <c r="F111" s="69">
        <v>36</v>
      </c>
      <c r="G111" s="71">
        <v>73.53</v>
      </c>
      <c r="H111" s="71">
        <v>69.44</v>
      </c>
    </row>
    <row r="112" spans="1:8" x14ac:dyDescent="0.25">
      <c r="A112" s="68" t="s">
        <v>90</v>
      </c>
      <c r="B112" s="69">
        <v>42</v>
      </c>
      <c r="C112" s="69">
        <v>34</v>
      </c>
      <c r="D112" s="70"/>
      <c r="E112" s="69">
        <v>2</v>
      </c>
      <c r="F112" s="69">
        <v>78</v>
      </c>
      <c r="G112" s="71">
        <v>55.26</v>
      </c>
      <c r="H112" s="71">
        <v>53.85</v>
      </c>
    </row>
    <row r="113" spans="1:8" x14ac:dyDescent="0.25">
      <c r="A113" s="68" t="s">
        <v>91</v>
      </c>
      <c r="B113" s="69">
        <v>9</v>
      </c>
      <c r="C113" s="69">
        <v>3</v>
      </c>
      <c r="D113" s="70"/>
      <c r="E113" s="69">
        <v>1</v>
      </c>
      <c r="F113" s="69">
        <v>13</v>
      </c>
      <c r="G113" s="71">
        <v>75</v>
      </c>
      <c r="H113" s="71">
        <v>69.23</v>
      </c>
    </row>
    <row r="114" spans="1:8" x14ac:dyDescent="0.25">
      <c r="A114" s="68" t="s">
        <v>92</v>
      </c>
      <c r="B114" s="69">
        <v>4</v>
      </c>
      <c r="C114" s="69">
        <v>1</v>
      </c>
      <c r="D114" s="70"/>
      <c r="E114" s="70"/>
      <c r="F114" s="69">
        <v>5</v>
      </c>
      <c r="G114" s="71">
        <v>80</v>
      </c>
      <c r="H114" s="71">
        <v>80</v>
      </c>
    </row>
    <row r="115" spans="1:8" x14ac:dyDescent="0.25">
      <c r="A115" s="68" t="s">
        <v>93</v>
      </c>
      <c r="B115" s="69">
        <v>34</v>
      </c>
      <c r="C115" s="69">
        <v>28</v>
      </c>
      <c r="D115" s="70"/>
      <c r="E115" s="70"/>
      <c r="F115" s="69">
        <v>62</v>
      </c>
      <c r="G115" s="71">
        <v>54.84</v>
      </c>
      <c r="H115" s="71">
        <v>54.84</v>
      </c>
    </row>
    <row r="116" spans="1:8" x14ac:dyDescent="0.25">
      <c r="A116" s="68" t="s">
        <v>94</v>
      </c>
      <c r="B116" s="69">
        <v>1</v>
      </c>
      <c r="C116" s="69">
        <v>4</v>
      </c>
      <c r="D116" s="70"/>
      <c r="E116" s="69">
        <v>1</v>
      </c>
      <c r="F116" s="69">
        <v>6</v>
      </c>
      <c r="G116" s="71">
        <v>20</v>
      </c>
      <c r="H116" s="71">
        <v>16.670000000000002</v>
      </c>
    </row>
    <row r="117" spans="1:8" x14ac:dyDescent="0.25">
      <c r="A117" s="68" t="s">
        <v>95</v>
      </c>
      <c r="B117" s="69">
        <v>4</v>
      </c>
      <c r="C117" s="69">
        <v>3</v>
      </c>
      <c r="D117" s="70"/>
      <c r="E117" s="69">
        <v>1</v>
      </c>
      <c r="F117" s="69">
        <v>8</v>
      </c>
      <c r="G117" s="71">
        <v>57.14</v>
      </c>
      <c r="H117" s="71">
        <v>50</v>
      </c>
    </row>
    <row r="118" spans="1:8" x14ac:dyDescent="0.25">
      <c r="A118" s="68" t="s">
        <v>96</v>
      </c>
      <c r="B118" s="69">
        <v>0</v>
      </c>
      <c r="C118" s="69">
        <v>3</v>
      </c>
      <c r="D118" s="70"/>
      <c r="E118" s="69">
        <v>1</v>
      </c>
      <c r="F118" s="69">
        <v>4</v>
      </c>
      <c r="G118" s="70"/>
      <c r="H118" s="71">
        <v>0</v>
      </c>
    </row>
    <row r="119" spans="1:8" x14ac:dyDescent="0.25">
      <c r="A119" s="68" t="s">
        <v>97</v>
      </c>
      <c r="B119" s="69">
        <v>0</v>
      </c>
      <c r="C119" s="69">
        <v>2</v>
      </c>
      <c r="D119" s="70"/>
      <c r="E119" s="70"/>
      <c r="F119" s="69">
        <v>2</v>
      </c>
      <c r="G119" s="70"/>
      <c r="H119" s="71">
        <v>0</v>
      </c>
    </row>
    <row r="120" spans="1:8" x14ac:dyDescent="0.25">
      <c r="A120" s="68" t="s">
        <v>98</v>
      </c>
      <c r="B120" s="69">
        <v>8</v>
      </c>
      <c r="C120" s="69">
        <v>12</v>
      </c>
      <c r="D120" s="70"/>
      <c r="E120" s="70"/>
      <c r="F120" s="69">
        <v>20</v>
      </c>
      <c r="G120" s="71">
        <v>40</v>
      </c>
      <c r="H120" s="71">
        <v>40</v>
      </c>
    </row>
    <row r="121" spans="1:8" x14ac:dyDescent="0.25">
      <c r="A121" s="68" t="s">
        <v>99</v>
      </c>
      <c r="B121" s="69">
        <v>8</v>
      </c>
      <c r="C121" s="69">
        <v>8</v>
      </c>
      <c r="D121" s="70"/>
      <c r="E121" s="70"/>
      <c r="F121" s="69">
        <v>16</v>
      </c>
      <c r="G121" s="71">
        <v>50</v>
      </c>
      <c r="H121" s="71">
        <v>50</v>
      </c>
    </row>
    <row r="122" spans="1:8" x14ac:dyDescent="0.25">
      <c r="A122" s="68" t="s">
        <v>100</v>
      </c>
      <c r="B122" s="69">
        <v>13</v>
      </c>
      <c r="C122" s="69">
        <v>3</v>
      </c>
      <c r="D122" s="70"/>
      <c r="E122" s="70"/>
      <c r="F122" s="69">
        <v>16</v>
      </c>
      <c r="G122" s="71">
        <v>81.25</v>
      </c>
      <c r="H122" s="71">
        <v>81.25</v>
      </c>
    </row>
    <row r="123" spans="1:8" x14ac:dyDescent="0.25">
      <c r="A123" s="68" t="s">
        <v>101</v>
      </c>
      <c r="B123" s="69">
        <v>13</v>
      </c>
      <c r="C123" s="69">
        <v>9</v>
      </c>
      <c r="D123" s="70"/>
      <c r="E123" s="70"/>
      <c r="F123" s="69">
        <v>22</v>
      </c>
      <c r="G123" s="71">
        <v>59.09</v>
      </c>
      <c r="H123" s="71">
        <v>59.09</v>
      </c>
    </row>
    <row r="124" spans="1:8" x14ac:dyDescent="0.25">
      <c r="A124" s="68" t="s">
        <v>102</v>
      </c>
      <c r="B124" s="69">
        <v>15</v>
      </c>
      <c r="C124" s="69">
        <v>12</v>
      </c>
      <c r="D124" s="70"/>
      <c r="E124" s="70"/>
      <c r="F124" s="69">
        <v>27</v>
      </c>
      <c r="G124" s="71">
        <v>55.56</v>
      </c>
      <c r="H124" s="71">
        <v>55.56</v>
      </c>
    </row>
    <row r="125" spans="1:8" x14ac:dyDescent="0.25">
      <c r="A125" s="68" t="s">
        <v>103</v>
      </c>
      <c r="B125" s="69">
        <v>20</v>
      </c>
      <c r="C125" s="69">
        <v>10</v>
      </c>
      <c r="D125" s="70"/>
      <c r="E125" s="70"/>
      <c r="F125" s="69">
        <v>30</v>
      </c>
      <c r="G125" s="71">
        <v>66.67</v>
      </c>
      <c r="H125" s="71">
        <v>66.67</v>
      </c>
    </row>
    <row r="126" spans="1:8" x14ac:dyDescent="0.25">
      <c r="A126" s="68" t="s">
        <v>104</v>
      </c>
      <c r="B126" s="69">
        <v>41</v>
      </c>
      <c r="C126" s="69">
        <v>29</v>
      </c>
      <c r="D126" s="70"/>
      <c r="E126" s="69">
        <v>1</v>
      </c>
      <c r="F126" s="69">
        <v>71</v>
      </c>
      <c r="G126" s="71">
        <v>58.57</v>
      </c>
      <c r="H126" s="71">
        <v>57.75</v>
      </c>
    </row>
    <row r="127" spans="1:8" x14ac:dyDescent="0.25">
      <c r="A127" s="68" t="s">
        <v>105</v>
      </c>
      <c r="B127" s="69">
        <v>4</v>
      </c>
      <c r="C127" s="69">
        <v>1</v>
      </c>
      <c r="D127" s="70"/>
      <c r="E127" s="70"/>
      <c r="F127" s="69">
        <v>5</v>
      </c>
      <c r="G127" s="71">
        <v>80</v>
      </c>
      <c r="H127" s="71">
        <v>80</v>
      </c>
    </row>
    <row r="128" spans="1:8" x14ac:dyDescent="0.25">
      <c r="A128" s="68" t="s">
        <v>106</v>
      </c>
      <c r="B128" s="69">
        <v>54</v>
      </c>
      <c r="C128" s="69">
        <v>15</v>
      </c>
      <c r="D128" s="70"/>
      <c r="E128" s="69">
        <v>1</v>
      </c>
      <c r="F128" s="69">
        <v>70</v>
      </c>
      <c r="G128" s="71">
        <v>78.260000000000005</v>
      </c>
      <c r="H128" s="71">
        <v>77.14</v>
      </c>
    </row>
    <row r="129" spans="1:8" x14ac:dyDescent="0.25">
      <c r="A129" s="68" t="s">
        <v>114</v>
      </c>
      <c r="B129" s="69">
        <v>11</v>
      </c>
      <c r="C129" s="69">
        <v>5</v>
      </c>
      <c r="D129" s="70"/>
      <c r="E129" s="69">
        <v>1</v>
      </c>
      <c r="F129" s="69">
        <v>17</v>
      </c>
      <c r="G129" s="71">
        <v>68.75</v>
      </c>
      <c r="H129" s="71">
        <v>64.709999999999994</v>
      </c>
    </row>
    <row r="130" spans="1:8" x14ac:dyDescent="0.25">
      <c r="A130" s="68" t="s">
        <v>208</v>
      </c>
      <c r="B130" s="69">
        <v>0</v>
      </c>
      <c r="C130" s="69">
        <v>2</v>
      </c>
      <c r="D130" s="70"/>
      <c r="E130" s="70"/>
      <c r="F130" s="69">
        <v>2</v>
      </c>
      <c r="G130" s="70"/>
      <c r="H130" s="71">
        <v>0</v>
      </c>
    </row>
    <row r="131" spans="1:8" x14ac:dyDescent="0.25">
      <c r="A131" s="68" t="s">
        <v>209</v>
      </c>
      <c r="B131" s="69">
        <v>10</v>
      </c>
      <c r="C131" s="69">
        <v>6</v>
      </c>
      <c r="D131" s="70"/>
      <c r="E131" s="69">
        <v>3</v>
      </c>
      <c r="F131" s="69">
        <v>19</v>
      </c>
      <c r="G131" s="71">
        <v>62.5</v>
      </c>
      <c r="H131" s="71">
        <v>52.63</v>
      </c>
    </row>
    <row r="132" spans="1:8" x14ac:dyDescent="0.25">
      <c r="A132" s="68" t="s">
        <v>211</v>
      </c>
      <c r="B132" s="69">
        <v>1</v>
      </c>
      <c r="C132" s="70"/>
      <c r="D132" s="70"/>
      <c r="E132" s="70"/>
      <c r="F132" s="69">
        <v>1</v>
      </c>
      <c r="G132" s="71">
        <v>100</v>
      </c>
      <c r="H132" s="71">
        <v>100</v>
      </c>
    </row>
    <row r="133" spans="1:8" x14ac:dyDescent="0.25">
      <c r="A133" s="68" t="s">
        <v>210</v>
      </c>
      <c r="B133" s="69">
        <v>1</v>
      </c>
      <c r="C133" s="70"/>
      <c r="D133" s="70"/>
      <c r="E133" s="70"/>
      <c r="F133" s="69">
        <v>1</v>
      </c>
      <c r="G133" s="71">
        <v>100</v>
      </c>
      <c r="H133" s="71">
        <v>100</v>
      </c>
    </row>
    <row r="134" spans="1:8" x14ac:dyDescent="0.25">
      <c r="A134" s="72" t="s">
        <v>1</v>
      </c>
      <c r="B134" s="73">
        <v>2040</v>
      </c>
      <c r="C134" s="73">
        <v>1081</v>
      </c>
      <c r="D134" s="74">
        <v>1</v>
      </c>
      <c r="E134" s="74">
        <v>64</v>
      </c>
      <c r="F134" s="73">
        <v>3186</v>
      </c>
      <c r="G134" s="75">
        <v>65.34</v>
      </c>
      <c r="H134" s="75">
        <v>64.03</v>
      </c>
    </row>
    <row r="135" spans="1:8" x14ac:dyDescent="0.25">
      <c r="A135" s="76"/>
      <c r="B135" s="76"/>
      <c r="C135" s="76"/>
      <c r="D135" s="76"/>
      <c r="E135" s="76"/>
      <c r="F135" s="76"/>
      <c r="G135" s="76"/>
      <c r="H135" s="76"/>
    </row>
    <row r="136" spans="1:8" x14ac:dyDescent="0.25">
      <c r="A136" s="76"/>
      <c r="B136" s="76"/>
      <c r="C136" s="76"/>
      <c r="D136" s="76"/>
      <c r="E136" s="76"/>
      <c r="F136" s="76"/>
      <c r="G136" s="76"/>
      <c r="H136" s="76"/>
    </row>
    <row r="137" spans="1:8" x14ac:dyDescent="0.25">
      <c r="A137" s="76"/>
      <c r="B137" s="76"/>
      <c r="C137" s="76"/>
      <c r="D137" s="76"/>
      <c r="E137" s="76"/>
      <c r="F137" s="76"/>
      <c r="G137" s="76"/>
      <c r="H137" s="76"/>
    </row>
    <row r="138" spans="1:8" x14ac:dyDescent="0.25">
      <c r="A138" s="76"/>
      <c r="B138" s="76"/>
      <c r="C138" s="76"/>
      <c r="D138" s="76"/>
      <c r="E138" s="76"/>
      <c r="F138" s="76"/>
      <c r="G138" s="76"/>
      <c r="H138" s="76"/>
    </row>
    <row r="139" spans="1:8" x14ac:dyDescent="0.25">
      <c r="A139" s="76"/>
      <c r="B139" s="76"/>
      <c r="C139" s="76"/>
      <c r="D139" s="76"/>
      <c r="E139" s="76"/>
      <c r="F139" s="76"/>
      <c r="G139" s="76"/>
      <c r="H139" s="76"/>
    </row>
    <row r="140" spans="1:8" x14ac:dyDescent="0.25">
      <c r="A140" s="76"/>
      <c r="B140" s="76"/>
      <c r="C140" s="76"/>
      <c r="D140" s="76"/>
      <c r="E140" s="76"/>
      <c r="F140" s="76"/>
      <c r="G140" s="76"/>
      <c r="H140" s="76"/>
    </row>
    <row r="141" spans="1:8" x14ac:dyDescent="0.25">
      <c r="A141" s="76"/>
      <c r="B141" s="76"/>
      <c r="C141" s="76"/>
      <c r="D141" s="76"/>
      <c r="E141" s="76"/>
      <c r="F141" s="76"/>
      <c r="G141" s="76"/>
      <c r="H141" s="76"/>
    </row>
    <row r="142" spans="1:8" x14ac:dyDescent="0.25">
      <c r="A142" s="76"/>
      <c r="B142" s="76"/>
      <c r="C142" s="76"/>
      <c r="D142" s="76"/>
      <c r="E142" s="76"/>
      <c r="F142" s="76"/>
      <c r="G142" s="76"/>
      <c r="H142" s="76"/>
    </row>
    <row r="143" spans="1:8" x14ac:dyDescent="0.25">
      <c r="A143" s="76"/>
      <c r="B143" s="76"/>
      <c r="C143" s="76"/>
      <c r="D143" s="76"/>
      <c r="E143" s="76"/>
      <c r="F143" s="76"/>
      <c r="G143" s="76"/>
      <c r="H143" s="76"/>
    </row>
    <row r="144" spans="1:8" x14ac:dyDescent="0.25">
      <c r="A144" s="76"/>
      <c r="B144" s="76"/>
      <c r="C144" s="76"/>
      <c r="D144" s="76"/>
      <c r="E144" s="76"/>
      <c r="F144" s="76"/>
      <c r="G144" s="76"/>
      <c r="H144" s="76"/>
    </row>
    <row r="145" spans="1:8" x14ac:dyDescent="0.25">
      <c r="A145" s="76"/>
      <c r="B145" s="76"/>
      <c r="C145" s="76"/>
      <c r="D145" s="76"/>
      <c r="E145" s="76"/>
      <c r="F145" s="76"/>
      <c r="G145" s="76"/>
      <c r="H145" s="76"/>
    </row>
    <row r="146" spans="1:8" x14ac:dyDescent="0.25">
      <c r="A146" s="76"/>
      <c r="B146" s="76"/>
      <c r="C146" s="76"/>
      <c r="D146" s="76"/>
      <c r="E146" s="76"/>
      <c r="F146" s="76"/>
      <c r="G146" s="76"/>
      <c r="H146" s="76"/>
    </row>
    <row r="147" spans="1:8" x14ac:dyDescent="0.25">
      <c r="A147" s="76"/>
      <c r="B147" s="76"/>
      <c r="C147" s="76"/>
      <c r="D147" s="76"/>
      <c r="E147" s="76"/>
      <c r="F147" s="76"/>
      <c r="G147" s="76"/>
      <c r="H147" s="76"/>
    </row>
    <row r="148" spans="1:8" x14ac:dyDescent="0.25">
      <c r="A148" s="76"/>
      <c r="B148" s="76"/>
      <c r="C148" s="76"/>
      <c r="D148" s="76"/>
      <c r="E148" s="76"/>
      <c r="F148" s="76"/>
      <c r="G148" s="76"/>
      <c r="H148" s="76"/>
    </row>
    <row r="149" spans="1:8" x14ac:dyDescent="0.25">
      <c r="A149" s="76"/>
      <c r="B149" s="76"/>
      <c r="C149" s="76"/>
      <c r="D149" s="76"/>
      <c r="E149" s="76"/>
      <c r="F149" s="76"/>
      <c r="G149" s="76"/>
      <c r="H149" s="76"/>
    </row>
    <row r="150" spans="1:8" x14ac:dyDescent="0.25">
      <c r="A150" s="76"/>
      <c r="B150" s="76"/>
      <c r="C150" s="76"/>
      <c r="D150" s="76"/>
      <c r="E150" s="76"/>
      <c r="F150" s="76"/>
      <c r="G150" s="76"/>
      <c r="H150" s="76"/>
    </row>
    <row r="151" spans="1:8" x14ac:dyDescent="0.25">
      <c r="A151" s="76"/>
      <c r="B151" s="76"/>
      <c r="C151" s="76"/>
      <c r="D151" s="76"/>
      <c r="E151" s="76"/>
      <c r="F151" s="76"/>
      <c r="G151" s="76"/>
      <c r="H151" s="76"/>
    </row>
    <row r="152" spans="1:8" x14ac:dyDescent="0.25">
      <c r="A152" s="76"/>
      <c r="B152" s="76"/>
      <c r="C152" s="76"/>
      <c r="D152" s="76"/>
      <c r="E152" s="76"/>
      <c r="F152" s="76"/>
      <c r="G152" s="76"/>
      <c r="H152" s="76"/>
    </row>
    <row r="153" spans="1:8" x14ac:dyDescent="0.25">
      <c r="A153" s="76"/>
      <c r="B153" s="76"/>
      <c r="C153" s="76"/>
      <c r="D153" s="76"/>
      <c r="E153" s="76"/>
      <c r="F153" s="76"/>
      <c r="G153" s="76"/>
      <c r="H153" s="76"/>
    </row>
    <row r="154" spans="1:8" x14ac:dyDescent="0.25">
      <c r="A154" s="76"/>
      <c r="B154" s="76"/>
      <c r="C154" s="76"/>
      <c r="D154" s="76"/>
      <c r="E154" s="76"/>
      <c r="F154" s="76"/>
      <c r="G154" s="76"/>
      <c r="H154" s="76"/>
    </row>
    <row r="155" spans="1:8" x14ac:dyDescent="0.25">
      <c r="A155" s="76"/>
      <c r="B155" s="76"/>
      <c r="C155" s="76"/>
      <c r="D155" s="76"/>
      <c r="E155" s="76"/>
      <c r="F155" s="76"/>
      <c r="G155" s="76"/>
      <c r="H155" s="76"/>
    </row>
    <row r="156" spans="1:8" x14ac:dyDescent="0.25">
      <c r="A156" s="76"/>
      <c r="B156" s="76"/>
      <c r="C156" s="76"/>
      <c r="D156" s="76"/>
      <c r="E156" s="76"/>
      <c r="F156" s="76"/>
      <c r="G156" s="76"/>
      <c r="H156" s="76"/>
    </row>
    <row r="157" spans="1:8" x14ac:dyDescent="0.25">
      <c r="A157" s="76"/>
      <c r="B157" s="76"/>
      <c r="C157" s="76"/>
      <c r="D157" s="76"/>
      <c r="E157" s="76"/>
      <c r="F157" s="76"/>
      <c r="G157" s="76"/>
      <c r="H157" s="76"/>
    </row>
    <row r="158" spans="1:8" x14ac:dyDescent="0.25">
      <c r="A158" s="76"/>
      <c r="B158" s="76"/>
      <c r="C158" s="76"/>
      <c r="D158" s="76"/>
      <c r="E158" s="76"/>
      <c r="F158" s="76"/>
      <c r="G158" s="76"/>
      <c r="H158" s="76"/>
    </row>
    <row r="159" spans="1:8" x14ac:dyDescent="0.25">
      <c r="A159" s="76"/>
      <c r="B159" s="76"/>
      <c r="C159" s="76"/>
      <c r="D159" s="76"/>
      <c r="E159" s="76"/>
      <c r="F159" s="76"/>
      <c r="G159" s="76"/>
      <c r="H159" s="76"/>
    </row>
    <row r="160" spans="1:8" x14ac:dyDescent="0.25">
      <c r="A160" s="76"/>
      <c r="B160" s="76"/>
      <c r="C160" s="76"/>
      <c r="D160" s="76"/>
      <c r="E160" s="76"/>
      <c r="F160" s="76"/>
      <c r="G160" s="76"/>
      <c r="H160" s="76"/>
    </row>
    <row r="161" spans="1:8" x14ac:dyDescent="0.25">
      <c r="A161" s="76"/>
      <c r="B161" s="76"/>
      <c r="C161" s="76"/>
      <c r="D161" s="76"/>
      <c r="E161" s="76"/>
      <c r="F161" s="76"/>
      <c r="G161" s="76"/>
      <c r="H161" s="76"/>
    </row>
    <row r="162" spans="1:8" x14ac:dyDescent="0.25">
      <c r="A162" s="76"/>
      <c r="B162" s="76"/>
      <c r="C162" s="76"/>
      <c r="D162" s="76"/>
      <c r="E162" s="76"/>
      <c r="F162" s="76"/>
      <c r="G162" s="76"/>
      <c r="H162" s="76"/>
    </row>
    <row r="163" spans="1:8" x14ac:dyDescent="0.25">
      <c r="A163" s="76"/>
      <c r="B163" s="76"/>
      <c r="C163" s="76"/>
      <c r="D163" s="76"/>
      <c r="E163" s="76"/>
      <c r="F163" s="76"/>
      <c r="G163" s="76"/>
      <c r="H163" s="76"/>
    </row>
    <row r="164" spans="1:8" x14ac:dyDescent="0.25">
      <c r="A164" s="76"/>
      <c r="B164" s="76"/>
      <c r="C164" s="76"/>
      <c r="D164" s="76"/>
      <c r="E164" s="76"/>
      <c r="F164" s="76"/>
      <c r="G164" s="76"/>
      <c r="H164" s="76"/>
    </row>
    <row r="165" spans="1:8" x14ac:dyDescent="0.25">
      <c r="A165" s="76"/>
      <c r="B165" s="76"/>
      <c r="C165" s="76"/>
      <c r="D165" s="76"/>
      <c r="E165" s="76"/>
      <c r="F165" s="76"/>
      <c r="G165" s="76"/>
      <c r="H165" s="76"/>
    </row>
    <row r="166" spans="1:8" x14ac:dyDescent="0.25">
      <c r="A166" s="76"/>
      <c r="B166" s="76"/>
      <c r="C166" s="76"/>
      <c r="D166" s="76"/>
      <c r="E166" s="76"/>
      <c r="F166" s="76"/>
      <c r="G166" s="76"/>
      <c r="H166" s="76"/>
    </row>
    <row r="167" spans="1:8" x14ac:dyDescent="0.25">
      <c r="A167" s="76"/>
      <c r="B167" s="76"/>
      <c r="C167" s="76"/>
      <c r="D167" s="76"/>
      <c r="E167" s="76"/>
      <c r="F167" s="76"/>
      <c r="G167" s="76"/>
      <c r="H167" s="76"/>
    </row>
    <row r="168" spans="1:8" x14ac:dyDescent="0.25">
      <c r="A168" s="76"/>
      <c r="B168" s="76"/>
      <c r="C168" s="76"/>
      <c r="D168" s="76"/>
      <c r="E168" s="76"/>
      <c r="F168" s="76"/>
      <c r="G168" s="76"/>
      <c r="H168" s="76"/>
    </row>
    <row r="169" spans="1:8" x14ac:dyDescent="0.25">
      <c r="A169" s="76"/>
      <c r="B169" s="76"/>
      <c r="C169" s="76"/>
      <c r="D169" s="76"/>
      <c r="E169" s="76"/>
      <c r="F169" s="76"/>
      <c r="G169" s="76"/>
      <c r="H169" s="76"/>
    </row>
    <row r="170" spans="1:8" x14ac:dyDescent="0.25">
      <c r="A170" s="76"/>
      <c r="B170" s="76"/>
      <c r="C170" s="76"/>
      <c r="D170" s="76"/>
      <c r="E170" s="76"/>
      <c r="F170" s="76"/>
      <c r="G170" s="76"/>
      <c r="H170" s="76"/>
    </row>
    <row r="171" spans="1:8" x14ac:dyDescent="0.25">
      <c r="A171" s="76"/>
      <c r="B171" s="76"/>
      <c r="C171" s="76"/>
      <c r="D171" s="76"/>
      <c r="E171" s="76"/>
      <c r="F171" s="76"/>
      <c r="G171" s="76"/>
      <c r="H171" s="76"/>
    </row>
    <row r="172" spans="1:8" x14ac:dyDescent="0.25">
      <c r="A172" s="76"/>
      <c r="B172" s="76"/>
      <c r="C172" s="76"/>
      <c r="D172" s="76"/>
      <c r="E172" s="76"/>
      <c r="F172" s="76"/>
      <c r="G172" s="76"/>
      <c r="H172" s="76"/>
    </row>
    <row r="173" spans="1:8" x14ac:dyDescent="0.25">
      <c r="A173" s="76"/>
      <c r="B173" s="76"/>
      <c r="C173" s="76"/>
      <c r="D173" s="76"/>
      <c r="E173" s="76"/>
      <c r="F173" s="76"/>
      <c r="G173" s="76"/>
      <c r="H173" s="76"/>
    </row>
    <row r="174" spans="1:8" x14ac:dyDescent="0.25">
      <c r="A174" s="76"/>
      <c r="B174" s="76"/>
      <c r="C174" s="76"/>
      <c r="D174" s="76"/>
      <c r="E174" s="76"/>
      <c r="F174" s="76"/>
      <c r="G174" s="76"/>
      <c r="H174" s="76"/>
    </row>
    <row r="175" spans="1:8" x14ac:dyDescent="0.25">
      <c r="A175" s="76"/>
      <c r="B175" s="76"/>
      <c r="C175" s="76"/>
      <c r="D175" s="76"/>
      <c r="E175" s="76"/>
      <c r="F175" s="76"/>
      <c r="G175" s="76"/>
      <c r="H175" s="76"/>
    </row>
    <row r="176" spans="1:8" x14ac:dyDescent="0.25">
      <c r="A176" s="76"/>
      <c r="B176" s="76"/>
      <c r="C176" s="76"/>
      <c r="D176" s="76"/>
      <c r="E176" s="76"/>
      <c r="F176" s="76"/>
      <c r="G176" s="76"/>
      <c r="H176" s="76"/>
    </row>
    <row r="177" spans="1:8" x14ac:dyDescent="0.25">
      <c r="A177" s="76"/>
      <c r="B177" s="76"/>
      <c r="C177" s="76"/>
      <c r="D177" s="76"/>
      <c r="E177" s="76"/>
      <c r="F177" s="76"/>
      <c r="G177" s="76"/>
      <c r="H177" s="76"/>
    </row>
    <row r="178" spans="1:8" x14ac:dyDescent="0.25">
      <c r="A178" s="76"/>
      <c r="B178" s="76"/>
      <c r="C178" s="76"/>
      <c r="D178" s="76"/>
      <c r="E178" s="76"/>
      <c r="F178" s="76"/>
      <c r="G178" s="76"/>
      <c r="H178" s="76"/>
    </row>
    <row r="179" spans="1:8" x14ac:dyDescent="0.25">
      <c r="A179" s="76"/>
      <c r="B179" s="76"/>
      <c r="C179" s="76"/>
      <c r="D179" s="76"/>
      <c r="E179" s="76"/>
      <c r="F179" s="76"/>
      <c r="G179" s="76"/>
      <c r="H179" s="76"/>
    </row>
    <row r="180" spans="1:8" x14ac:dyDescent="0.25">
      <c r="A180" s="76"/>
      <c r="B180" s="76"/>
      <c r="C180" s="76"/>
      <c r="D180" s="76"/>
      <c r="E180" s="76"/>
      <c r="F180" s="76"/>
      <c r="G180" s="76"/>
      <c r="H180" s="76"/>
    </row>
    <row r="181" spans="1:8" x14ac:dyDescent="0.25">
      <c r="A181" s="76"/>
      <c r="B181" s="76"/>
      <c r="C181" s="76"/>
      <c r="D181" s="76"/>
      <c r="E181" s="76"/>
      <c r="F181" s="76"/>
      <c r="G181" s="76"/>
      <c r="H181" s="76"/>
    </row>
    <row r="182" spans="1:8" x14ac:dyDescent="0.25">
      <c r="A182" s="76"/>
      <c r="B182" s="76"/>
      <c r="C182" s="76"/>
      <c r="D182" s="76"/>
      <c r="E182" s="76"/>
      <c r="F182" s="76"/>
      <c r="G182" s="76"/>
      <c r="H182" s="76"/>
    </row>
    <row r="183" spans="1:8" x14ac:dyDescent="0.25">
      <c r="A183" s="76"/>
      <c r="B183" s="76"/>
      <c r="C183" s="76"/>
      <c r="D183" s="76"/>
      <c r="E183" s="76"/>
      <c r="F183" s="76"/>
      <c r="G183" s="76"/>
      <c r="H183" s="76"/>
    </row>
    <row r="184" spans="1:8" x14ac:dyDescent="0.25">
      <c r="A184" s="76"/>
      <c r="B184" s="76"/>
      <c r="C184" s="76"/>
      <c r="D184" s="76"/>
      <c r="E184" s="76"/>
      <c r="F184" s="76"/>
      <c r="G184" s="76"/>
      <c r="H184" s="76"/>
    </row>
    <row r="185" spans="1:8" x14ac:dyDescent="0.25">
      <c r="A185" s="76"/>
      <c r="B185" s="76"/>
      <c r="C185" s="76"/>
      <c r="D185" s="76"/>
      <c r="E185" s="76"/>
      <c r="F185" s="76"/>
      <c r="G185" s="76"/>
      <c r="H185" s="76"/>
    </row>
    <row r="186" spans="1:8" x14ac:dyDescent="0.25">
      <c r="A186" s="76"/>
      <c r="B186" s="76"/>
      <c r="C186" s="76"/>
      <c r="D186" s="76"/>
      <c r="E186" s="76"/>
      <c r="F186" s="76"/>
      <c r="G186" s="76"/>
      <c r="H186" s="76"/>
    </row>
    <row r="187" spans="1:8" x14ac:dyDescent="0.25">
      <c r="A187" s="76"/>
      <c r="B187" s="76"/>
      <c r="C187" s="76"/>
      <c r="D187" s="76"/>
      <c r="E187" s="76"/>
      <c r="F187" s="76"/>
      <c r="G187" s="76"/>
      <c r="H187" s="76"/>
    </row>
    <row r="188" spans="1:8" x14ac:dyDescent="0.25">
      <c r="A188" s="76"/>
      <c r="B188" s="76"/>
      <c r="C188" s="76"/>
      <c r="D188" s="76"/>
      <c r="E188" s="76"/>
      <c r="F188" s="76"/>
      <c r="G188" s="76"/>
      <c r="H188" s="76"/>
    </row>
    <row r="189" spans="1:8" x14ac:dyDescent="0.25">
      <c r="A189" s="76"/>
      <c r="B189" s="76"/>
      <c r="C189" s="76"/>
      <c r="D189" s="76"/>
      <c r="E189" s="76"/>
      <c r="F189" s="76"/>
      <c r="G189" s="76"/>
      <c r="H189" s="76"/>
    </row>
    <row r="190" spans="1:8" x14ac:dyDescent="0.25">
      <c r="A190" s="76"/>
      <c r="B190" s="76"/>
      <c r="C190" s="76"/>
      <c r="D190" s="76"/>
      <c r="E190" s="76"/>
      <c r="F190" s="76"/>
      <c r="G190" s="76"/>
      <c r="H190" s="76"/>
    </row>
    <row r="191" spans="1:8" x14ac:dyDescent="0.25">
      <c r="A191" s="76"/>
      <c r="B191" s="76"/>
      <c r="C191" s="76"/>
      <c r="D191" s="76"/>
      <c r="E191" s="76"/>
      <c r="F191" s="76"/>
      <c r="G191" s="76"/>
      <c r="H191" s="76"/>
    </row>
    <row r="192" spans="1:8" x14ac:dyDescent="0.25">
      <c r="A192" s="76"/>
      <c r="B192" s="76"/>
      <c r="C192" s="76"/>
      <c r="D192" s="76"/>
      <c r="E192" s="76"/>
      <c r="F192" s="76"/>
      <c r="G192" s="76"/>
      <c r="H192" s="76"/>
    </row>
    <row r="193" spans="1:8" x14ac:dyDescent="0.25">
      <c r="A193" s="76"/>
      <c r="B193" s="76"/>
      <c r="C193" s="76"/>
      <c r="D193" s="76"/>
      <c r="E193" s="76"/>
      <c r="F193" s="76"/>
      <c r="G193" s="76"/>
      <c r="H193" s="76"/>
    </row>
    <row r="194" spans="1:8" x14ac:dyDescent="0.25">
      <c r="A194" s="76"/>
      <c r="B194" s="76"/>
      <c r="C194" s="76"/>
      <c r="D194" s="76"/>
      <c r="E194" s="76"/>
      <c r="F194" s="76"/>
      <c r="G194" s="76"/>
      <c r="H194" s="76"/>
    </row>
    <row r="195" spans="1:8" x14ac:dyDescent="0.25">
      <c r="A195" s="76"/>
      <c r="B195" s="76"/>
      <c r="C195" s="76"/>
      <c r="D195" s="76"/>
      <c r="E195" s="76"/>
      <c r="F195" s="76"/>
      <c r="G195" s="76"/>
      <c r="H195" s="76"/>
    </row>
    <row r="196" spans="1:8" x14ac:dyDescent="0.25">
      <c r="A196" s="76"/>
      <c r="B196" s="76"/>
      <c r="C196" s="76"/>
      <c r="D196" s="76"/>
      <c r="E196" s="76"/>
      <c r="F196" s="76"/>
      <c r="G196" s="76"/>
      <c r="H196" s="76"/>
    </row>
    <row r="197" spans="1:8" x14ac:dyDescent="0.25">
      <c r="A197" s="76"/>
      <c r="B197" s="76"/>
      <c r="C197" s="76"/>
      <c r="D197" s="76"/>
      <c r="E197" s="76"/>
      <c r="F197" s="76"/>
      <c r="G197" s="76"/>
      <c r="H197" s="76"/>
    </row>
    <row r="198" spans="1:8" x14ac:dyDescent="0.25">
      <c r="A198" s="76"/>
      <c r="B198" s="76"/>
      <c r="C198" s="76"/>
      <c r="D198" s="76"/>
      <c r="E198" s="76"/>
      <c r="F198" s="76"/>
      <c r="G198" s="76"/>
      <c r="H198" s="76"/>
    </row>
    <row r="199" spans="1:8" x14ac:dyDescent="0.25">
      <c r="A199" s="76"/>
      <c r="B199" s="76"/>
      <c r="C199" s="76"/>
      <c r="D199" s="76"/>
      <c r="E199" s="76"/>
      <c r="F199" s="76"/>
      <c r="G199" s="76"/>
      <c r="H199" s="76"/>
    </row>
    <row r="200" spans="1:8" x14ac:dyDescent="0.25">
      <c r="A200" s="76"/>
      <c r="B200" s="76"/>
      <c r="C200" s="76"/>
      <c r="D200" s="76"/>
      <c r="E200" s="76"/>
      <c r="F200" s="76"/>
      <c r="G200" s="76"/>
      <c r="H200" s="76"/>
    </row>
    <row r="201" spans="1:8" x14ac:dyDescent="0.25">
      <c r="A201" s="76"/>
      <c r="B201" s="76"/>
      <c r="C201" s="76"/>
      <c r="D201" s="76"/>
      <c r="E201" s="76"/>
      <c r="F201" s="76"/>
      <c r="G201" s="76"/>
      <c r="H201" s="76"/>
    </row>
    <row r="202" spans="1:8" x14ac:dyDescent="0.25">
      <c r="A202" s="76"/>
      <c r="B202" s="76"/>
      <c r="C202" s="76"/>
      <c r="D202" s="76"/>
      <c r="E202" s="76"/>
      <c r="F202" s="76"/>
      <c r="G202" s="76"/>
      <c r="H202" s="76"/>
    </row>
    <row r="203" spans="1:8" x14ac:dyDescent="0.25">
      <c r="A203" s="76"/>
      <c r="B203" s="76"/>
      <c r="C203" s="76"/>
      <c r="D203" s="76"/>
      <c r="E203" s="76"/>
      <c r="F203" s="76"/>
      <c r="G203" s="76"/>
      <c r="H203" s="76"/>
    </row>
    <row r="204" spans="1:8" x14ac:dyDescent="0.25">
      <c r="A204" s="76"/>
      <c r="B204" s="76"/>
      <c r="C204" s="76"/>
      <c r="D204" s="76"/>
      <c r="E204" s="76"/>
      <c r="F204" s="76"/>
      <c r="G204" s="76"/>
      <c r="H204" s="76"/>
    </row>
    <row r="205" spans="1:8" x14ac:dyDescent="0.25">
      <c r="A205" s="76"/>
      <c r="B205" s="76"/>
      <c r="C205" s="76"/>
      <c r="D205" s="76"/>
      <c r="E205" s="76"/>
      <c r="F205" s="76"/>
      <c r="G205" s="76"/>
      <c r="H205" s="76"/>
    </row>
    <row r="206" spans="1:8" x14ac:dyDescent="0.25">
      <c r="A206" s="76"/>
      <c r="B206" s="76"/>
      <c r="C206" s="76"/>
      <c r="D206" s="76"/>
      <c r="E206" s="76"/>
      <c r="F206" s="76"/>
      <c r="G206" s="76"/>
      <c r="H206" s="76"/>
    </row>
    <row r="207" spans="1:8" x14ac:dyDescent="0.25">
      <c r="A207" s="76"/>
      <c r="B207" s="76"/>
      <c r="C207" s="76"/>
      <c r="D207" s="76"/>
      <c r="E207" s="76"/>
      <c r="F207" s="76"/>
      <c r="G207" s="76"/>
      <c r="H207" s="76"/>
    </row>
    <row r="208" spans="1:8" x14ac:dyDescent="0.25">
      <c r="A208" s="76"/>
      <c r="B208" s="76"/>
      <c r="C208" s="76"/>
      <c r="D208" s="76"/>
      <c r="E208" s="76"/>
      <c r="F208" s="76"/>
      <c r="G208" s="76"/>
      <c r="H208" s="76"/>
    </row>
    <row r="209" spans="1:8" x14ac:dyDescent="0.25">
      <c r="A209" s="76"/>
      <c r="B209" s="76"/>
      <c r="C209" s="76"/>
      <c r="D209" s="76"/>
      <c r="E209" s="76"/>
      <c r="F209" s="76"/>
      <c r="G209" s="76"/>
      <c r="H209" s="76"/>
    </row>
    <row r="210" spans="1:8" x14ac:dyDescent="0.25">
      <c r="A210" s="76"/>
      <c r="B210" s="76"/>
      <c r="C210" s="76"/>
      <c r="D210" s="76"/>
      <c r="E210" s="76"/>
      <c r="F210" s="76"/>
      <c r="G210" s="76"/>
      <c r="H210" s="76"/>
    </row>
    <row r="211" spans="1:8" x14ac:dyDescent="0.25">
      <c r="A211" s="76"/>
      <c r="B211" s="76"/>
      <c r="C211" s="76"/>
      <c r="D211" s="76"/>
      <c r="E211" s="76"/>
      <c r="F211" s="76"/>
      <c r="G211" s="76"/>
      <c r="H211" s="76"/>
    </row>
    <row r="212" spans="1:8" x14ac:dyDescent="0.25">
      <c r="A212" s="76"/>
      <c r="B212" s="76"/>
      <c r="C212" s="76"/>
      <c r="D212" s="76"/>
      <c r="E212" s="76"/>
      <c r="F212" s="76"/>
      <c r="G212" s="76"/>
      <c r="H212" s="76"/>
    </row>
    <row r="213" spans="1:8" x14ac:dyDescent="0.25">
      <c r="A213" s="76"/>
      <c r="B213" s="76"/>
      <c r="C213" s="76"/>
      <c r="D213" s="76"/>
      <c r="E213" s="76"/>
      <c r="F213" s="76"/>
      <c r="G213" s="76"/>
      <c r="H213" s="76"/>
    </row>
    <row r="214" spans="1:8" x14ac:dyDescent="0.25">
      <c r="A214" s="76"/>
      <c r="B214" s="76"/>
      <c r="C214" s="76"/>
      <c r="D214" s="76"/>
      <c r="E214" s="76"/>
      <c r="F214" s="76"/>
      <c r="G214" s="76"/>
      <c r="H214" s="76"/>
    </row>
    <row r="215" spans="1:8" x14ac:dyDescent="0.25">
      <c r="A215" s="76"/>
      <c r="B215" s="76"/>
      <c r="C215" s="76"/>
      <c r="D215" s="76"/>
      <c r="E215" s="76"/>
      <c r="F215" s="76"/>
      <c r="G215" s="76"/>
      <c r="H215" s="76"/>
    </row>
    <row r="216" spans="1:8" x14ac:dyDescent="0.25">
      <c r="A216" s="76"/>
      <c r="B216" s="76"/>
      <c r="C216" s="76"/>
      <c r="D216" s="76"/>
      <c r="E216" s="76"/>
      <c r="F216" s="76"/>
      <c r="G216" s="76"/>
      <c r="H216" s="76"/>
    </row>
    <row r="217" spans="1:8" x14ac:dyDescent="0.25">
      <c r="A217" s="76"/>
      <c r="B217" s="76"/>
      <c r="C217" s="76"/>
      <c r="D217" s="76"/>
      <c r="E217" s="76"/>
      <c r="F217" s="76"/>
      <c r="G217" s="76"/>
      <c r="H217" s="76"/>
    </row>
    <row r="218" spans="1:8" x14ac:dyDescent="0.25">
      <c r="A218" s="76"/>
      <c r="B218" s="76"/>
      <c r="C218" s="76"/>
      <c r="D218" s="76"/>
      <c r="E218" s="76"/>
      <c r="F218" s="76"/>
      <c r="G218" s="76"/>
      <c r="H218" s="76"/>
    </row>
    <row r="219" spans="1:8" x14ac:dyDescent="0.25">
      <c r="A219" s="76"/>
      <c r="B219" s="76"/>
      <c r="C219" s="76"/>
      <c r="D219" s="76"/>
      <c r="E219" s="76"/>
      <c r="F219" s="76"/>
      <c r="G219" s="76"/>
      <c r="H219" s="76"/>
    </row>
    <row r="220" spans="1:8" x14ac:dyDescent="0.25">
      <c r="A220" s="76"/>
      <c r="B220" s="76"/>
      <c r="C220" s="76"/>
      <c r="D220" s="76"/>
      <c r="E220" s="76"/>
      <c r="F220" s="76"/>
      <c r="G220" s="76"/>
      <c r="H220" s="76"/>
    </row>
    <row r="221" spans="1:8" x14ac:dyDescent="0.25">
      <c r="A221" s="76"/>
      <c r="B221" s="76"/>
      <c r="C221" s="76"/>
      <c r="D221" s="76"/>
      <c r="E221" s="76"/>
      <c r="F221" s="76"/>
      <c r="G221" s="76"/>
      <c r="H221" s="76"/>
    </row>
    <row r="222" spans="1:8" x14ac:dyDescent="0.25">
      <c r="A222" s="76"/>
      <c r="B222" s="76"/>
      <c r="C222" s="76"/>
      <c r="D222" s="76"/>
      <c r="E222" s="76"/>
      <c r="F222" s="76"/>
      <c r="G222" s="76"/>
      <c r="H222" s="76"/>
    </row>
    <row r="223" spans="1:8" x14ac:dyDescent="0.25">
      <c r="A223" s="76"/>
      <c r="B223" s="76"/>
      <c r="C223" s="76"/>
      <c r="D223" s="76"/>
      <c r="E223" s="76"/>
      <c r="F223" s="76"/>
      <c r="G223" s="76"/>
      <c r="H223" s="76"/>
    </row>
    <row r="224" spans="1:8" x14ac:dyDescent="0.25">
      <c r="A224" s="76"/>
      <c r="B224" s="76"/>
      <c r="C224" s="76"/>
      <c r="D224" s="76"/>
      <c r="E224" s="76"/>
      <c r="F224" s="76"/>
      <c r="G224" s="76"/>
      <c r="H224" s="76"/>
    </row>
    <row r="225" spans="1:8" x14ac:dyDescent="0.25">
      <c r="A225" s="76"/>
      <c r="B225" s="76"/>
      <c r="C225" s="76"/>
      <c r="D225" s="76"/>
      <c r="E225" s="76"/>
      <c r="F225" s="76"/>
      <c r="G225" s="76"/>
      <c r="H225" s="76"/>
    </row>
    <row r="226" spans="1:8" x14ac:dyDescent="0.25">
      <c r="A226" s="76"/>
      <c r="B226" s="76"/>
      <c r="C226" s="76"/>
      <c r="D226" s="76"/>
      <c r="E226" s="76"/>
      <c r="F226" s="76"/>
      <c r="G226" s="76"/>
      <c r="H226" s="76"/>
    </row>
    <row r="227" spans="1:8" x14ac:dyDescent="0.25">
      <c r="A227" s="76"/>
      <c r="B227" s="76"/>
      <c r="C227" s="76"/>
      <c r="D227" s="76"/>
      <c r="E227" s="76"/>
      <c r="F227" s="76"/>
      <c r="G227" s="76"/>
      <c r="H227" s="76"/>
    </row>
    <row r="228" spans="1:8" x14ac:dyDescent="0.25">
      <c r="A228" s="76"/>
      <c r="B228" s="76"/>
      <c r="C228" s="76"/>
      <c r="D228" s="76"/>
      <c r="E228" s="76"/>
      <c r="F228" s="76"/>
      <c r="G228" s="76"/>
      <c r="H228" s="76"/>
    </row>
    <row r="229" spans="1:8" x14ac:dyDescent="0.25">
      <c r="A229" s="76"/>
      <c r="B229" s="76"/>
      <c r="C229" s="76"/>
      <c r="D229" s="76"/>
      <c r="E229" s="76"/>
      <c r="F229" s="76"/>
      <c r="G229" s="76"/>
      <c r="H229" s="76"/>
    </row>
    <row r="230" spans="1:8" x14ac:dyDescent="0.25">
      <c r="A230" s="76"/>
      <c r="B230" s="76"/>
      <c r="C230" s="76"/>
      <c r="D230" s="76"/>
      <c r="E230" s="76"/>
      <c r="F230" s="76"/>
      <c r="G230" s="76"/>
      <c r="H230" s="76"/>
    </row>
    <row r="231" spans="1:8" x14ac:dyDescent="0.25">
      <c r="A231" s="76"/>
      <c r="B231" s="76"/>
      <c r="C231" s="76"/>
      <c r="D231" s="76"/>
      <c r="E231" s="76"/>
      <c r="F231" s="76"/>
      <c r="G231" s="76"/>
      <c r="H231" s="76"/>
    </row>
    <row r="232" spans="1:8" x14ac:dyDescent="0.25">
      <c r="A232" s="76"/>
      <c r="B232" s="76"/>
      <c r="C232" s="76"/>
      <c r="D232" s="76"/>
      <c r="E232" s="76"/>
      <c r="F232" s="76"/>
      <c r="G232" s="76"/>
      <c r="H232" s="76"/>
    </row>
    <row r="233" spans="1:8" x14ac:dyDescent="0.25">
      <c r="A233" s="76"/>
      <c r="B233" s="76"/>
      <c r="C233" s="76"/>
      <c r="D233" s="76"/>
      <c r="E233" s="76"/>
      <c r="F233" s="76"/>
      <c r="G233" s="76"/>
      <c r="H233" s="76"/>
    </row>
    <row r="234" spans="1:8" x14ac:dyDescent="0.25">
      <c r="A234" s="76"/>
      <c r="B234" s="76"/>
      <c r="C234" s="76"/>
      <c r="D234" s="76"/>
      <c r="E234" s="76"/>
      <c r="F234" s="76"/>
      <c r="G234" s="76"/>
      <c r="H234" s="76"/>
    </row>
    <row r="235" spans="1:8" x14ac:dyDescent="0.25">
      <c r="A235" s="76"/>
      <c r="B235" s="76"/>
      <c r="C235" s="76"/>
      <c r="D235" s="76"/>
      <c r="E235" s="76"/>
      <c r="F235" s="76"/>
      <c r="G235" s="76"/>
      <c r="H235" s="76"/>
    </row>
    <row r="236" spans="1:8" x14ac:dyDescent="0.25">
      <c r="A236" s="76"/>
      <c r="B236" s="76"/>
      <c r="C236" s="76"/>
      <c r="D236" s="76"/>
      <c r="E236" s="76"/>
      <c r="F236" s="76"/>
      <c r="G236" s="76"/>
      <c r="H236" s="76"/>
    </row>
    <row r="237" spans="1:8" x14ac:dyDescent="0.25">
      <c r="A237" s="76"/>
      <c r="B237" s="76"/>
      <c r="C237" s="76"/>
      <c r="D237" s="76"/>
      <c r="E237" s="76"/>
      <c r="F237" s="76"/>
      <c r="G237" s="76"/>
      <c r="H237" s="76"/>
    </row>
    <row r="238" spans="1:8" x14ac:dyDescent="0.25">
      <c r="A238" s="76"/>
      <c r="B238" s="76"/>
      <c r="C238" s="76"/>
      <c r="D238" s="76"/>
      <c r="E238" s="76"/>
      <c r="F238" s="76"/>
      <c r="G238" s="76"/>
      <c r="H238" s="76"/>
    </row>
    <row r="239" spans="1:8" x14ac:dyDescent="0.25">
      <c r="A239" s="76"/>
      <c r="B239" s="76"/>
      <c r="C239" s="76"/>
      <c r="D239" s="76"/>
      <c r="E239" s="76"/>
      <c r="F239" s="76"/>
      <c r="G239" s="76"/>
      <c r="H239" s="76"/>
    </row>
    <row r="240" spans="1:8" x14ac:dyDescent="0.25">
      <c r="A240" s="76"/>
      <c r="B240" s="76"/>
      <c r="C240" s="76"/>
      <c r="D240" s="76"/>
      <c r="E240" s="76"/>
      <c r="F240" s="76"/>
      <c r="G240" s="76"/>
      <c r="H240" s="76"/>
    </row>
    <row r="241" spans="1:8" x14ac:dyDescent="0.25">
      <c r="A241" s="76"/>
      <c r="B241" s="76"/>
      <c r="C241" s="76"/>
      <c r="D241" s="76"/>
      <c r="E241" s="76"/>
      <c r="F241" s="76"/>
      <c r="G241" s="76"/>
      <c r="H241" s="76"/>
    </row>
    <row r="242" spans="1:8" x14ac:dyDescent="0.25">
      <c r="A242" s="76"/>
      <c r="B242" s="76"/>
      <c r="C242" s="76"/>
      <c r="D242" s="76"/>
      <c r="E242" s="76"/>
      <c r="F242" s="76"/>
      <c r="G242" s="76"/>
      <c r="H242" s="76"/>
    </row>
    <row r="243" spans="1:8" x14ac:dyDescent="0.25">
      <c r="A243" s="76"/>
      <c r="B243" s="76"/>
      <c r="C243" s="76"/>
      <c r="D243" s="76"/>
      <c r="E243" s="76"/>
      <c r="F243" s="76"/>
      <c r="G243" s="76"/>
      <c r="H243" s="76"/>
    </row>
    <row r="244" spans="1:8" x14ac:dyDescent="0.25">
      <c r="A244" s="76"/>
      <c r="B244" s="76"/>
      <c r="C244" s="76"/>
      <c r="D244" s="76"/>
      <c r="E244" s="76"/>
      <c r="F244" s="76"/>
      <c r="G244" s="76"/>
      <c r="H244" s="76"/>
    </row>
  </sheetData>
  <mergeCells count="2">
    <mergeCell ref="A1:A2"/>
    <mergeCell ref="B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6"/>
  <sheetViews>
    <sheetView topLeftCell="A133" workbookViewId="0">
      <selection sqref="A1:H175"/>
    </sheetView>
  </sheetViews>
  <sheetFormatPr defaultRowHeight="15" x14ac:dyDescent="0.25"/>
  <sheetData>
    <row r="1" spans="1:8" x14ac:dyDescent="0.25">
      <c r="A1" s="137" t="s">
        <v>0</v>
      </c>
      <c r="B1" s="138" t="s">
        <v>1</v>
      </c>
      <c r="C1" s="138"/>
      <c r="D1" s="138"/>
      <c r="E1" s="138"/>
      <c r="F1" s="138"/>
      <c r="G1" s="138"/>
      <c r="H1" s="138"/>
    </row>
    <row r="2" spans="1:8" ht="38.25" x14ac:dyDescent="0.25">
      <c r="A2" s="137"/>
      <c r="B2" s="77" t="s">
        <v>2</v>
      </c>
      <c r="C2" s="77" t="s">
        <v>3</v>
      </c>
      <c r="D2" s="77" t="s">
        <v>160</v>
      </c>
      <c r="E2" s="77" t="s">
        <v>161</v>
      </c>
      <c r="F2" s="77" t="s">
        <v>4</v>
      </c>
      <c r="G2" s="77" t="s">
        <v>162</v>
      </c>
      <c r="H2" s="77" t="s">
        <v>5</v>
      </c>
    </row>
    <row r="3" spans="1:8" ht="67.5" x14ac:dyDescent="0.25">
      <c r="A3" s="78" t="s">
        <v>186</v>
      </c>
      <c r="B3" s="79">
        <v>11</v>
      </c>
      <c r="C3" s="79">
        <v>5</v>
      </c>
      <c r="D3" s="80"/>
      <c r="E3" s="80"/>
      <c r="F3" s="79">
        <v>16</v>
      </c>
      <c r="G3" s="81">
        <v>68.75</v>
      </c>
      <c r="H3" s="81">
        <v>68.75</v>
      </c>
    </row>
    <row r="4" spans="1:8" ht="67.5" x14ac:dyDescent="0.25">
      <c r="A4" s="78" t="s">
        <v>177</v>
      </c>
      <c r="B4" s="79">
        <v>1</v>
      </c>
      <c r="C4" s="80"/>
      <c r="D4" s="80"/>
      <c r="E4" s="80"/>
      <c r="F4" s="79">
        <v>1</v>
      </c>
      <c r="G4" s="81">
        <v>100</v>
      </c>
      <c r="H4" s="81">
        <v>100</v>
      </c>
    </row>
    <row r="5" spans="1:8" ht="78.75" x14ac:dyDescent="0.25">
      <c r="A5" s="78" t="s">
        <v>187</v>
      </c>
      <c r="B5" s="79">
        <v>5</v>
      </c>
      <c r="C5" s="79">
        <v>7</v>
      </c>
      <c r="D5" s="80"/>
      <c r="E5" s="79">
        <v>1</v>
      </c>
      <c r="F5" s="79">
        <v>13</v>
      </c>
      <c r="G5" s="81">
        <v>41.67</v>
      </c>
      <c r="H5" s="81">
        <v>38.46</v>
      </c>
    </row>
    <row r="6" spans="1:8" ht="67.5" x14ac:dyDescent="0.25">
      <c r="A6" s="78" t="s">
        <v>178</v>
      </c>
      <c r="B6" s="79">
        <v>3</v>
      </c>
      <c r="C6" s="79">
        <v>3</v>
      </c>
      <c r="D6" s="80"/>
      <c r="E6" s="80"/>
      <c r="F6" s="79">
        <v>6</v>
      </c>
      <c r="G6" s="81">
        <v>50</v>
      </c>
      <c r="H6" s="81">
        <v>50</v>
      </c>
    </row>
    <row r="7" spans="1:8" ht="67.5" x14ac:dyDescent="0.25">
      <c r="A7" s="78" t="s">
        <v>179</v>
      </c>
      <c r="B7" s="79">
        <v>1</v>
      </c>
      <c r="C7" s="79">
        <v>1</v>
      </c>
      <c r="D7" s="80"/>
      <c r="E7" s="80"/>
      <c r="F7" s="79">
        <v>2</v>
      </c>
      <c r="G7" s="81">
        <v>50</v>
      </c>
      <c r="H7" s="81">
        <v>50</v>
      </c>
    </row>
    <row r="8" spans="1:8" ht="78.75" x14ac:dyDescent="0.25">
      <c r="A8" s="78" t="s">
        <v>188</v>
      </c>
      <c r="B8" s="79">
        <v>1</v>
      </c>
      <c r="C8" s="80"/>
      <c r="D8" s="80"/>
      <c r="E8" s="80"/>
      <c r="F8" s="79">
        <v>1</v>
      </c>
      <c r="G8" s="81">
        <v>100</v>
      </c>
      <c r="H8" s="81">
        <v>100</v>
      </c>
    </row>
    <row r="9" spans="1:8" ht="78.75" x14ac:dyDescent="0.25">
      <c r="A9" s="78" t="s">
        <v>189</v>
      </c>
      <c r="B9" s="79">
        <v>4</v>
      </c>
      <c r="C9" s="79">
        <v>2</v>
      </c>
      <c r="D9" s="80"/>
      <c r="E9" s="79">
        <v>1</v>
      </c>
      <c r="F9" s="79">
        <v>7</v>
      </c>
      <c r="G9" s="81">
        <v>66.67</v>
      </c>
      <c r="H9" s="81">
        <v>57.14</v>
      </c>
    </row>
    <row r="10" spans="1:8" ht="67.5" x14ac:dyDescent="0.25">
      <c r="A10" s="78" t="s">
        <v>180</v>
      </c>
      <c r="B10" s="79">
        <v>1</v>
      </c>
      <c r="C10" s="79">
        <v>1</v>
      </c>
      <c r="D10" s="80"/>
      <c r="E10" s="80"/>
      <c r="F10" s="79">
        <v>2</v>
      </c>
      <c r="G10" s="81">
        <v>50</v>
      </c>
      <c r="H10" s="81">
        <v>50</v>
      </c>
    </row>
    <row r="11" spans="1:8" ht="67.5" x14ac:dyDescent="0.25">
      <c r="A11" s="78" t="s">
        <v>181</v>
      </c>
      <c r="B11" s="79">
        <v>6</v>
      </c>
      <c r="C11" s="79">
        <v>1</v>
      </c>
      <c r="D11" s="80"/>
      <c r="E11" s="80"/>
      <c r="F11" s="79">
        <v>7</v>
      </c>
      <c r="G11" s="81">
        <v>85.71</v>
      </c>
      <c r="H11" s="81">
        <v>85.71</v>
      </c>
    </row>
    <row r="12" spans="1:8" ht="78.75" x14ac:dyDescent="0.25">
      <c r="A12" s="78" t="s">
        <v>182</v>
      </c>
      <c r="B12" s="79">
        <v>4</v>
      </c>
      <c r="C12" s="79">
        <v>2</v>
      </c>
      <c r="D12" s="80"/>
      <c r="E12" s="80"/>
      <c r="F12" s="79">
        <v>6</v>
      </c>
      <c r="G12" s="81">
        <v>66.67</v>
      </c>
      <c r="H12" s="81">
        <v>66.67</v>
      </c>
    </row>
    <row r="13" spans="1:8" ht="56.25" x14ac:dyDescent="0.25">
      <c r="A13" s="78" t="s">
        <v>213</v>
      </c>
      <c r="B13" s="79">
        <v>7</v>
      </c>
      <c r="C13" s="79">
        <v>2</v>
      </c>
      <c r="D13" s="80"/>
      <c r="E13" s="80"/>
      <c r="F13" s="79">
        <v>9</v>
      </c>
      <c r="G13" s="81">
        <v>77.78</v>
      </c>
      <c r="H13" s="81">
        <v>77.78</v>
      </c>
    </row>
    <row r="14" spans="1:8" ht="56.25" x14ac:dyDescent="0.25">
      <c r="A14" s="78" t="s">
        <v>214</v>
      </c>
      <c r="B14" s="79">
        <v>2</v>
      </c>
      <c r="C14" s="79">
        <v>1</v>
      </c>
      <c r="D14" s="80"/>
      <c r="E14" s="80"/>
      <c r="F14" s="79">
        <v>3</v>
      </c>
      <c r="G14" s="81">
        <v>66.67</v>
      </c>
      <c r="H14" s="81">
        <v>66.67</v>
      </c>
    </row>
    <row r="15" spans="1:8" ht="67.5" x14ac:dyDescent="0.25">
      <c r="A15" s="78" t="s">
        <v>190</v>
      </c>
      <c r="B15" s="79">
        <v>0</v>
      </c>
      <c r="C15" s="79">
        <v>1</v>
      </c>
      <c r="D15" s="80"/>
      <c r="E15" s="79">
        <v>1</v>
      </c>
      <c r="F15" s="79">
        <v>2</v>
      </c>
      <c r="G15" s="80"/>
      <c r="H15" s="81">
        <v>0</v>
      </c>
    </row>
    <row r="16" spans="1:8" ht="67.5" x14ac:dyDescent="0.25">
      <c r="A16" s="78" t="s">
        <v>184</v>
      </c>
      <c r="B16" s="79">
        <v>3</v>
      </c>
      <c r="C16" s="80"/>
      <c r="D16" s="80"/>
      <c r="E16" s="80"/>
      <c r="F16" s="79">
        <v>3</v>
      </c>
      <c r="G16" s="81">
        <v>100</v>
      </c>
      <c r="H16" s="81">
        <v>100</v>
      </c>
    </row>
    <row r="17" spans="1:8" ht="67.5" x14ac:dyDescent="0.25">
      <c r="A17" s="78" t="s">
        <v>183</v>
      </c>
      <c r="B17" s="79">
        <v>1</v>
      </c>
      <c r="C17" s="80"/>
      <c r="D17" s="80"/>
      <c r="E17" s="80"/>
      <c r="F17" s="79">
        <v>1</v>
      </c>
      <c r="G17" s="81">
        <v>100</v>
      </c>
      <c r="H17" s="81">
        <v>100</v>
      </c>
    </row>
    <row r="18" spans="1:8" ht="67.5" x14ac:dyDescent="0.25">
      <c r="A18" s="78" t="s">
        <v>215</v>
      </c>
      <c r="B18" s="79">
        <v>2</v>
      </c>
      <c r="C18" s="79">
        <v>3</v>
      </c>
      <c r="D18" s="80"/>
      <c r="E18" s="80"/>
      <c r="F18" s="79">
        <v>5</v>
      </c>
      <c r="G18" s="81">
        <v>40</v>
      </c>
      <c r="H18" s="81">
        <v>40</v>
      </c>
    </row>
    <row r="19" spans="1:8" ht="67.5" x14ac:dyDescent="0.25">
      <c r="A19" s="78" t="s">
        <v>216</v>
      </c>
      <c r="B19" s="79">
        <v>4</v>
      </c>
      <c r="C19" s="79">
        <v>1</v>
      </c>
      <c r="D19" s="80"/>
      <c r="E19" s="79">
        <v>1</v>
      </c>
      <c r="F19" s="79">
        <v>6</v>
      </c>
      <c r="G19" s="81">
        <v>80</v>
      </c>
      <c r="H19" s="81">
        <v>66.67</v>
      </c>
    </row>
    <row r="20" spans="1:8" ht="67.5" x14ac:dyDescent="0.25">
      <c r="A20" s="78" t="s">
        <v>217</v>
      </c>
      <c r="B20" s="79">
        <v>0</v>
      </c>
      <c r="C20" s="80"/>
      <c r="D20" s="80"/>
      <c r="E20" s="79">
        <v>1</v>
      </c>
      <c r="F20" s="79">
        <v>1</v>
      </c>
      <c r="G20" s="80"/>
      <c r="H20" s="81">
        <v>0</v>
      </c>
    </row>
    <row r="21" spans="1:8" ht="67.5" x14ac:dyDescent="0.25">
      <c r="A21" s="78" t="s">
        <v>218</v>
      </c>
      <c r="B21" s="79">
        <v>0</v>
      </c>
      <c r="C21" s="79">
        <v>2</v>
      </c>
      <c r="D21" s="80"/>
      <c r="E21" s="80"/>
      <c r="F21" s="79">
        <v>2</v>
      </c>
      <c r="G21" s="80"/>
      <c r="H21" s="81">
        <v>0</v>
      </c>
    </row>
    <row r="22" spans="1:8" ht="67.5" x14ac:dyDescent="0.25">
      <c r="A22" s="78" t="s">
        <v>219</v>
      </c>
      <c r="B22" s="79">
        <v>1</v>
      </c>
      <c r="C22" s="80"/>
      <c r="D22" s="80"/>
      <c r="E22" s="80"/>
      <c r="F22" s="79">
        <v>1</v>
      </c>
      <c r="G22" s="81">
        <v>100</v>
      </c>
      <c r="H22" s="81">
        <v>100</v>
      </c>
    </row>
    <row r="23" spans="1:8" ht="90" x14ac:dyDescent="0.25">
      <c r="A23" s="78" t="s">
        <v>191</v>
      </c>
      <c r="B23" s="79">
        <v>73</v>
      </c>
      <c r="C23" s="79">
        <v>28</v>
      </c>
      <c r="D23" s="80"/>
      <c r="E23" s="79">
        <v>1</v>
      </c>
      <c r="F23" s="79">
        <v>102</v>
      </c>
      <c r="G23" s="81">
        <v>72.28</v>
      </c>
      <c r="H23" s="81">
        <v>71.569999999999993</v>
      </c>
    </row>
    <row r="24" spans="1:8" ht="90" x14ac:dyDescent="0.25">
      <c r="A24" s="78" t="s">
        <v>192</v>
      </c>
      <c r="B24" s="79">
        <v>14</v>
      </c>
      <c r="C24" s="79">
        <v>9</v>
      </c>
      <c r="D24" s="80"/>
      <c r="E24" s="80"/>
      <c r="F24" s="79">
        <v>23</v>
      </c>
      <c r="G24" s="81">
        <v>60.87</v>
      </c>
      <c r="H24" s="81">
        <v>60.87</v>
      </c>
    </row>
    <row r="25" spans="1:8" ht="67.5" x14ac:dyDescent="0.25">
      <c r="A25" s="78" t="s">
        <v>168</v>
      </c>
      <c r="B25" s="79">
        <v>1</v>
      </c>
      <c r="C25" s="80"/>
      <c r="D25" s="80"/>
      <c r="E25" s="80"/>
      <c r="F25" s="79">
        <v>1</v>
      </c>
      <c r="G25" s="81">
        <v>100</v>
      </c>
      <c r="H25" s="81">
        <v>100</v>
      </c>
    </row>
    <row r="26" spans="1:8" ht="90" x14ac:dyDescent="0.25">
      <c r="A26" s="78" t="s">
        <v>193</v>
      </c>
      <c r="B26" s="79">
        <v>0</v>
      </c>
      <c r="C26" s="79">
        <v>4</v>
      </c>
      <c r="D26" s="80"/>
      <c r="E26" s="79">
        <v>1</v>
      </c>
      <c r="F26" s="79">
        <v>5</v>
      </c>
      <c r="G26" s="80"/>
      <c r="H26" s="81">
        <v>0</v>
      </c>
    </row>
    <row r="27" spans="1:8" ht="90" x14ac:dyDescent="0.25">
      <c r="A27" s="78" t="s">
        <v>194</v>
      </c>
      <c r="B27" s="79">
        <v>1</v>
      </c>
      <c r="C27" s="79">
        <v>2</v>
      </c>
      <c r="D27" s="80"/>
      <c r="E27" s="79">
        <v>1</v>
      </c>
      <c r="F27" s="79">
        <v>4</v>
      </c>
      <c r="G27" s="81">
        <v>33.33</v>
      </c>
      <c r="H27" s="81">
        <v>25</v>
      </c>
    </row>
    <row r="28" spans="1:8" ht="67.5" x14ac:dyDescent="0.25">
      <c r="A28" s="78" t="s">
        <v>195</v>
      </c>
      <c r="B28" s="79">
        <v>1</v>
      </c>
      <c r="C28" s="79">
        <v>1</v>
      </c>
      <c r="D28" s="80"/>
      <c r="E28" s="80"/>
      <c r="F28" s="79">
        <v>2</v>
      </c>
      <c r="G28" s="81">
        <v>50</v>
      </c>
      <c r="H28" s="81">
        <v>50</v>
      </c>
    </row>
    <row r="29" spans="1:8" ht="67.5" x14ac:dyDescent="0.25">
      <c r="A29" s="78" t="s">
        <v>196</v>
      </c>
      <c r="B29" s="79">
        <v>0</v>
      </c>
      <c r="C29" s="79">
        <v>1</v>
      </c>
      <c r="D29" s="80"/>
      <c r="E29" s="80"/>
      <c r="F29" s="79">
        <v>1</v>
      </c>
      <c r="G29" s="80"/>
      <c r="H29" s="81">
        <v>0</v>
      </c>
    </row>
    <row r="30" spans="1:8" ht="67.5" x14ac:dyDescent="0.25">
      <c r="A30" s="78" t="s">
        <v>197</v>
      </c>
      <c r="B30" s="79">
        <v>1</v>
      </c>
      <c r="C30" s="79">
        <v>2</v>
      </c>
      <c r="D30" s="80"/>
      <c r="E30" s="80"/>
      <c r="F30" s="79">
        <v>3</v>
      </c>
      <c r="G30" s="81">
        <v>33.33</v>
      </c>
      <c r="H30" s="81">
        <v>33.33</v>
      </c>
    </row>
    <row r="31" spans="1:8" ht="67.5" x14ac:dyDescent="0.25">
      <c r="A31" s="78" t="s">
        <v>198</v>
      </c>
      <c r="B31" s="79">
        <v>0</v>
      </c>
      <c r="C31" s="79">
        <v>2</v>
      </c>
      <c r="D31" s="80"/>
      <c r="E31" s="80"/>
      <c r="F31" s="79">
        <v>2</v>
      </c>
      <c r="G31" s="80"/>
      <c r="H31" s="81">
        <v>0</v>
      </c>
    </row>
    <row r="32" spans="1:8" ht="90" x14ac:dyDescent="0.25">
      <c r="A32" s="78" t="s">
        <v>199</v>
      </c>
      <c r="B32" s="79">
        <v>0</v>
      </c>
      <c r="C32" s="79">
        <v>1</v>
      </c>
      <c r="D32" s="80"/>
      <c r="E32" s="79">
        <v>1</v>
      </c>
      <c r="F32" s="79">
        <v>2</v>
      </c>
      <c r="G32" s="80"/>
      <c r="H32" s="81">
        <v>0</v>
      </c>
    </row>
    <row r="33" spans="1:8" ht="90" x14ac:dyDescent="0.25">
      <c r="A33" s="78" t="s">
        <v>200</v>
      </c>
      <c r="B33" s="79">
        <v>1</v>
      </c>
      <c r="C33" s="79">
        <v>1</v>
      </c>
      <c r="D33" s="80"/>
      <c r="E33" s="80"/>
      <c r="F33" s="79">
        <v>2</v>
      </c>
      <c r="G33" s="81">
        <v>50</v>
      </c>
      <c r="H33" s="81">
        <v>50</v>
      </c>
    </row>
    <row r="34" spans="1:8" ht="67.5" x14ac:dyDescent="0.25">
      <c r="A34" s="78" t="s">
        <v>201</v>
      </c>
      <c r="B34" s="79">
        <v>5</v>
      </c>
      <c r="C34" s="79">
        <v>4</v>
      </c>
      <c r="D34" s="80"/>
      <c r="E34" s="80"/>
      <c r="F34" s="79">
        <v>9</v>
      </c>
      <c r="G34" s="81">
        <v>55.56</v>
      </c>
      <c r="H34" s="81">
        <v>55.56</v>
      </c>
    </row>
    <row r="35" spans="1:8" ht="67.5" x14ac:dyDescent="0.25">
      <c r="A35" s="78" t="s">
        <v>202</v>
      </c>
      <c r="B35" s="79">
        <v>0</v>
      </c>
      <c r="C35" s="79">
        <v>1</v>
      </c>
      <c r="D35" s="80"/>
      <c r="E35" s="80"/>
      <c r="F35" s="79">
        <v>1</v>
      </c>
      <c r="G35" s="80"/>
      <c r="H35" s="81">
        <v>0</v>
      </c>
    </row>
    <row r="36" spans="1:8" ht="67.5" x14ac:dyDescent="0.25">
      <c r="A36" s="78" t="s">
        <v>203</v>
      </c>
      <c r="B36" s="79">
        <v>1</v>
      </c>
      <c r="C36" s="80"/>
      <c r="D36" s="80"/>
      <c r="E36" s="80"/>
      <c r="F36" s="79">
        <v>1</v>
      </c>
      <c r="G36" s="81">
        <v>100</v>
      </c>
      <c r="H36" s="81">
        <v>100</v>
      </c>
    </row>
    <row r="37" spans="1:8" ht="78.75" x14ac:dyDescent="0.25">
      <c r="A37" s="78" t="s">
        <v>207</v>
      </c>
      <c r="B37" s="79">
        <v>4</v>
      </c>
      <c r="C37" s="79">
        <v>1</v>
      </c>
      <c r="D37" s="80"/>
      <c r="E37" s="80"/>
      <c r="F37" s="79">
        <v>5</v>
      </c>
      <c r="G37" s="81">
        <v>80</v>
      </c>
      <c r="H37" s="81">
        <v>80</v>
      </c>
    </row>
    <row r="38" spans="1:8" ht="67.5" x14ac:dyDescent="0.25">
      <c r="A38" s="78" t="s">
        <v>6</v>
      </c>
      <c r="B38" s="79">
        <v>12</v>
      </c>
      <c r="C38" s="79">
        <v>5</v>
      </c>
      <c r="D38" s="80"/>
      <c r="E38" s="80"/>
      <c r="F38" s="79">
        <v>17</v>
      </c>
      <c r="G38" s="81">
        <v>70.59</v>
      </c>
      <c r="H38" s="81">
        <v>70.59</v>
      </c>
    </row>
    <row r="39" spans="1:8" ht="67.5" x14ac:dyDescent="0.25">
      <c r="A39" s="78" t="s">
        <v>7</v>
      </c>
      <c r="B39" s="79">
        <v>6</v>
      </c>
      <c r="C39" s="79">
        <v>6</v>
      </c>
      <c r="D39" s="80"/>
      <c r="E39" s="79">
        <v>1</v>
      </c>
      <c r="F39" s="79">
        <v>13</v>
      </c>
      <c r="G39" s="81">
        <v>50</v>
      </c>
      <c r="H39" s="81">
        <v>46.15</v>
      </c>
    </row>
    <row r="40" spans="1:8" ht="67.5" x14ac:dyDescent="0.25">
      <c r="A40" s="78" t="s">
        <v>8</v>
      </c>
      <c r="B40" s="79">
        <v>11</v>
      </c>
      <c r="C40" s="79">
        <v>2</v>
      </c>
      <c r="D40" s="80"/>
      <c r="E40" s="80"/>
      <c r="F40" s="79">
        <v>13</v>
      </c>
      <c r="G40" s="81">
        <v>84.62</v>
      </c>
      <c r="H40" s="81">
        <v>84.62</v>
      </c>
    </row>
    <row r="41" spans="1:8" ht="67.5" x14ac:dyDescent="0.25">
      <c r="A41" s="78" t="s">
        <v>9</v>
      </c>
      <c r="B41" s="79">
        <v>74</v>
      </c>
      <c r="C41" s="79">
        <v>10</v>
      </c>
      <c r="D41" s="80"/>
      <c r="E41" s="80"/>
      <c r="F41" s="79">
        <v>84</v>
      </c>
      <c r="G41" s="81">
        <v>88.1</v>
      </c>
      <c r="H41" s="81">
        <v>88.1</v>
      </c>
    </row>
    <row r="42" spans="1:8" ht="67.5" x14ac:dyDescent="0.25">
      <c r="A42" s="78" t="s">
        <v>10</v>
      </c>
      <c r="B42" s="79">
        <v>11</v>
      </c>
      <c r="C42" s="79">
        <v>3</v>
      </c>
      <c r="D42" s="80"/>
      <c r="E42" s="79">
        <v>1</v>
      </c>
      <c r="F42" s="79">
        <v>15</v>
      </c>
      <c r="G42" s="81">
        <v>78.569999999999993</v>
      </c>
      <c r="H42" s="81">
        <v>73.33</v>
      </c>
    </row>
    <row r="43" spans="1:8" ht="67.5" x14ac:dyDescent="0.25">
      <c r="A43" s="78" t="s">
        <v>11</v>
      </c>
      <c r="B43" s="79">
        <v>20</v>
      </c>
      <c r="C43" s="79">
        <v>4</v>
      </c>
      <c r="D43" s="80"/>
      <c r="E43" s="80"/>
      <c r="F43" s="79">
        <v>24</v>
      </c>
      <c r="G43" s="81">
        <v>83.33</v>
      </c>
      <c r="H43" s="81">
        <v>83.33</v>
      </c>
    </row>
    <row r="44" spans="1:8" ht="78.75" x14ac:dyDescent="0.25">
      <c r="A44" s="78" t="s">
        <v>12</v>
      </c>
      <c r="B44" s="79">
        <v>5</v>
      </c>
      <c r="C44" s="79">
        <v>5</v>
      </c>
      <c r="D44" s="80"/>
      <c r="E44" s="80"/>
      <c r="F44" s="79">
        <v>10</v>
      </c>
      <c r="G44" s="81">
        <v>50</v>
      </c>
      <c r="H44" s="81">
        <v>50</v>
      </c>
    </row>
    <row r="45" spans="1:8" ht="67.5" x14ac:dyDescent="0.25">
      <c r="A45" s="78" t="s">
        <v>13</v>
      </c>
      <c r="B45" s="79">
        <v>6</v>
      </c>
      <c r="C45" s="80"/>
      <c r="D45" s="80"/>
      <c r="E45" s="80"/>
      <c r="F45" s="79">
        <v>6</v>
      </c>
      <c r="G45" s="81">
        <v>100</v>
      </c>
      <c r="H45" s="81">
        <v>100</v>
      </c>
    </row>
    <row r="46" spans="1:8" ht="67.5" x14ac:dyDescent="0.25">
      <c r="A46" s="78" t="s">
        <v>14</v>
      </c>
      <c r="B46" s="79">
        <v>47</v>
      </c>
      <c r="C46" s="79">
        <v>13</v>
      </c>
      <c r="D46" s="80"/>
      <c r="E46" s="79">
        <v>2</v>
      </c>
      <c r="F46" s="79">
        <v>62</v>
      </c>
      <c r="G46" s="81">
        <v>78.33</v>
      </c>
      <c r="H46" s="81">
        <v>75.81</v>
      </c>
    </row>
    <row r="47" spans="1:8" ht="67.5" x14ac:dyDescent="0.25">
      <c r="A47" s="78" t="s">
        <v>16</v>
      </c>
      <c r="B47" s="79">
        <v>9</v>
      </c>
      <c r="C47" s="80"/>
      <c r="D47" s="80"/>
      <c r="E47" s="80"/>
      <c r="F47" s="79">
        <v>9</v>
      </c>
      <c r="G47" s="81">
        <v>100</v>
      </c>
      <c r="H47" s="81">
        <v>100</v>
      </c>
    </row>
    <row r="48" spans="1:8" ht="67.5" x14ac:dyDescent="0.25">
      <c r="A48" s="78" t="s">
        <v>17</v>
      </c>
      <c r="B48" s="79">
        <v>5</v>
      </c>
      <c r="C48" s="79">
        <v>2</v>
      </c>
      <c r="D48" s="80"/>
      <c r="E48" s="80"/>
      <c r="F48" s="79">
        <v>7</v>
      </c>
      <c r="G48" s="81">
        <v>71.430000000000007</v>
      </c>
      <c r="H48" s="81">
        <v>71.430000000000007</v>
      </c>
    </row>
    <row r="49" spans="1:8" ht="67.5" x14ac:dyDescent="0.25">
      <c r="A49" s="78" t="s">
        <v>18</v>
      </c>
      <c r="B49" s="79">
        <v>5</v>
      </c>
      <c r="C49" s="79">
        <v>7</v>
      </c>
      <c r="D49" s="80"/>
      <c r="E49" s="79">
        <v>1</v>
      </c>
      <c r="F49" s="79">
        <v>13</v>
      </c>
      <c r="G49" s="81">
        <v>41.67</v>
      </c>
      <c r="H49" s="81">
        <v>38.46</v>
      </c>
    </row>
    <row r="50" spans="1:8" ht="67.5" x14ac:dyDescent="0.25">
      <c r="A50" s="78" t="s">
        <v>19</v>
      </c>
      <c r="B50" s="79">
        <v>11</v>
      </c>
      <c r="C50" s="79">
        <v>10</v>
      </c>
      <c r="D50" s="80"/>
      <c r="E50" s="79">
        <v>1</v>
      </c>
      <c r="F50" s="79">
        <v>22</v>
      </c>
      <c r="G50" s="81">
        <v>52.38</v>
      </c>
      <c r="H50" s="81">
        <v>50</v>
      </c>
    </row>
    <row r="51" spans="1:8" ht="67.5" x14ac:dyDescent="0.25">
      <c r="A51" s="78" t="s">
        <v>20</v>
      </c>
      <c r="B51" s="79">
        <v>51</v>
      </c>
      <c r="C51" s="79">
        <v>18</v>
      </c>
      <c r="D51" s="80"/>
      <c r="E51" s="79">
        <v>1</v>
      </c>
      <c r="F51" s="79">
        <v>70</v>
      </c>
      <c r="G51" s="81">
        <v>73.91</v>
      </c>
      <c r="H51" s="81">
        <v>72.86</v>
      </c>
    </row>
    <row r="52" spans="1:8" ht="67.5" x14ac:dyDescent="0.25">
      <c r="A52" s="78" t="s">
        <v>21</v>
      </c>
      <c r="B52" s="79">
        <v>55</v>
      </c>
      <c r="C52" s="79">
        <v>43</v>
      </c>
      <c r="D52" s="80"/>
      <c r="E52" s="79">
        <v>1</v>
      </c>
      <c r="F52" s="79">
        <v>99</v>
      </c>
      <c r="G52" s="81">
        <v>56.12</v>
      </c>
      <c r="H52" s="81">
        <v>55.56</v>
      </c>
    </row>
    <row r="53" spans="1:8" ht="67.5" x14ac:dyDescent="0.25">
      <c r="A53" s="78" t="s">
        <v>24</v>
      </c>
      <c r="B53" s="79">
        <v>19</v>
      </c>
      <c r="C53" s="79">
        <v>22</v>
      </c>
      <c r="D53" s="80"/>
      <c r="E53" s="80"/>
      <c r="F53" s="79">
        <v>41</v>
      </c>
      <c r="G53" s="81">
        <v>46.34</v>
      </c>
      <c r="H53" s="81">
        <v>46.34</v>
      </c>
    </row>
    <row r="54" spans="1:8" ht="67.5" x14ac:dyDescent="0.25">
      <c r="A54" s="78" t="s">
        <v>25</v>
      </c>
      <c r="B54" s="79">
        <v>0</v>
      </c>
      <c r="C54" s="79">
        <v>1</v>
      </c>
      <c r="D54" s="80"/>
      <c r="E54" s="80"/>
      <c r="F54" s="79">
        <v>1</v>
      </c>
      <c r="G54" s="80"/>
      <c r="H54" s="81">
        <v>0</v>
      </c>
    </row>
    <row r="55" spans="1:8" ht="67.5" x14ac:dyDescent="0.25">
      <c r="A55" s="78" t="s">
        <v>26</v>
      </c>
      <c r="B55" s="79">
        <v>86</v>
      </c>
      <c r="C55" s="79">
        <v>58</v>
      </c>
      <c r="D55" s="80"/>
      <c r="E55" s="79">
        <v>3</v>
      </c>
      <c r="F55" s="79">
        <v>147</v>
      </c>
      <c r="G55" s="81">
        <v>59.72</v>
      </c>
      <c r="H55" s="81">
        <v>58.5</v>
      </c>
    </row>
    <row r="56" spans="1:8" ht="67.5" x14ac:dyDescent="0.25">
      <c r="A56" s="78" t="s">
        <v>27</v>
      </c>
      <c r="B56" s="79">
        <v>135</v>
      </c>
      <c r="C56" s="79">
        <v>41</v>
      </c>
      <c r="D56" s="80"/>
      <c r="E56" s="79">
        <v>1</v>
      </c>
      <c r="F56" s="79">
        <v>177</v>
      </c>
      <c r="G56" s="81">
        <v>76.7</v>
      </c>
      <c r="H56" s="81">
        <v>76.27</v>
      </c>
    </row>
    <row r="57" spans="1:8" ht="67.5" x14ac:dyDescent="0.25">
      <c r="A57" s="78" t="s">
        <v>28</v>
      </c>
      <c r="B57" s="79">
        <v>87</v>
      </c>
      <c r="C57" s="79">
        <v>43</v>
      </c>
      <c r="D57" s="80"/>
      <c r="E57" s="79">
        <v>2</v>
      </c>
      <c r="F57" s="79">
        <v>132</v>
      </c>
      <c r="G57" s="81">
        <v>66.92</v>
      </c>
      <c r="H57" s="81">
        <v>65.91</v>
      </c>
    </row>
    <row r="58" spans="1:8" ht="67.5" x14ac:dyDescent="0.25">
      <c r="A58" s="78" t="s">
        <v>29</v>
      </c>
      <c r="B58" s="79">
        <v>66</v>
      </c>
      <c r="C58" s="79">
        <v>14</v>
      </c>
      <c r="D58" s="80"/>
      <c r="E58" s="79">
        <v>5</v>
      </c>
      <c r="F58" s="79">
        <v>85</v>
      </c>
      <c r="G58" s="81">
        <v>82.5</v>
      </c>
      <c r="H58" s="81">
        <v>77.650000000000006</v>
      </c>
    </row>
    <row r="59" spans="1:8" ht="90" x14ac:dyDescent="0.25">
      <c r="A59" s="78" t="s">
        <v>185</v>
      </c>
      <c r="B59" s="79">
        <v>14</v>
      </c>
      <c r="C59" s="79">
        <v>2</v>
      </c>
      <c r="D59" s="80"/>
      <c r="E59" s="79">
        <v>1</v>
      </c>
      <c r="F59" s="79">
        <v>17</v>
      </c>
      <c r="G59" s="81">
        <v>87.5</v>
      </c>
      <c r="H59" s="81">
        <v>82.35</v>
      </c>
    </row>
    <row r="60" spans="1:8" ht="67.5" x14ac:dyDescent="0.25">
      <c r="A60" s="78" t="s">
        <v>30</v>
      </c>
      <c r="B60" s="79">
        <v>15</v>
      </c>
      <c r="C60" s="79">
        <v>7</v>
      </c>
      <c r="D60" s="80"/>
      <c r="E60" s="79">
        <v>1</v>
      </c>
      <c r="F60" s="79">
        <v>23</v>
      </c>
      <c r="G60" s="81">
        <v>68.180000000000007</v>
      </c>
      <c r="H60" s="81">
        <v>65.22</v>
      </c>
    </row>
    <row r="61" spans="1:8" ht="78.75" x14ac:dyDescent="0.25">
      <c r="A61" s="78" t="s">
        <v>31</v>
      </c>
      <c r="B61" s="79">
        <v>7</v>
      </c>
      <c r="C61" s="79">
        <v>6</v>
      </c>
      <c r="D61" s="80"/>
      <c r="E61" s="80"/>
      <c r="F61" s="79">
        <v>13</v>
      </c>
      <c r="G61" s="81">
        <v>53.85</v>
      </c>
      <c r="H61" s="81">
        <v>53.85</v>
      </c>
    </row>
    <row r="62" spans="1:8" ht="67.5" x14ac:dyDescent="0.25">
      <c r="A62" s="78" t="s">
        <v>32</v>
      </c>
      <c r="B62" s="79">
        <v>5</v>
      </c>
      <c r="C62" s="79">
        <v>2</v>
      </c>
      <c r="D62" s="80"/>
      <c r="E62" s="80"/>
      <c r="F62" s="79">
        <v>7</v>
      </c>
      <c r="G62" s="81">
        <v>71.430000000000007</v>
      </c>
      <c r="H62" s="81">
        <v>71.430000000000007</v>
      </c>
    </row>
    <row r="63" spans="1:8" ht="67.5" x14ac:dyDescent="0.25">
      <c r="A63" s="78" t="s">
        <v>33</v>
      </c>
      <c r="B63" s="79">
        <v>12</v>
      </c>
      <c r="C63" s="79">
        <v>3</v>
      </c>
      <c r="D63" s="80"/>
      <c r="E63" s="80"/>
      <c r="F63" s="79">
        <v>15</v>
      </c>
      <c r="G63" s="81">
        <v>80</v>
      </c>
      <c r="H63" s="81">
        <v>80</v>
      </c>
    </row>
    <row r="64" spans="1:8" ht="78.75" x14ac:dyDescent="0.25">
      <c r="A64" s="78" t="s">
        <v>34</v>
      </c>
      <c r="B64" s="79">
        <v>4</v>
      </c>
      <c r="C64" s="79">
        <v>6</v>
      </c>
      <c r="D64" s="80"/>
      <c r="E64" s="80"/>
      <c r="F64" s="79">
        <v>10</v>
      </c>
      <c r="G64" s="81">
        <v>40</v>
      </c>
      <c r="H64" s="81">
        <v>40</v>
      </c>
    </row>
    <row r="65" spans="1:8" ht="78.75" x14ac:dyDescent="0.25">
      <c r="A65" s="78" t="s">
        <v>35</v>
      </c>
      <c r="B65" s="79">
        <v>9</v>
      </c>
      <c r="C65" s="79">
        <v>39</v>
      </c>
      <c r="D65" s="80"/>
      <c r="E65" s="80"/>
      <c r="F65" s="79">
        <v>48</v>
      </c>
      <c r="G65" s="81">
        <v>18.75</v>
      </c>
      <c r="H65" s="81">
        <v>18.75</v>
      </c>
    </row>
    <row r="66" spans="1:8" ht="78.75" x14ac:dyDescent="0.25">
      <c r="A66" s="78" t="s">
        <v>37</v>
      </c>
      <c r="B66" s="79">
        <v>15</v>
      </c>
      <c r="C66" s="79">
        <v>22</v>
      </c>
      <c r="D66" s="80"/>
      <c r="E66" s="80"/>
      <c r="F66" s="79">
        <v>37</v>
      </c>
      <c r="G66" s="81">
        <v>40.54</v>
      </c>
      <c r="H66" s="81">
        <v>40.54</v>
      </c>
    </row>
    <row r="67" spans="1:8" ht="78.75" x14ac:dyDescent="0.25">
      <c r="A67" s="78" t="s">
        <v>38</v>
      </c>
      <c r="B67" s="79">
        <v>20</v>
      </c>
      <c r="C67" s="79">
        <v>7</v>
      </c>
      <c r="D67" s="80"/>
      <c r="E67" s="80"/>
      <c r="F67" s="79">
        <v>27</v>
      </c>
      <c r="G67" s="81">
        <v>74.069999999999993</v>
      </c>
      <c r="H67" s="81">
        <v>74.069999999999993</v>
      </c>
    </row>
    <row r="68" spans="1:8" ht="78.75" x14ac:dyDescent="0.25">
      <c r="A68" s="78" t="s">
        <v>39</v>
      </c>
      <c r="B68" s="79">
        <v>7</v>
      </c>
      <c r="C68" s="80"/>
      <c r="D68" s="80"/>
      <c r="E68" s="80"/>
      <c r="F68" s="79">
        <v>7</v>
      </c>
      <c r="G68" s="81">
        <v>100</v>
      </c>
      <c r="H68" s="81">
        <v>100</v>
      </c>
    </row>
    <row r="69" spans="1:8" ht="78.75" x14ac:dyDescent="0.25">
      <c r="A69" s="78" t="s">
        <v>40</v>
      </c>
      <c r="B69" s="79">
        <v>9</v>
      </c>
      <c r="C69" s="79">
        <v>8</v>
      </c>
      <c r="D69" s="80"/>
      <c r="E69" s="80"/>
      <c r="F69" s="79">
        <v>17</v>
      </c>
      <c r="G69" s="81">
        <v>52.94</v>
      </c>
      <c r="H69" s="81">
        <v>52.94</v>
      </c>
    </row>
    <row r="70" spans="1:8" ht="67.5" x14ac:dyDescent="0.25">
      <c r="A70" s="78" t="s">
        <v>42</v>
      </c>
      <c r="B70" s="79">
        <v>3</v>
      </c>
      <c r="C70" s="79">
        <v>4</v>
      </c>
      <c r="D70" s="80"/>
      <c r="E70" s="79">
        <v>1</v>
      </c>
      <c r="F70" s="79">
        <v>8</v>
      </c>
      <c r="G70" s="81">
        <v>42.86</v>
      </c>
      <c r="H70" s="81">
        <v>37.5</v>
      </c>
    </row>
    <row r="71" spans="1:8" ht="67.5" x14ac:dyDescent="0.25">
      <c r="A71" s="78" t="s">
        <v>43</v>
      </c>
      <c r="B71" s="79">
        <v>9</v>
      </c>
      <c r="C71" s="79">
        <v>7</v>
      </c>
      <c r="D71" s="80"/>
      <c r="E71" s="80"/>
      <c r="F71" s="79">
        <v>16</v>
      </c>
      <c r="G71" s="81">
        <v>56.25</v>
      </c>
      <c r="H71" s="81">
        <v>56.25</v>
      </c>
    </row>
    <row r="72" spans="1:8" ht="78.75" x14ac:dyDescent="0.25">
      <c r="A72" s="78" t="s">
        <v>204</v>
      </c>
      <c r="B72" s="79">
        <v>1</v>
      </c>
      <c r="C72" s="79">
        <v>1</v>
      </c>
      <c r="D72" s="80"/>
      <c r="E72" s="79">
        <v>1</v>
      </c>
      <c r="F72" s="79">
        <v>3</v>
      </c>
      <c r="G72" s="81">
        <v>50</v>
      </c>
      <c r="H72" s="81">
        <v>33.33</v>
      </c>
    </row>
    <row r="73" spans="1:8" ht="78.75" x14ac:dyDescent="0.25">
      <c r="A73" s="78" t="s">
        <v>205</v>
      </c>
      <c r="B73" s="79">
        <v>0</v>
      </c>
      <c r="C73" s="79">
        <v>1</v>
      </c>
      <c r="D73" s="80"/>
      <c r="E73" s="80"/>
      <c r="F73" s="79">
        <v>1</v>
      </c>
      <c r="G73" s="80"/>
      <c r="H73" s="81">
        <v>0</v>
      </c>
    </row>
    <row r="74" spans="1:8" ht="90" x14ac:dyDescent="0.25">
      <c r="A74" s="78" t="s">
        <v>206</v>
      </c>
      <c r="B74" s="79">
        <v>0</v>
      </c>
      <c r="C74" s="80"/>
      <c r="D74" s="80"/>
      <c r="E74" s="79">
        <v>1</v>
      </c>
      <c r="F74" s="79">
        <v>1</v>
      </c>
      <c r="G74" s="80"/>
      <c r="H74" s="81">
        <v>0</v>
      </c>
    </row>
    <row r="75" spans="1:8" ht="78.75" x14ac:dyDescent="0.25">
      <c r="A75" s="78" t="s">
        <v>46</v>
      </c>
      <c r="B75" s="79">
        <v>1</v>
      </c>
      <c r="C75" s="79">
        <v>1</v>
      </c>
      <c r="D75" s="80"/>
      <c r="E75" s="80"/>
      <c r="F75" s="79">
        <v>2</v>
      </c>
      <c r="G75" s="81">
        <v>50</v>
      </c>
      <c r="H75" s="81">
        <v>50</v>
      </c>
    </row>
    <row r="76" spans="1:8" ht="78.75" x14ac:dyDescent="0.25">
      <c r="A76" s="78" t="s">
        <v>47</v>
      </c>
      <c r="B76" s="79">
        <v>72</v>
      </c>
      <c r="C76" s="79">
        <v>46</v>
      </c>
      <c r="D76" s="80"/>
      <c r="E76" s="79">
        <v>2</v>
      </c>
      <c r="F76" s="79">
        <v>120</v>
      </c>
      <c r="G76" s="81">
        <v>61.02</v>
      </c>
      <c r="H76" s="81">
        <v>60</v>
      </c>
    </row>
    <row r="77" spans="1:8" ht="78.75" x14ac:dyDescent="0.25">
      <c r="A77" s="78" t="s">
        <v>48</v>
      </c>
      <c r="B77" s="79">
        <v>8</v>
      </c>
      <c r="C77" s="79">
        <v>3</v>
      </c>
      <c r="D77" s="80"/>
      <c r="E77" s="80"/>
      <c r="F77" s="79">
        <v>11</v>
      </c>
      <c r="G77" s="81">
        <v>72.73</v>
      </c>
      <c r="H77" s="81">
        <v>72.73</v>
      </c>
    </row>
    <row r="78" spans="1:8" ht="78.75" x14ac:dyDescent="0.25">
      <c r="A78" s="78" t="s">
        <v>49</v>
      </c>
      <c r="B78" s="79">
        <v>27</v>
      </c>
      <c r="C78" s="79">
        <v>6</v>
      </c>
      <c r="D78" s="80"/>
      <c r="E78" s="80"/>
      <c r="F78" s="79">
        <v>33</v>
      </c>
      <c r="G78" s="81">
        <v>81.819999999999993</v>
      </c>
      <c r="H78" s="81">
        <v>81.819999999999993</v>
      </c>
    </row>
    <row r="79" spans="1:8" ht="67.5" x14ac:dyDescent="0.25">
      <c r="A79" s="78" t="s">
        <v>50</v>
      </c>
      <c r="B79" s="79">
        <v>1</v>
      </c>
      <c r="C79" s="80"/>
      <c r="D79" s="80"/>
      <c r="E79" s="80"/>
      <c r="F79" s="79">
        <v>1</v>
      </c>
      <c r="G79" s="81">
        <v>100</v>
      </c>
      <c r="H79" s="81">
        <v>100</v>
      </c>
    </row>
    <row r="80" spans="1:8" ht="67.5" x14ac:dyDescent="0.25">
      <c r="A80" s="78" t="s">
        <v>51</v>
      </c>
      <c r="B80" s="79">
        <v>9</v>
      </c>
      <c r="C80" s="79">
        <v>7</v>
      </c>
      <c r="D80" s="80"/>
      <c r="E80" s="80"/>
      <c r="F80" s="79">
        <v>16</v>
      </c>
      <c r="G80" s="81">
        <v>56.25</v>
      </c>
      <c r="H80" s="81">
        <v>56.25</v>
      </c>
    </row>
    <row r="81" spans="1:8" ht="67.5" x14ac:dyDescent="0.25">
      <c r="A81" s="78" t="s">
        <v>52</v>
      </c>
      <c r="B81" s="79">
        <v>5</v>
      </c>
      <c r="C81" s="79">
        <v>4</v>
      </c>
      <c r="D81" s="80"/>
      <c r="E81" s="80"/>
      <c r="F81" s="79">
        <v>9</v>
      </c>
      <c r="G81" s="81">
        <v>55.56</v>
      </c>
      <c r="H81" s="81">
        <v>55.56</v>
      </c>
    </row>
    <row r="82" spans="1:8" ht="67.5" x14ac:dyDescent="0.25">
      <c r="A82" s="78" t="s">
        <v>53</v>
      </c>
      <c r="B82" s="79">
        <v>30</v>
      </c>
      <c r="C82" s="79">
        <v>7</v>
      </c>
      <c r="D82" s="80"/>
      <c r="E82" s="79">
        <v>1</v>
      </c>
      <c r="F82" s="79">
        <v>38</v>
      </c>
      <c r="G82" s="81">
        <v>81.08</v>
      </c>
      <c r="H82" s="81">
        <v>78.95</v>
      </c>
    </row>
    <row r="83" spans="1:8" ht="67.5" x14ac:dyDescent="0.25">
      <c r="A83" s="78" t="s">
        <v>55</v>
      </c>
      <c r="B83" s="79">
        <v>15</v>
      </c>
      <c r="C83" s="79">
        <v>14</v>
      </c>
      <c r="D83" s="80"/>
      <c r="E83" s="80"/>
      <c r="F83" s="79">
        <v>29</v>
      </c>
      <c r="G83" s="81">
        <v>51.72</v>
      </c>
      <c r="H83" s="81">
        <v>51.72</v>
      </c>
    </row>
    <row r="84" spans="1:8" ht="67.5" x14ac:dyDescent="0.25">
      <c r="A84" s="78" t="s">
        <v>56</v>
      </c>
      <c r="B84" s="79">
        <v>84</v>
      </c>
      <c r="C84" s="79">
        <v>12</v>
      </c>
      <c r="D84" s="80"/>
      <c r="E84" s="79">
        <v>3</v>
      </c>
      <c r="F84" s="79">
        <v>99</v>
      </c>
      <c r="G84" s="81">
        <v>87.5</v>
      </c>
      <c r="H84" s="81">
        <v>84.85</v>
      </c>
    </row>
    <row r="85" spans="1:8" ht="90" x14ac:dyDescent="0.25">
      <c r="A85" s="78" t="s">
        <v>57</v>
      </c>
      <c r="B85" s="79">
        <v>38</v>
      </c>
      <c r="C85" s="79">
        <v>20</v>
      </c>
      <c r="D85" s="80"/>
      <c r="E85" s="79">
        <v>1</v>
      </c>
      <c r="F85" s="79">
        <v>59</v>
      </c>
      <c r="G85" s="81">
        <v>65.52</v>
      </c>
      <c r="H85" s="81">
        <v>64.41</v>
      </c>
    </row>
    <row r="86" spans="1:8" ht="90" x14ac:dyDescent="0.25">
      <c r="A86" s="78" t="s">
        <v>58</v>
      </c>
      <c r="B86" s="79">
        <v>7</v>
      </c>
      <c r="C86" s="79">
        <v>1</v>
      </c>
      <c r="D86" s="80"/>
      <c r="E86" s="80"/>
      <c r="F86" s="79">
        <v>8</v>
      </c>
      <c r="G86" s="81">
        <v>87.5</v>
      </c>
      <c r="H86" s="81">
        <v>87.5</v>
      </c>
    </row>
    <row r="87" spans="1:8" ht="90" x14ac:dyDescent="0.25">
      <c r="A87" s="78" t="s">
        <v>59</v>
      </c>
      <c r="B87" s="79">
        <v>32</v>
      </c>
      <c r="C87" s="79">
        <v>15</v>
      </c>
      <c r="D87" s="80"/>
      <c r="E87" s="80"/>
      <c r="F87" s="79">
        <v>47</v>
      </c>
      <c r="G87" s="81">
        <v>68.09</v>
      </c>
      <c r="H87" s="81">
        <v>68.09</v>
      </c>
    </row>
    <row r="88" spans="1:8" ht="90" x14ac:dyDescent="0.25">
      <c r="A88" s="78" t="s">
        <v>60</v>
      </c>
      <c r="B88" s="79">
        <v>4</v>
      </c>
      <c r="C88" s="79">
        <v>2</v>
      </c>
      <c r="D88" s="80"/>
      <c r="E88" s="80"/>
      <c r="F88" s="79">
        <v>6</v>
      </c>
      <c r="G88" s="81">
        <v>66.67</v>
      </c>
      <c r="H88" s="81">
        <v>66.67</v>
      </c>
    </row>
    <row r="89" spans="1:8" ht="78.75" x14ac:dyDescent="0.25">
      <c r="A89" s="78" t="s">
        <v>61</v>
      </c>
      <c r="B89" s="79">
        <v>3</v>
      </c>
      <c r="C89" s="80"/>
      <c r="D89" s="80"/>
      <c r="E89" s="80"/>
      <c r="F89" s="79">
        <v>3</v>
      </c>
      <c r="G89" s="81">
        <v>100</v>
      </c>
      <c r="H89" s="81">
        <v>100</v>
      </c>
    </row>
    <row r="90" spans="1:8" ht="90" x14ac:dyDescent="0.25">
      <c r="A90" s="78" t="s">
        <v>62</v>
      </c>
      <c r="B90" s="79">
        <v>0</v>
      </c>
      <c r="C90" s="79">
        <v>2</v>
      </c>
      <c r="D90" s="80"/>
      <c r="E90" s="80"/>
      <c r="F90" s="79">
        <v>2</v>
      </c>
      <c r="G90" s="80"/>
      <c r="H90" s="81">
        <v>0</v>
      </c>
    </row>
    <row r="91" spans="1:8" ht="78.75" x14ac:dyDescent="0.25">
      <c r="A91" s="78" t="s">
        <v>63</v>
      </c>
      <c r="B91" s="79">
        <v>39</v>
      </c>
      <c r="C91" s="79">
        <v>14</v>
      </c>
      <c r="D91" s="80"/>
      <c r="E91" s="80"/>
      <c r="F91" s="79">
        <v>53</v>
      </c>
      <c r="G91" s="81">
        <v>73.58</v>
      </c>
      <c r="H91" s="81">
        <v>73.58</v>
      </c>
    </row>
    <row r="92" spans="1:8" ht="90" x14ac:dyDescent="0.25">
      <c r="A92" s="78" t="s">
        <v>64</v>
      </c>
      <c r="B92" s="79">
        <v>13</v>
      </c>
      <c r="C92" s="79">
        <v>9</v>
      </c>
      <c r="D92" s="80"/>
      <c r="E92" s="80"/>
      <c r="F92" s="79">
        <v>22</v>
      </c>
      <c r="G92" s="81">
        <v>59.09</v>
      </c>
      <c r="H92" s="81">
        <v>59.09</v>
      </c>
    </row>
    <row r="93" spans="1:8" ht="90" x14ac:dyDescent="0.25">
      <c r="A93" s="78" t="s">
        <v>66</v>
      </c>
      <c r="B93" s="79">
        <v>44</v>
      </c>
      <c r="C93" s="79">
        <v>27</v>
      </c>
      <c r="D93" s="80"/>
      <c r="E93" s="79">
        <v>1</v>
      </c>
      <c r="F93" s="79">
        <v>72</v>
      </c>
      <c r="G93" s="81">
        <v>61.97</v>
      </c>
      <c r="H93" s="81">
        <v>61.11</v>
      </c>
    </row>
    <row r="94" spans="1:8" ht="90" x14ac:dyDescent="0.25">
      <c r="A94" s="78" t="s">
        <v>67</v>
      </c>
      <c r="B94" s="79">
        <v>12</v>
      </c>
      <c r="C94" s="79">
        <v>15</v>
      </c>
      <c r="D94" s="80"/>
      <c r="E94" s="80"/>
      <c r="F94" s="79">
        <v>27</v>
      </c>
      <c r="G94" s="81">
        <v>44.44</v>
      </c>
      <c r="H94" s="81">
        <v>44.44</v>
      </c>
    </row>
    <row r="95" spans="1:8" ht="90" x14ac:dyDescent="0.25">
      <c r="A95" s="78" t="s">
        <v>69</v>
      </c>
      <c r="B95" s="79">
        <v>38</v>
      </c>
      <c r="C95" s="79">
        <v>20</v>
      </c>
      <c r="D95" s="80"/>
      <c r="E95" s="80"/>
      <c r="F95" s="79">
        <v>58</v>
      </c>
      <c r="G95" s="81">
        <v>65.52</v>
      </c>
      <c r="H95" s="81">
        <v>65.52</v>
      </c>
    </row>
    <row r="96" spans="1:8" ht="90" x14ac:dyDescent="0.25">
      <c r="A96" s="78" t="s">
        <v>70</v>
      </c>
      <c r="B96" s="79">
        <v>90</v>
      </c>
      <c r="C96" s="79">
        <v>29</v>
      </c>
      <c r="D96" s="80"/>
      <c r="E96" s="80"/>
      <c r="F96" s="79">
        <v>119</v>
      </c>
      <c r="G96" s="81">
        <v>75.63</v>
      </c>
      <c r="H96" s="81">
        <v>75.63</v>
      </c>
    </row>
    <row r="97" spans="1:8" ht="78.75" x14ac:dyDescent="0.25">
      <c r="A97" s="78" t="s">
        <v>71</v>
      </c>
      <c r="B97" s="79">
        <v>5</v>
      </c>
      <c r="C97" s="80"/>
      <c r="D97" s="80"/>
      <c r="E97" s="80"/>
      <c r="F97" s="79">
        <v>5</v>
      </c>
      <c r="G97" s="81">
        <v>100</v>
      </c>
      <c r="H97" s="81">
        <v>100</v>
      </c>
    </row>
    <row r="98" spans="1:8" ht="90" x14ac:dyDescent="0.25">
      <c r="A98" s="78" t="s">
        <v>72</v>
      </c>
      <c r="B98" s="79">
        <v>2</v>
      </c>
      <c r="C98" s="79">
        <v>2</v>
      </c>
      <c r="D98" s="80"/>
      <c r="E98" s="79">
        <v>1</v>
      </c>
      <c r="F98" s="79">
        <v>5</v>
      </c>
      <c r="G98" s="81">
        <v>50</v>
      </c>
      <c r="H98" s="81">
        <v>40</v>
      </c>
    </row>
    <row r="99" spans="1:8" ht="78.75" x14ac:dyDescent="0.25">
      <c r="A99" s="78" t="s">
        <v>73</v>
      </c>
      <c r="B99" s="79">
        <v>3</v>
      </c>
      <c r="C99" s="79">
        <v>2</v>
      </c>
      <c r="D99" s="80"/>
      <c r="E99" s="80"/>
      <c r="F99" s="79">
        <v>5</v>
      </c>
      <c r="G99" s="81">
        <v>60</v>
      </c>
      <c r="H99" s="81">
        <v>60</v>
      </c>
    </row>
    <row r="100" spans="1:8" ht="90" x14ac:dyDescent="0.25">
      <c r="A100" s="78" t="s">
        <v>74</v>
      </c>
      <c r="B100" s="79">
        <v>4</v>
      </c>
      <c r="C100" s="80"/>
      <c r="D100" s="80"/>
      <c r="E100" s="79">
        <v>1</v>
      </c>
      <c r="F100" s="79">
        <v>5</v>
      </c>
      <c r="G100" s="81">
        <v>100</v>
      </c>
      <c r="H100" s="81">
        <v>80</v>
      </c>
    </row>
    <row r="101" spans="1:8" ht="112.5" x14ac:dyDescent="0.25">
      <c r="A101" s="78" t="s">
        <v>75</v>
      </c>
      <c r="B101" s="79">
        <v>9</v>
      </c>
      <c r="C101" s="79">
        <v>31</v>
      </c>
      <c r="D101" s="80"/>
      <c r="E101" s="79">
        <v>4</v>
      </c>
      <c r="F101" s="79">
        <v>44</v>
      </c>
      <c r="G101" s="81">
        <v>22.5</v>
      </c>
      <c r="H101" s="81">
        <v>20.45</v>
      </c>
    </row>
    <row r="102" spans="1:8" ht="78.75" x14ac:dyDescent="0.25">
      <c r="A102" s="78" t="s">
        <v>77</v>
      </c>
      <c r="B102" s="79">
        <v>28</v>
      </c>
      <c r="C102" s="79">
        <v>15</v>
      </c>
      <c r="D102" s="80"/>
      <c r="E102" s="80"/>
      <c r="F102" s="79">
        <v>43</v>
      </c>
      <c r="G102" s="81">
        <v>65.12</v>
      </c>
      <c r="H102" s="81">
        <v>65.12</v>
      </c>
    </row>
    <row r="103" spans="1:8" ht="78.75" x14ac:dyDescent="0.25">
      <c r="A103" s="78" t="s">
        <v>78</v>
      </c>
      <c r="B103" s="79">
        <v>23</v>
      </c>
      <c r="C103" s="79">
        <v>9</v>
      </c>
      <c r="D103" s="80"/>
      <c r="E103" s="80"/>
      <c r="F103" s="79">
        <v>32</v>
      </c>
      <c r="G103" s="81">
        <v>71.88</v>
      </c>
      <c r="H103" s="81">
        <v>71.88</v>
      </c>
    </row>
    <row r="104" spans="1:8" ht="78.75" x14ac:dyDescent="0.25">
      <c r="A104" s="78" t="s">
        <v>79</v>
      </c>
      <c r="B104" s="79">
        <v>11</v>
      </c>
      <c r="C104" s="79">
        <v>4</v>
      </c>
      <c r="D104" s="80"/>
      <c r="E104" s="80"/>
      <c r="F104" s="79">
        <v>15</v>
      </c>
      <c r="G104" s="81">
        <v>73.33</v>
      </c>
      <c r="H104" s="81">
        <v>73.33</v>
      </c>
    </row>
    <row r="105" spans="1:8" ht="78.75" x14ac:dyDescent="0.25">
      <c r="A105" s="78" t="s">
        <v>80</v>
      </c>
      <c r="B105" s="79">
        <v>26</v>
      </c>
      <c r="C105" s="79">
        <v>2</v>
      </c>
      <c r="D105" s="80"/>
      <c r="E105" s="80"/>
      <c r="F105" s="79">
        <v>28</v>
      </c>
      <c r="G105" s="81">
        <v>92.86</v>
      </c>
      <c r="H105" s="81">
        <v>92.86</v>
      </c>
    </row>
    <row r="106" spans="1:8" ht="67.5" x14ac:dyDescent="0.25">
      <c r="A106" s="78" t="s">
        <v>82</v>
      </c>
      <c r="B106" s="79">
        <v>35</v>
      </c>
      <c r="C106" s="79">
        <v>11</v>
      </c>
      <c r="D106" s="80"/>
      <c r="E106" s="79">
        <v>1</v>
      </c>
      <c r="F106" s="79">
        <v>47</v>
      </c>
      <c r="G106" s="81">
        <v>76.09</v>
      </c>
      <c r="H106" s="81">
        <v>74.47</v>
      </c>
    </row>
    <row r="107" spans="1:8" ht="67.5" x14ac:dyDescent="0.25">
      <c r="A107" s="78" t="s">
        <v>83</v>
      </c>
      <c r="B107" s="79">
        <v>18</v>
      </c>
      <c r="C107" s="79">
        <v>11</v>
      </c>
      <c r="D107" s="80"/>
      <c r="E107" s="80"/>
      <c r="F107" s="79">
        <v>29</v>
      </c>
      <c r="G107" s="81">
        <v>62.07</v>
      </c>
      <c r="H107" s="81">
        <v>62.07</v>
      </c>
    </row>
    <row r="108" spans="1:8" ht="67.5" x14ac:dyDescent="0.25">
      <c r="A108" s="78" t="s">
        <v>84</v>
      </c>
      <c r="B108" s="79">
        <v>4</v>
      </c>
      <c r="C108" s="79">
        <v>1</v>
      </c>
      <c r="D108" s="80"/>
      <c r="E108" s="79">
        <v>2</v>
      </c>
      <c r="F108" s="79">
        <v>7</v>
      </c>
      <c r="G108" s="81">
        <v>80</v>
      </c>
      <c r="H108" s="81">
        <v>57.14</v>
      </c>
    </row>
    <row r="109" spans="1:8" ht="67.5" x14ac:dyDescent="0.25">
      <c r="A109" s="78" t="s">
        <v>85</v>
      </c>
      <c r="B109" s="79">
        <v>0</v>
      </c>
      <c r="C109" s="79">
        <v>1</v>
      </c>
      <c r="D109" s="80"/>
      <c r="E109" s="80"/>
      <c r="F109" s="79">
        <v>1</v>
      </c>
      <c r="G109" s="80"/>
      <c r="H109" s="81">
        <v>0</v>
      </c>
    </row>
    <row r="110" spans="1:8" ht="67.5" x14ac:dyDescent="0.25">
      <c r="A110" s="78" t="s">
        <v>86</v>
      </c>
      <c r="B110" s="79">
        <v>39</v>
      </c>
      <c r="C110" s="79">
        <v>32</v>
      </c>
      <c r="D110" s="80"/>
      <c r="E110" s="79">
        <v>1</v>
      </c>
      <c r="F110" s="79">
        <v>72</v>
      </c>
      <c r="G110" s="81">
        <v>54.93</v>
      </c>
      <c r="H110" s="81">
        <v>54.17</v>
      </c>
    </row>
    <row r="111" spans="1:8" ht="67.5" x14ac:dyDescent="0.25">
      <c r="A111" s="78" t="s">
        <v>87</v>
      </c>
      <c r="B111" s="79">
        <v>9</v>
      </c>
      <c r="C111" s="79">
        <v>4</v>
      </c>
      <c r="D111" s="80"/>
      <c r="E111" s="80"/>
      <c r="F111" s="79">
        <v>13</v>
      </c>
      <c r="G111" s="81">
        <v>69.23</v>
      </c>
      <c r="H111" s="81">
        <v>69.23</v>
      </c>
    </row>
    <row r="112" spans="1:8" ht="67.5" x14ac:dyDescent="0.25">
      <c r="A112" s="78" t="s">
        <v>88</v>
      </c>
      <c r="B112" s="79">
        <v>4</v>
      </c>
      <c r="C112" s="80"/>
      <c r="D112" s="80"/>
      <c r="E112" s="80"/>
      <c r="F112" s="79">
        <v>4</v>
      </c>
      <c r="G112" s="81">
        <v>100</v>
      </c>
      <c r="H112" s="81">
        <v>100</v>
      </c>
    </row>
    <row r="113" spans="1:8" ht="67.5" x14ac:dyDescent="0.25">
      <c r="A113" s="78" t="s">
        <v>89</v>
      </c>
      <c r="B113" s="79">
        <v>19</v>
      </c>
      <c r="C113" s="79">
        <v>17</v>
      </c>
      <c r="D113" s="80"/>
      <c r="E113" s="80"/>
      <c r="F113" s="79">
        <v>36</v>
      </c>
      <c r="G113" s="81">
        <v>52.78</v>
      </c>
      <c r="H113" s="81">
        <v>52.78</v>
      </c>
    </row>
    <row r="114" spans="1:8" ht="67.5" x14ac:dyDescent="0.25">
      <c r="A114" s="78" t="s">
        <v>90</v>
      </c>
      <c r="B114" s="79">
        <v>26</v>
      </c>
      <c r="C114" s="79">
        <v>50</v>
      </c>
      <c r="D114" s="80"/>
      <c r="E114" s="79">
        <v>2</v>
      </c>
      <c r="F114" s="79">
        <v>78</v>
      </c>
      <c r="G114" s="81">
        <v>34.21</v>
      </c>
      <c r="H114" s="81">
        <v>33.33</v>
      </c>
    </row>
    <row r="115" spans="1:8" ht="67.5" x14ac:dyDescent="0.25">
      <c r="A115" s="78" t="s">
        <v>91</v>
      </c>
      <c r="B115" s="79">
        <v>5</v>
      </c>
      <c r="C115" s="79">
        <v>7</v>
      </c>
      <c r="D115" s="80"/>
      <c r="E115" s="79">
        <v>1</v>
      </c>
      <c r="F115" s="79">
        <v>13</v>
      </c>
      <c r="G115" s="81">
        <v>41.67</v>
      </c>
      <c r="H115" s="81">
        <v>38.46</v>
      </c>
    </row>
    <row r="116" spans="1:8" ht="67.5" x14ac:dyDescent="0.25">
      <c r="A116" s="78" t="s">
        <v>92</v>
      </c>
      <c r="B116" s="79">
        <v>4</v>
      </c>
      <c r="C116" s="79">
        <v>1</v>
      </c>
      <c r="D116" s="80"/>
      <c r="E116" s="80"/>
      <c r="F116" s="79">
        <v>5</v>
      </c>
      <c r="G116" s="81">
        <v>80</v>
      </c>
      <c r="H116" s="81">
        <v>80</v>
      </c>
    </row>
    <row r="117" spans="1:8" ht="67.5" x14ac:dyDescent="0.25">
      <c r="A117" s="78" t="s">
        <v>93</v>
      </c>
      <c r="B117" s="79">
        <v>36</v>
      </c>
      <c r="C117" s="79">
        <v>26</v>
      </c>
      <c r="D117" s="80"/>
      <c r="E117" s="80"/>
      <c r="F117" s="79">
        <v>62</v>
      </c>
      <c r="G117" s="81">
        <v>58.06</v>
      </c>
      <c r="H117" s="81">
        <v>58.06</v>
      </c>
    </row>
    <row r="118" spans="1:8" ht="67.5" x14ac:dyDescent="0.25">
      <c r="A118" s="78" t="s">
        <v>94</v>
      </c>
      <c r="B118" s="79">
        <v>3</v>
      </c>
      <c r="C118" s="79">
        <v>2</v>
      </c>
      <c r="D118" s="80"/>
      <c r="E118" s="79">
        <v>1</v>
      </c>
      <c r="F118" s="79">
        <v>6</v>
      </c>
      <c r="G118" s="81">
        <v>60</v>
      </c>
      <c r="H118" s="81">
        <v>50</v>
      </c>
    </row>
    <row r="119" spans="1:8" ht="67.5" x14ac:dyDescent="0.25">
      <c r="A119" s="78" t="s">
        <v>95</v>
      </c>
      <c r="B119" s="79">
        <v>6</v>
      </c>
      <c r="C119" s="79">
        <v>1</v>
      </c>
      <c r="D119" s="80"/>
      <c r="E119" s="79">
        <v>1</v>
      </c>
      <c r="F119" s="79">
        <v>8</v>
      </c>
      <c r="G119" s="81">
        <v>85.71</v>
      </c>
      <c r="H119" s="81">
        <v>75</v>
      </c>
    </row>
    <row r="120" spans="1:8" ht="67.5" x14ac:dyDescent="0.25">
      <c r="A120" s="78" t="s">
        <v>96</v>
      </c>
      <c r="B120" s="79">
        <v>1</v>
      </c>
      <c r="C120" s="79">
        <v>3</v>
      </c>
      <c r="D120" s="80"/>
      <c r="E120" s="80"/>
      <c r="F120" s="79">
        <v>4</v>
      </c>
      <c r="G120" s="81">
        <v>25</v>
      </c>
      <c r="H120" s="81">
        <v>25</v>
      </c>
    </row>
    <row r="121" spans="1:8" ht="78.75" x14ac:dyDescent="0.25">
      <c r="A121" s="78" t="s">
        <v>97</v>
      </c>
      <c r="B121" s="79">
        <v>0</v>
      </c>
      <c r="C121" s="79">
        <v>2</v>
      </c>
      <c r="D121" s="80"/>
      <c r="E121" s="80"/>
      <c r="F121" s="79">
        <v>2</v>
      </c>
      <c r="G121" s="80"/>
      <c r="H121" s="81">
        <v>0</v>
      </c>
    </row>
    <row r="122" spans="1:8" ht="78.75" x14ac:dyDescent="0.25">
      <c r="A122" s="78" t="s">
        <v>98</v>
      </c>
      <c r="B122" s="79">
        <v>5</v>
      </c>
      <c r="C122" s="79">
        <v>15</v>
      </c>
      <c r="D122" s="80"/>
      <c r="E122" s="80"/>
      <c r="F122" s="79">
        <v>20</v>
      </c>
      <c r="G122" s="81">
        <v>25</v>
      </c>
      <c r="H122" s="81">
        <v>25</v>
      </c>
    </row>
    <row r="123" spans="1:8" ht="78.75" x14ac:dyDescent="0.25">
      <c r="A123" s="78" t="s">
        <v>99</v>
      </c>
      <c r="B123" s="79">
        <v>7</v>
      </c>
      <c r="C123" s="79">
        <v>9</v>
      </c>
      <c r="D123" s="80"/>
      <c r="E123" s="80"/>
      <c r="F123" s="79">
        <v>16</v>
      </c>
      <c r="G123" s="81">
        <v>43.75</v>
      </c>
      <c r="H123" s="81">
        <v>43.75</v>
      </c>
    </row>
    <row r="124" spans="1:8" ht="78.75" x14ac:dyDescent="0.25">
      <c r="A124" s="78" t="s">
        <v>100</v>
      </c>
      <c r="B124" s="79">
        <v>11</v>
      </c>
      <c r="C124" s="79">
        <v>5</v>
      </c>
      <c r="D124" s="80"/>
      <c r="E124" s="80"/>
      <c r="F124" s="79">
        <v>16</v>
      </c>
      <c r="G124" s="81">
        <v>68.75</v>
      </c>
      <c r="H124" s="81">
        <v>68.75</v>
      </c>
    </row>
    <row r="125" spans="1:8" ht="78.75" x14ac:dyDescent="0.25">
      <c r="A125" s="78" t="s">
        <v>101</v>
      </c>
      <c r="B125" s="79">
        <v>19</v>
      </c>
      <c r="C125" s="79">
        <v>4</v>
      </c>
      <c r="D125" s="80"/>
      <c r="E125" s="80"/>
      <c r="F125" s="79">
        <v>23</v>
      </c>
      <c r="G125" s="81">
        <v>82.61</v>
      </c>
      <c r="H125" s="81">
        <v>82.61</v>
      </c>
    </row>
    <row r="126" spans="1:8" ht="78.75" x14ac:dyDescent="0.25">
      <c r="A126" s="78" t="s">
        <v>102</v>
      </c>
      <c r="B126" s="79">
        <v>17</v>
      </c>
      <c r="C126" s="79">
        <v>10</v>
      </c>
      <c r="D126" s="80"/>
      <c r="E126" s="80"/>
      <c r="F126" s="79">
        <v>27</v>
      </c>
      <c r="G126" s="81">
        <v>62.96</v>
      </c>
      <c r="H126" s="81">
        <v>62.96</v>
      </c>
    </row>
    <row r="127" spans="1:8" ht="78.75" x14ac:dyDescent="0.25">
      <c r="A127" s="78" t="s">
        <v>103</v>
      </c>
      <c r="B127" s="79">
        <v>20</v>
      </c>
      <c r="C127" s="79">
        <v>10</v>
      </c>
      <c r="D127" s="80"/>
      <c r="E127" s="80"/>
      <c r="F127" s="79">
        <v>30</v>
      </c>
      <c r="G127" s="81">
        <v>66.67</v>
      </c>
      <c r="H127" s="81">
        <v>66.67</v>
      </c>
    </row>
    <row r="128" spans="1:8" ht="78.75" x14ac:dyDescent="0.25">
      <c r="A128" s="78" t="s">
        <v>104</v>
      </c>
      <c r="B128" s="79">
        <v>40</v>
      </c>
      <c r="C128" s="79">
        <v>30</v>
      </c>
      <c r="D128" s="80"/>
      <c r="E128" s="79">
        <v>1</v>
      </c>
      <c r="F128" s="79">
        <v>71</v>
      </c>
      <c r="G128" s="81">
        <v>57.14</v>
      </c>
      <c r="H128" s="81">
        <v>56.34</v>
      </c>
    </row>
    <row r="129" spans="1:8" ht="101.25" x14ac:dyDescent="0.25">
      <c r="A129" s="78" t="s">
        <v>105</v>
      </c>
      <c r="B129" s="79">
        <v>5</v>
      </c>
      <c r="C129" s="80"/>
      <c r="D129" s="80"/>
      <c r="E129" s="80"/>
      <c r="F129" s="79">
        <v>5</v>
      </c>
      <c r="G129" s="81">
        <v>100</v>
      </c>
      <c r="H129" s="81">
        <v>100</v>
      </c>
    </row>
    <row r="130" spans="1:8" ht="78.75" x14ac:dyDescent="0.25">
      <c r="A130" s="78" t="s">
        <v>106</v>
      </c>
      <c r="B130" s="79">
        <v>51</v>
      </c>
      <c r="C130" s="79">
        <v>18</v>
      </c>
      <c r="D130" s="80"/>
      <c r="E130" s="79">
        <v>1</v>
      </c>
      <c r="F130" s="79">
        <v>70</v>
      </c>
      <c r="G130" s="81">
        <v>73.91</v>
      </c>
      <c r="H130" s="81">
        <v>72.86</v>
      </c>
    </row>
    <row r="131" spans="1:8" ht="67.5" x14ac:dyDescent="0.25">
      <c r="A131" s="78" t="s">
        <v>114</v>
      </c>
      <c r="B131" s="79">
        <v>14</v>
      </c>
      <c r="C131" s="79">
        <v>3</v>
      </c>
      <c r="D131" s="80"/>
      <c r="E131" s="80"/>
      <c r="F131" s="79">
        <v>17</v>
      </c>
      <c r="G131" s="81">
        <v>82.35</v>
      </c>
      <c r="H131" s="81">
        <v>82.35</v>
      </c>
    </row>
    <row r="132" spans="1:8" ht="67.5" x14ac:dyDescent="0.25">
      <c r="A132" s="78" t="s">
        <v>120</v>
      </c>
      <c r="B132" s="79">
        <v>1</v>
      </c>
      <c r="C132" s="80"/>
      <c r="D132" s="80"/>
      <c r="E132" s="80"/>
      <c r="F132" s="79">
        <v>1</v>
      </c>
      <c r="G132" s="81">
        <v>100</v>
      </c>
      <c r="H132" s="81">
        <v>100</v>
      </c>
    </row>
    <row r="133" spans="1:8" ht="56.25" x14ac:dyDescent="0.25">
      <c r="A133" s="78" t="s">
        <v>208</v>
      </c>
      <c r="B133" s="79">
        <v>2</v>
      </c>
      <c r="C133" s="80"/>
      <c r="D133" s="80"/>
      <c r="E133" s="80"/>
      <c r="F133" s="79">
        <v>2</v>
      </c>
      <c r="G133" s="81">
        <v>100</v>
      </c>
      <c r="H133" s="81">
        <v>100</v>
      </c>
    </row>
    <row r="134" spans="1:8" ht="56.25" x14ac:dyDescent="0.25">
      <c r="A134" s="78" t="s">
        <v>209</v>
      </c>
      <c r="B134" s="79">
        <v>12</v>
      </c>
      <c r="C134" s="79">
        <v>4</v>
      </c>
      <c r="D134" s="80"/>
      <c r="E134" s="79">
        <v>3</v>
      </c>
      <c r="F134" s="79">
        <v>19</v>
      </c>
      <c r="G134" s="81">
        <v>75</v>
      </c>
      <c r="H134" s="81">
        <v>63.16</v>
      </c>
    </row>
    <row r="135" spans="1:8" ht="67.5" x14ac:dyDescent="0.25">
      <c r="A135" s="78" t="s">
        <v>211</v>
      </c>
      <c r="B135" s="79">
        <v>1</v>
      </c>
      <c r="C135" s="80"/>
      <c r="D135" s="80"/>
      <c r="E135" s="80"/>
      <c r="F135" s="79">
        <v>1</v>
      </c>
      <c r="G135" s="81">
        <v>100</v>
      </c>
      <c r="H135" s="81">
        <v>100</v>
      </c>
    </row>
    <row r="136" spans="1:8" ht="67.5" x14ac:dyDescent="0.25">
      <c r="A136" s="78" t="s">
        <v>210</v>
      </c>
      <c r="B136" s="79">
        <v>1</v>
      </c>
      <c r="C136" s="80"/>
      <c r="D136" s="80"/>
      <c r="E136" s="80"/>
      <c r="F136" s="79">
        <v>1</v>
      </c>
      <c r="G136" s="81">
        <v>100</v>
      </c>
      <c r="H136" s="81">
        <v>100</v>
      </c>
    </row>
    <row r="137" spans="1:8" x14ac:dyDescent="0.25">
      <c r="A137" s="82" t="s">
        <v>1</v>
      </c>
      <c r="B137" s="83">
        <v>2108</v>
      </c>
      <c r="C137" s="83">
        <v>1107</v>
      </c>
      <c r="D137" s="84"/>
      <c r="E137" s="85">
        <v>61</v>
      </c>
      <c r="F137" s="83">
        <v>3276</v>
      </c>
      <c r="G137" s="86">
        <v>65.569999999999993</v>
      </c>
      <c r="H137" s="86">
        <v>64.349999999999994</v>
      </c>
    </row>
    <row r="138" spans="1:8" x14ac:dyDescent="0.25">
      <c r="A138" s="87"/>
      <c r="B138" s="87"/>
      <c r="C138" s="87"/>
      <c r="D138" s="87"/>
      <c r="E138" s="87"/>
      <c r="F138" s="87"/>
      <c r="G138" s="87"/>
      <c r="H138" s="87"/>
    </row>
    <row r="139" spans="1:8" x14ac:dyDescent="0.25">
      <c r="A139" s="87"/>
      <c r="B139" s="87"/>
      <c r="C139" s="87"/>
      <c r="D139" s="87"/>
      <c r="E139" s="87"/>
      <c r="F139" s="87"/>
      <c r="G139" s="87"/>
      <c r="H139" s="87"/>
    </row>
    <row r="140" spans="1:8" x14ac:dyDescent="0.25">
      <c r="A140" s="87"/>
      <c r="B140" s="87"/>
      <c r="C140" s="87"/>
      <c r="D140" s="87"/>
      <c r="E140" s="87"/>
      <c r="F140" s="87"/>
      <c r="G140" s="87"/>
      <c r="H140" s="87"/>
    </row>
    <row r="141" spans="1:8" x14ac:dyDescent="0.25">
      <c r="A141" s="87"/>
      <c r="B141" s="87"/>
      <c r="C141" s="87"/>
      <c r="D141" s="87"/>
      <c r="E141" s="87"/>
      <c r="F141" s="87"/>
      <c r="G141" s="87"/>
      <c r="H141" s="87"/>
    </row>
    <row r="142" spans="1:8" x14ac:dyDescent="0.25">
      <c r="A142" s="87"/>
      <c r="B142" s="87"/>
      <c r="C142" s="87"/>
      <c r="D142" s="87"/>
      <c r="E142" s="87"/>
      <c r="F142" s="87"/>
      <c r="G142" s="87"/>
      <c r="H142" s="87"/>
    </row>
    <row r="143" spans="1:8" x14ac:dyDescent="0.25">
      <c r="A143" s="87"/>
      <c r="B143" s="87"/>
      <c r="C143" s="87"/>
      <c r="D143" s="87"/>
      <c r="E143" s="87"/>
      <c r="F143" s="87"/>
      <c r="G143" s="87"/>
      <c r="H143" s="87"/>
    </row>
    <row r="144" spans="1:8" x14ac:dyDescent="0.25">
      <c r="A144" s="87"/>
      <c r="B144" s="87"/>
      <c r="C144" s="87"/>
      <c r="D144" s="87"/>
      <c r="E144" s="87"/>
      <c r="F144" s="87"/>
      <c r="G144" s="87"/>
      <c r="H144" s="87"/>
    </row>
    <row r="145" spans="1:8" x14ac:dyDescent="0.25">
      <c r="A145" s="87"/>
      <c r="B145" s="87"/>
      <c r="C145" s="87"/>
      <c r="D145" s="87"/>
      <c r="E145" s="87"/>
      <c r="F145" s="87"/>
      <c r="G145" s="87"/>
      <c r="H145" s="87"/>
    </row>
    <row r="146" spans="1:8" x14ac:dyDescent="0.25">
      <c r="A146" s="87"/>
      <c r="B146" s="87"/>
      <c r="C146" s="87"/>
      <c r="D146" s="87"/>
      <c r="E146" s="87"/>
      <c r="F146" s="87"/>
      <c r="G146" s="87"/>
      <c r="H146" s="87"/>
    </row>
    <row r="147" spans="1:8" x14ac:dyDescent="0.25">
      <c r="A147" s="87"/>
      <c r="B147" s="87"/>
      <c r="C147" s="87"/>
      <c r="D147" s="87"/>
      <c r="E147" s="87"/>
      <c r="F147" s="87"/>
      <c r="G147" s="87"/>
      <c r="H147" s="87"/>
    </row>
    <row r="148" spans="1:8" x14ac:dyDescent="0.25">
      <c r="A148" s="87"/>
      <c r="B148" s="87"/>
      <c r="C148" s="87"/>
      <c r="D148" s="87"/>
      <c r="E148" s="87"/>
      <c r="F148" s="87"/>
      <c r="G148" s="87"/>
      <c r="H148" s="87"/>
    </row>
    <row r="149" spans="1:8" x14ac:dyDescent="0.25">
      <c r="A149" s="87"/>
      <c r="B149" s="87"/>
      <c r="C149" s="87"/>
      <c r="D149" s="87"/>
      <c r="E149" s="87"/>
      <c r="F149" s="87"/>
      <c r="G149" s="87"/>
      <c r="H149" s="87"/>
    </row>
    <row r="150" spans="1:8" x14ac:dyDescent="0.25">
      <c r="A150" s="87"/>
      <c r="B150" s="87"/>
      <c r="C150" s="87"/>
      <c r="D150" s="87"/>
      <c r="E150" s="87"/>
      <c r="F150" s="87"/>
      <c r="G150" s="87"/>
      <c r="H150" s="87"/>
    </row>
    <row r="151" spans="1:8" x14ac:dyDescent="0.25">
      <c r="A151" s="87"/>
      <c r="B151" s="87"/>
      <c r="C151" s="87"/>
      <c r="D151" s="87"/>
      <c r="E151" s="87"/>
      <c r="F151" s="87"/>
      <c r="G151" s="87"/>
      <c r="H151" s="87"/>
    </row>
    <row r="152" spans="1:8" x14ac:dyDescent="0.25">
      <c r="A152" s="87"/>
      <c r="B152" s="87"/>
      <c r="C152" s="87"/>
      <c r="D152" s="87"/>
      <c r="E152" s="87"/>
      <c r="F152" s="87"/>
      <c r="G152" s="87"/>
      <c r="H152" s="87"/>
    </row>
    <row r="153" spans="1:8" x14ac:dyDescent="0.25">
      <c r="A153" s="87"/>
      <c r="B153" s="87"/>
      <c r="C153" s="87"/>
      <c r="D153" s="87"/>
      <c r="E153" s="87"/>
      <c r="F153" s="87"/>
      <c r="G153" s="87"/>
      <c r="H153" s="87"/>
    </row>
    <row r="154" spans="1:8" x14ac:dyDescent="0.25">
      <c r="A154" s="87"/>
      <c r="B154" s="87"/>
      <c r="C154" s="87"/>
      <c r="D154" s="87"/>
      <c r="E154" s="87"/>
      <c r="F154" s="87"/>
      <c r="G154" s="87"/>
      <c r="H154" s="87"/>
    </row>
    <row r="155" spans="1:8" x14ac:dyDescent="0.25">
      <c r="A155" s="87"/>
      <c r="B155" s="87"/>
      <c r="C155" s="87"/>
      <c r="D155" s="87"/>
      <c r="E155" s="87"/>
      <c r="F155" s="87"/>
      <c r="G155" s="87"/>
      <c r="H155" s="87"/>
    </row>
    <row r="156" spans="1:8" x14ac:dyDescent="0.25">
      <c r="A156" s="87"/>
      <c r="B156" s="87"/>
      <c r="C156" s="87"/>
      <c r="D156" s="87"/>
      <c r="E156" s="87"/>
      <c r="F156" s="87"/>
      <c r="G156" s="87"/>
      <c r="H156" s="87"/>
    </row>
    <row r="157" spans="1:8" x14ac:dyDescent="0.25">
      <c r="A157" s="87"/>
      <c r="B157" s="87"/>
      <c r="C157" s="87"/>
      <c r="D157" s="87"/>
      <c r="E157" s="87"/>
      <c r="F157" s="87"/>
      <c r="G157" s="87"/>
      <c r="H157" s="87"/>
    </row>
    <row r="158" spans="1:8" x14ac:dyDescent="0.25">
      <c r="A158" s="87"/>
      <c r="B158" s="87"/>
      <c r="C158" s="87"/>
      <c r="D158" s="87"/>
      <c r="E158" s="87"/>
      <c r="F158" s="87"/>
      <c r="G158" s="87"/>
      <c r="H158" s="87"/>
    </row>
    <row r="159" spans="1:8" x14ac:dyDescent="0.25">
      <c r="A159" s="87"/>
      <c r="B159" s="87"/>
      <c r="C159" s="87"/>
      <c r="D159" s="87"/>
      <c r="E159" s="87"/>
      <c r="F159" s="87"/>
      <c r="G159" s="87"/>
      <c r="H159" s="87"/>
    </row>
    <row r="160" spans="1:8" x14ac:dyDescent="0.25">
      <c r="A160" s="87"/>
      <c r="B160" s="87"/>
      <c r="C160" s="87"/>
      <c r="D160" s="87"/>
      <c r="E160" s="87"/>
      <c r="F160" s="87"/>
      <c r="G160" s="87"/>
      <c r="H160" s="87"/>
    </row>
    <row r="161" spans="1:8" x14ac:dyDescent="0.25">
      <c r="A161" s="87"/>
      <c r="B161" s="87"/>
      <c r="C161" s="87"/>
      <c r="D161" s="87"/>
      <c r="E161" s="87"/>
      <c r="F161" s="87"/>
      <c r="G161" s="87"/>
      <c r="H161" s="87"/>
    </row>
    <row r="162" spans="1:8" x14ac:dyDescent="0.25">
      <c r="A162" s="87"/>
      <c r="B162" s="87"/>
      <c r="C162" s="87"/>
      <c r="D162" s="87"/>
      <c r="E162" s="87"/>
      <c r="F162" s="87"/>
      <c r="G162" s="87"/>
      <c r="H162" s="87"/>
    </row>
    <row r="163" spans="1:8" x14ac:dyDescent="0.25">
      <c r="A163" s="87"/>
      <c r="B163" s="87"/>
      <c r="C163" s="87"/>
      <c r="D163" s="87"/>
      <c r="E163" s="87"/>
      <c r="F163" s="87"/>
      <c r="G163" s="87"/>
      <c r="H163" s="87"/>
    </row>
    <row r="164" spans="1:8" x14ac:dyDescent="0.25">
      <c r="A164" s="87"/>
      <c r="B164" s="87"/>
      <c r="C164" s="87"/>
      <c r="D164" s="87"/>
      <c r="E164" s="87"/>
      <c r="F164" s="87"/>
      <c r="G164" s="87"/>
      <c r="H164" s="87"/>
    </row>
    <row r="165" spans="1:8" x14ac:dyDescent="0.25">
      <c r="A165" s="87"/>
      <c r="B165" s="87"/>
      <c r="C165" s="87"/>
      <c r="D165" s="87"/>
      <c r="E165" s="87"/>
      <c r="F165" s="87"/>
      <c r="G165" s="87"/>
      <c r="H165" s="87"/>
    </row>
    <row r="166" spans="1:8" x14ac:dyDescent="0.25">
      <c r="A166" s="87"/>
      <c r="B166" s="87"/>
      <c r="C166" s="87"/>
      <c r="D166" s="87"/>
      <c r="E166" s="87"/>
      <c r="F166" s="87"/>
      <c r="G166" s="87"/>
      <c r="H166" s="87"/>
    </row>
  </sheetData>
  <mergeCells count="2">
    <mergeCell ref="A1:A2"/>
    <mergeCell ref="B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5"/>
  <sheetViews>
    <sheetView workbookViewId="0">
      <selection sqref="A1:H175"/>
    </sheetView>
  </sheetViews>
  <sheetFormatPr defaultRowHeight="15" x14ac:dyDescent="0.25"/>
  <sheetData>
    <row r="1" spans="1:8" x14ac:dyDescent="0.25">
      <c r="A1" s="139" t="s">
        <v>0</v>
      </c>
      <c r="B1" s="140" t="s">
        <v>1</v>
      </c>
      <c r="C1" s="140"/>
      <c r="D1" s="140"/>
      <c r="E1" s="140"/>
      <c r="F1" s="140"/>
      <c r="G1" s="140"/>
      <c r="H1" s="140"/>
    </row>
    <row r="2" spans="1:8" ht="38.25" x14ac:dyDescent="0.25">
      <c r="A2" s="139"/>
      <c r="B2" s="88" t="s">
        <v>2</v>
      </c>
      <c r="C2" s="88" t="s">
        <v>3</v>
      </c>
      <c r="D2" s="88" t="s">
        <v>160</v>
      </c>
      <c r="E2" s="88" t="s">
        <v>161</v>
      </c>
      <c r="F2" s="88" t="s">
        <v>4</v>
      </c>
      <c r="G2" s="88" t="s">
        <v>162</v>
      </c>
      <c r="H2" s="88" t="s">
        <v>5</v>
      </c>
    </row>
    <row r="3" spans="1:8" ht="67.5" x14ac:dyDescent="0.25">
      <c r="A3" s="89" t="s">
        <v>186</v>
      </c>
      <c r="B3" s="90">
        <v>9</v>
      </c>
      <c r="C3" s="90">
        <v>7</v>
      </c>
      <c r="D3" s="91"/>
      <c r="E3" s="91"/>
      <c r="F3" s="90">
        <v>16</v>
      </c>
      <c r="G3" s="92">
        <v>56.25</v>
      </c>
      <c r="H3" s="92">
        <v>56.25</v>
      </c>
    </row>
    <row r="4" spans="1:8" ht="67.5" x14ac:dyDescent="0.25">
      <c r="A4" s="89" t="s">
        <v>177</v>
      </c>
      <c r="B4" s="90">
        <v>1</v>
      </c>
      <c r="C4" s="91"/>
      <c r="D4" s="91"/>
      <c r="E4" s="91"/>
      <c r="F4" s="90">
        <v>1</v>
      </c>
      <c r="G4" s="92">
        <v>100</v>
      </c>
      <c r="H4" s="92">
        <v>100</v>
      </c>
    </row>
    <row r="5" spans="1:8" ht="78.75" x14ac:dyDescent="0.25">
      <c r="A5" s="89" t="s">
        <v>187</v>
      </c>
      <c r="B5" s="90">
        <v>5</v>
      </c>
      <c r="C5" s="90">
        <v>7</v>
      </c>
      <c r="D5" s="91"/>
      <c r="E5" s="90">
        <v>1</v>
      </c>
      <c r="F5" s="90">
        <v>13</v>
      </c>
      <c r="G5" s="92">
        <v>41.67</v>
      </c>
      <c r="H5" s="92">
        <v>38.46</v>
      </c>
    </row>
    <row r="6" spans="1:8" ht="67.5" x14ac:dyDescent="0.25">
      <c r="A6" s="89" t="s">
        <v>178</v>
      </c>
      <c r="B6" s="90">
        <v>5</v>
      </c>
      <c r="C6" s="90">
        <v>1</v>
      </c>
      <c r="D6" s="91"/>
      <c r="E6" s="91"/>
      <c r="F6" s="90">
        <v>6</v>
      </c>
      <c r="G6" s="92">
        <v>83.33</v>
      </c>
      <c r="H6" s="92">
        <v>83.33</v>
      </c>
    </row>
    <row r="7" spans="1:8" ht="67.5" x14ac:dyDescent="0.25">
      <c r="A7" s="89" t="s">
        <v>179</v>
      </c>
      <c r="B7" s="90">
        <v>1</v>
      </c>
      <c r="C7" s="90">
        <v>1</v>
      </c>
      <c r="D7" s="91"/>
      <c r="E7" s="91"/>
      <c r="F7" s="90">
        <v>2</v>
      </c>
      <c r="G7" s="92">
        <v>50</v>
      </c>
      <c r="H7" s="92">
        <v>50</v>
      </c>
    </row>
    <row r="8" spans="1:8" ht="78.75" x14ac:dyDescent="0.25">
      <c r="A8" s="89" t="s">
        <v>188</v>
      </c>
      <c r="B8" s="90">
        <v>0</v>
      </c>
      <c r="C8" s="90">
        <v>1</v>
      </c>
      <c r="D8" s="91"/>
      <c r="E8" s="91"/>
      <c r="F8" s="90">
        <v>1</v>
      </c>
      <c r="G8" s="91"/>
      <c r="H8" s="92">
        <v>0</v>
      </c>
    </row>
    <row r="9" spans="1:8" ht="78.75" x14ac:dyDescent="0.25">
      <c r="A9" s="89" t="s">
        <v>189</v>
      </c>
      <c r="B9" s="90">
        <v>3</v>
      </c>
      <c r="C9" s="90">
        <v>3</v>
      </c>
      <c r="D9" s="91"/>
      <c r="E9" s="90">
        <v>1</v>
      </c>
      <c r="F9" s="90">
        <v>7</v>
      </c>
      <c r="G9" s="92">
        <v>50</v>
      </c>
      <c r="H9" s="92">
        <v>42.86</v>
      </c>
    </row>
    <row r="10" spans="1:8" ht="67.5" x14ac:dyDescent="0.25">
      <c r="A10" s="89" t="s">
        <v>180</v>
      </c>
      <c r="B10" s="90">
        <v>1</v>
      </c>
      <c r="C10" s="90">
        <v>1</v>
      </c>
      <c r="D10" s="91"/>
      <c r="E10" s="91"/>
      <c r="F10" s="90">
        <v>2</v>
      </c>
      <c r="G10" s="92">
        <v>50</v>
      </c>
      <c r="H10" s="92">
        <v>50</v>
      </c>
    </row>
    <row r="11" spans="1:8" ht="67.5" x14ac:dyDescent="0.25">
      <c r="A11" s="89" t="s">
        <v>181</v>
      </c>
      <c r="B11" s="90">
        <v>3</v>
      </c>
      <c r="C11" s="90">
        <v>3</v>
      </c>
      <c r="D11" s="91"/>
      <c r="E11" s="90">
        <v>1</v>
      </c>
      <c r="F11" s="90">
        <v>7</v>
      </c>
      <c r="G11" s="92">
        <v>50</v>
      </c>
      <c r="H11" s="92">
        <v>42.86</v>
      </c>
    </row>
    <row r="12" spans="1:8" ht="78.75" x14ac:dyDescent="0.25">
      <c r="A12" s="89" t="s">
        <v>182</v>
      </c>
      <c r="B12" s="90">
        <v>3</v>
      </c>
      <c r="C12" s="90">
        <v>3</v>
      </c>
      <c r="D12" s="91"/>
      <c r="E12" s="91"/>
      <c r="F12" s="90">
        <v>6</v>
      </c>
      <c r="G12" s="92">
        <v>50</v>
      </c>
      <c r="H12" s="92">
        <v>50</v>
      </c>
    </row>
    <row r="13" spans="1:8" ht="56.25" x14ac:dyDescent="0.25">
      <c r="A13" s="89" t="s">
        <v>213</v>
      </c>
      <c r="B13" s="90">
        <v>8</v>
      </c>
      <c r="C13" s="90">
        <v>1</v>
      </c>
      <c r="D13" s="91"/>
      <c r="E13" s="91"/>
      <c r="F13" s="90">
        <v>9</v>
      </c>
      <c r="G13" s="92">
        <v>88.89</v>
      </c>
      <c r="H13" s="92">
        <v>88.89</v>
      </c>
    </row>
    <row r="14" spans="1:8" ht="56.25" x14ac:dyDescent="0.25">
      <c r="A14" s="89" t="s">
        <v>214</v>
      </c>
      <c r="B14" s="90">
        <v>0</v>
      </c>
      <c r="C14" s="90">
        <v>3</v>
      </c>
      <c r="D14" s="91"/>
      <c r="E14" s="91"/>
      <c r="F14" s="90">
        <v>3</v>
      </c>
      <c r="G14" s="91"/>
      <c r="H14" s="92">
        <v>0</v>
      </c>
    </row>
    <row r="15" spans="1:8" ht="67.5" x14ac:dyDescent="0.25">
      <c r="A15" s="89" t="s">
        <v>190</v>
      </c>
      <c r="B15" s="90">
        <v>0</v>
      </c>
      <c r="C15" s="90">
        <v>1</v>
      </c>
      <c r="D15" s="91"/>
      <c r="E15" s="90">
        <v>1</v>
      </c>
      <c r="F15" s="90">
        <v>2</v>
      </c>
      <c r="G15" s="91"/>
      <c r="H15" s="92">
        <v>0</v>
      </c>
    </row>
    <row r="16" spans="1:8" ht="67.5" x14ac:dyDescent="0.25">
      <c r="A16" s="89" t="s">
        <v>184</v>
      </c>
      <c r="B16" s="90">
        <v>1</v>
      </c>
      <c r="C16" s="90">
        <v>2</v>
      </c>
      <c r="D16" s="91"/>
      <c r="E16" s="91"/>
      <c r="F16" s="90">
        <v>3</v>
      </c>
      <c r="G16" s="92">
        <v>33.33</v>
      </c>
      <c r="H16" s="92">
        <v>33.33</v>
      </c>
    </row>
    <row r="17" spans="1:8" ht="67.5" x14ac:dyDescent="0.25">
      <c r="A17" s="89" t="s">
        <v>183</v>
      </c>
      <c r="B17" s="90">
        <v>1</v>
      </c>
      <c r="C17" s="91"/>
      <c r="D17" s="91"/>
      <c r="E17" s="91"/>
      <c r="F17" s="90">
        <v>1</v>
      </c>
      <c r="G17" s="92">
        <v>100</v>
      </c>
      <c r="H17" s="92">
        <v>100</v>
      </c>
    </row>
    <row r="18" spans="1:8" ht="67.5" x14ac:dyDescent="0.25">
      <c r="A18" s="89" t="s">
        <v>215</v>
      </c>
      <c r="B18" s="90">
        <v>3</v>
      </c>
      <c r="C18" s="90">
        <v>2</v>
      </c>
      <c r="D18" s="91"/>
      <c r="E18" s="91"/>
      <c r="F18" s="90">
        <v>5</v>
      </c>
      <c r="G18" s="92">
        <v>60</v>
      </c>
      <c r="H18" s="92">
        <v>60</v>
      </c>
    </row>
    <row r="19" spans="1:8" ht="67.5" x14ac:dyDescent="0.25">
      <c r="A19" s="89" t="s">
        <v>216</v>
      </c>
      <c r="B19" s="90">
        <v>4</v>
      </c>
      <c r="C19" s="90">
        <v>1</v>
      </c>
      <c r="D19" s="91"/>
      <c r="E19" s="90">
        <v>1</v>
      </c>
      <c r="F19" s="90">
        <v>6</v>
      </c>
      <c r="G19" s="92">
        <v>80</v>
      </c>
      <c r="H19" s="92">
        <v>66.67</v>
      </c>
    </row>
    <row r="20" spans="1:8" ht="67.5" x14ac:dyDescent="0.25">
      <c r="A20" s="89" t="s">
        <v>217</v>
      </c>
      <c r="B20" s="90">
        <v>0</v>
      </c>
      <c r="C20" s="91"/>
      <c r="D20" s="91"/>
      <c r="E20" s="90">
        <v>1</v>
      </c>
      <c r="F20" s="90">
        <v>1</v>
      </c>
      <c r="G20" s="91"/>
      <c r="H20" s="92">
        <v>0</v>
      </c>
    </row>
    <row r="21" spans="1:8" ht="67.5" x14ac:dyDescent="0.25">
      <c r="A21" s="89" t="s">
        <v>218</v>
      </c>
      <c r="B21" s="90">
        <v>0</v>
      </c>
      <c r="C21" s="90">
        <v>2</v>
      </c>
      <c r="D21" s="91"/>
      <c r="E21" s="91"/>
      <c r="F21" s="90">
        <v>2</v>
      </c>
      <c r="G21" s="91"/>
      <c r="H21" s="92">
        <v>0</v>
      </c>
    </row>
    <row r="22" spans="1:8" ht="67.5" x14ac:dyDescent="0.25">
      <c r="A22" s="89" t="s">
        <v>219</v>
      </c>
      <c r="B22" s="90">
        <v>1</v>
      </c>
      <c r="C22" s="91"/>
      <c r="D22" s="91"/>
      <c r="E22" s="91"/>
      <c r="F22" s="90">
        <v>1</v>
      </c>
      <c r="G22" s="92">
        <v>100</v>
      </c>
      <c r="H22" s="92">
        <v>100</v>
      </c>
    </row>
    <row r="23" spans="1:8" ht="90" x14ac:dyDescent="0.25">
      <c r="A23" s="89" t="s">
        <v>191</v>
      </c>
      <c r="B23" s="90">
        <v>78</v>
      </c>
      <c r="C23" s="90">
        <v>23</v>
      </c>
      <c r="D23" s="91"/>
      <c r="E23" s="90">
        <v>1</v>
      </c>
      <c r="F23" s="90">
        <v>102</v>
      </c>
      <c r="G23" s="92">
        <v>77.23</v>
      </c>
      <c r="H23" s="92">
        <v>76.47</v>
      </c>
    </row>
    <row r="24" spans="1:8" ht="90" x14ac:dyDescent="0.25">
      <c r="A24" s="89" t="s">
        <v>192</v>
      </c>
      <c r="B24" s="90">
        <v>13</v>
      </c>
      <c r="C24" s="90">
        <v>10</v>
      </c>
      <c r="D24" s="91"/>
      <c r="E24" s="91"/>
      <c r="F24" s="90">
        <v>23</v>
      </c>
      <c r="G24" s="92">
        <v>56.52</v>
      </c>
      <c r="H24" s="92">
        <v>56.52</v>
      </c>
    </row>
    <row r="25" spans="1:8" ht="90" x14ac:dyDescent="0.25">
      <c r="A25" s="89" t="s">
        <v>193</v>
      </c>
      <c r="B25" s="90">
        <v>1</v>
      </c>
      <c r="C25" s="90">
        <v>3</v>
      </c>
      <c r="D25" s="91"/>
      <c r="E25" s="90">
        <v>1</v>
      </c>
      <c r="F25" s="90">
        <v>5</v>
      </c>
      <c r="G25" s="92">
        <v>25</v>
      </c>
      <c r="H25" s="92">
        <v>20</v>
      </c>
    </row>
    <row r="26" spans="1:8" ht="90" x14ac:dyDescent="0.25">
      <c r="A26" s="89" t="s">
        <v>194</v>
      </c>
      <c r="B26" s="90">
        <v>1</v>
      </c>
      <c r="C26" s="90">
        <v>1</v>
      </c>
      <c r="D26" s="91"/>
      <c r="E26" s="90">
        <v>2</v>
      </c>
      <c r="F26" s="90">
        <v>4</v>
      </c>
      <c r="G26" s="92">
        <v>50</v>
      </c>
      <c r="H26" s="92">
        <v>25</v>
      </c>
    </row>
    <row r="27" spans="1:8" ht="67.5" x14ac:dyDescent="0.25">
      <c r="A27" s="89" t="s">
        <v>195</v>
      </c>
      <c r="B27" s="90">
        <v>2</v>
      </c>
      <c r="C27" s="91"/>
      <c r="D27" s="91"/>
      <c r="E27" s="91"/>
      <c r="F27" s="90">
        <v>2</v>
      </c>
      <c r="G27" s="92">
        <v>100</v>
      </c>
      <c r="H27" s="92">
        <v>100</v>
      </c>
    </row>
    <row r="28" spans="1:8" ht="67.5" x14ac:dyDescent="0.25">
      <c r="A28" s="89" t="s">
        <v>196</v>
      </c>
      <c r="B28" s="90">
        <v>0</v>
      </c>
      <c r="C28" s="91"/>
      <c r="D28" s="91"/>
      <c r="E28" s="90">
        <v>1</v>
      </c>
      <c r="F28" s="90">
        <v>1</v>
      </c>
      <c r="G28" s="91"/>
      <c r="H28" s="92">
        <v>0</v>
      </c>
    </row>
    <row r="29" spans="1:8" ht="67.5" x14ac:dyDescent="0.25">
      <c r="A29" s="89" t="s">
        <v>197</v>
      </c>
      <c r="B29" s="90">
        <v>3</v>
      </c>
      <c r="C29" s="91"/>
      <c r="D29" s="91"/>
      <c r="E29" s="91"/>
      <c r="F29" s="90">
        <v>3</v>
      </c>
      <c r="G29" s="92">
        <v>100</v>
      </c>
      <c r="H29" s="92">
        <v>100</v>
      </c>
    </row>
    <row r="30" spans="1:8" ht="67.5" x14ac:dyDescent="0.25">
      <c r="A30" s="89" t="s">
        <v>198</v>
      </c>
      <c r="B30" s="90">
        <v>0</v>
      </c>
      <c r="C30" s="90">
        <v>2</v>
      </c>
      <c r="D30" s="91"/>
      <c r="E30" s="91"/>
      <c r="F30" s="90">
        <v>2</v>
      </c>
      <c r="G30" s="91"/>
      <c r="H30" s="92">
        <v>0</v>
      </c>
    </row>
    <row r="31" spans="1:8" ht="90" x14ac:dyDescent="0.25">
      <c r="A31" s="89" t="s">
        <v>199</v>
      </c>
      <c r="B31" s="90">
        <v>1</v>
      </c>
      <c r="C31" s="91"/>
      <c r="D31" s="91"/>
      <c r="E31" s="90">
        <v>1</v>
      </c>
      <c r="F31" s="90">
        <v>2</v>
      </c>
      <c r="G31" s="92">
        <v>100</v>
      </c>
      <c r="H31" s="92">
        <v>50</v>
      </c>
    </row>
    <row r="32" spans="1:8" ht="90" x14ac:dyDescent="0.25">
      <c r="A32" s="89" t="s">
        <v>200</v>
      </c>
      <c r="B32" s="90">
        <v>1</v>
      </c>
      <c r="C32" s="90">
        <v>1</v>
      </c>
      <c r="D32" s="91"/>
      <c r="E32" s="91"/>
      <c r="F32" s="90">
        <v>2</v>
      </c>
      <c r="G32" s="92">
        <v>50</v>
      </c>
      <c r="H32" s="92">
        <v>50</v>
      </c>
    </row>
    <row r="33" spans="1:8" ht="67.5" x14ac:dyDescent="0.25">
      <c r="A33" s="89" t="s">
        <v>201</v>
      </c>
      <c r="B33" s="90">
        <v>7</v>
      </c>
      <c r="C33" s="90">
        <v>2</v>
      </c>
      <c r="D33" s="91"/>
      <c r="E33" s="91"/>
      <c r="F33" s="90">
        <v>9</v>
      </c>
      <c r="G33" s="92">
        <v>77.78</v>
      </c>
      <c r="H33" s="92">
        <v>77.78</v>
      </c>
    </row>
    <row r="34" spans="1:8" ht="67.5" x14ac:dyDescent="0.25">
      <c r="A34" s="89" t="s">
        <v>202</v>
      </c>
      <c r="B34" s="90">
        <v>0</v>
      </c>
      <c r="C34" s="90">
        <v>1</v>
      </c>
      <c r="D34" s="91"/>
      <c r="E34" s="91"/>
      <c r="F34" s="90">
        <v>1</v>
      </c>
      <c r="G34" s="91"/>
      <c r="H34" s="92">
        <v>0</v>
      </c>
    </row>
    <row r="35" spans="1:8" ht="67.5" x14ac:dyDescent="0.25">
      <c r="A35" s="89" t="s">
        <v>203</v>
      </c>
      <c r="B35" s="90">
        <v>0</v>
      </c>
      <c r="C35" s="90">
        <v>1</v>
      </c>
      <c r="D35" s="91"/>
      <c r="E35" s="91"/>
      <c r="F35" s="90">
        <v>1</v>
      </c>
      <c r="G35" s="91"/>
      <c r="H35" s="92">
        <v>0</v>
      </c>
    </row>
    <row r="36" spans="1:8" ht="78.75" x14ac:dyDescent="0.25">
      <c r="A36" s="89" t="s">
        <v>207</v>
      </c>
      <c r="B36" s="90">
        <v>2</v>
      </c>
      <c r="C36" s="90">
        <v>3</v>
      </c>
      <c r="D36" s="91"/>
      <c r="E36" s="91"/>
      <c r="F36" s="90">
        <v>5</v>
      </c>
      <c r="G36" s="92">
        <v>40</v>
      </c>
      <c r="H36" s="92">
        <v>40</v>
      </c>
    </row>
    <row r="37" spans="1:8" ht="67.5" x14ac:dyDescent="0.25">
      <c r="A37" s="89" t="s">
        <v>6</v>
      </c>
      <c r="B37" s="90">
        <v>15</v>
      </c>
      <c r="C37" s="90">
        <v>2</v>
      </c>
      <c r="D37" s="91"/>
      <c r="E37" s="91"/>
      <c r="F37" s="90">
        <v>17</v>
      </c>
      <c r="G37" s="92">
        <v>88.24</v>
      </c>
      <c r="H37" s="92">
        <v>88.24</v>
      </c>
    </row>
    <row r="38" spans="1:8" ht="67.5" x14ac:dyDescent="0.25">
      <c r="A38" s="89" t="s">
        <v>7</v>
      </c>
      <c r="B38" s="90">
        <v>10</v>
      </c>
      <c r="C38" s="90">
        <v>3</v>
      </c>
      <c r="D38" s="91"/>
      <c r="E38" s="91"/>
      <c r="F38" s="90">
        <v>13</v>
      </c>
      <c r="G38" s="92">
        <v>76.92</v>
      </c>
      <c r="H38" s="92">
        <v>76.92</v>
      </c>
    </row>
    <row r="39" spans="1:8" ht="67.5" x14ac:dyDescent="0.25">
      <c r="A39" s="89" t="s">
        <v>8</v>
      </c>
      <c r="B39" s="90">
        <v>10</v>
      </c>
      <c r="C39" s="90">
        <v>3</v>
      </c>
      <c r="D39" s="91"/>
      <c r="E39" s="91"/>
      <c r="F39" s="90">
        <v>13</v>
      </c>
      <c r="G39" s="92">
        <v>76.92</v>
      </c>
      <c r="H39" s="92">
        <v>76.92</v>
      </c>
    </row>
    <row r="40" spans="1:8" ht="67.5" x14ac:dyDescent="0.25">
      <c r="A40" s="89" t="s">
        <v>9</v>
      </c>
      <c r="B40" s="90">
        <v>72</v>
      </c>
      <c r="C40" s="90">
        <v>14</v>
      </c>
      <c r="D40" s="90">
        <v>1</v>
      </c>
      <c r="E40" s="91"/>
      <c r="F40" s="90">
        <v>87</v>
      </c>
      <c r="G40" s="92">
        <v>82.76</v>
      </c>
      <c r="H40" s="92">
        <v>82.76</v>
      </c>
    </row>
    <row r="41" spans="1:8" ht="67.5" x14ac:dyDescent="0.25">
      <c r="A41" s="89" t="s">
        <v>10</v>
      </c>
      <c r="B41" s="90">
        <v>13</v>
      </c>
      <c r="C41" s="90">
        <v>1</v>
      </c>
      <c r="D41" s="91"/>
      <c r="E41" s="90">
        <v>1</v>
      </c>
      <c r="F41" s="90">
        <v>15</v>
      </c>
      <c r="G41" s="92">
        <v>92.86</v>
      </c>
      <c r="H41" s="92">
        <v>86.67</v>
      </c>
    </row>
    <row r="42" spans="1:8" ht="67.5" x14ac:dyDescent="0.25">
      <c r="A42" s="89" t="s">
        <v>11</v>
      </c>
      <c r="B42" s="90">
        <v>21</v>
      </c>
      <c r="C42" s="90">
        <v>3</v>
      </c>
      <c r="D42" s="91"/>
      <c r="E42" s="91"/>
      <c r="F42" s="90">
        <v>24</v>
      </c>
      <c r="G42" s="92">
        <v>87.5</v>
      </c>
      <c r="H42" s="92">
        <v>87.5</v>
      </c>
    </row>
    <row r="43" spans="1:8" ht="78.75" x14ac:dyDescent="0.25">
      <c r="A43" s="89" t="s">
        <v>12</v>
      </c>
      <c r="B43" s="90">
        <v>8</v>
      </c>
      <c r="C43" s="90">
        <v>8</v>
      </c>
      <c r="D43" s="91"/>
      <c r="E43" s="91"/>
      <c r="F43" s="90">
        <v>16</v>
      </c>
      <c r="G43" s="92">
        <v>50</v>
      </c>
      <c r="H43" s="92">
        <v>50</v>
      </c>
    </row>
    <row r="44" spans="1:8" ht="67.5" x14ac:dyDescent="0.25">
      <c r="A44" s="89" t="s">
        <v>13</v>
      </c>
      <c r="B44" s="90">
        <v>6</v>
      </c>
      <c r="C44" s="91"/>
      <c r="D44" s="91"/>
      <c r="E44" s="91"/>
      <c r="F44" s="90">
        <v>6</v>
      </c>
      <c r="G44" s="92">
        <v>100</v>
      </c>
      <c r="H44" s="92">
        <v>100</v>
      </c>
    </row>
    <row r="45" spans="1:8" ht="67.5" x14ac:dyDescent="0.25">
      <c r="A45" s="89" t="s">
        <v>14</v>
      </c>
      <c r="B45" s="90">
        <v>53</v>
      </c>
      <c r="C45" s="90">
        <v>10</v>
      </c>
      <c r="D45" s="91"/>
      <c r="E45" s="90">
        <v>3</v>
      </c>
      <c r="F45" s="90">
        <v>66</v>
      </c>
      <c r="G45" s="92">
        <v>84.13</v>
      </c>
      <c r="H45" s="92">
        <v>80.3</v>
      </c>
    </row>
    <row r="46" spans="1:8" ht="67.5" x14ac:dyDescent="0.25">
      <c r="A46" s="89" t="s">
        <v>15</v>
      </c>
      <c r="B46" s="90">
        <v>0</v>
      </c>
      <c r="C46" s="90">
        <v>1</v>
      </c>
      <c r="D46" s="91"/>
      <c r="E46" s="91"/>
      <c r="F46" s="90">
        <v>1</v>
      </c>
      <c r="G46" s="91"/>
      <c r="H46" s="92">
        <v>0</v>
      </c>
    </row>
    <row r="47" spans="1:8" ht="67.5" x14ac:dyDescent="0.25">
      <c r="A47" s="89" t="s">
        <v>16</v>
      </c>
      <c r="B47" s="90">
        <v>8</v>
      </c>
      <c r="C47" s="90">
        <v>1</v>
      </c>
      <c r="D47" s="91"/>
      <c r="E47" s="91"/>
      <c r="F47" s="90">
        <v>9</v>
      </c>
      <c r="G47" s="92">
        <v>88.89</v>
      </c>
      <c r="H47" s="92">
        <v>88.89</v>
      </c>
    </row>
    <row r="48" spans="1:8" ht="67.5" x14ac:dyDescent="0.25">
      <c r="A48" s="89" t="s">
        <v>17</v>
      </c>
      <c r="B48" s="90">
        <v>9</v>
      </c>
      <c r="C48" s="90">
        <v>7</v>
      </c>
      <c r="D48" s="91"/>
      <c r="E48" s="91"/>
      <c r="F48" s="90">
        <v>16</v>
      </c>
      <c r="G48" s="92">
        <v>56.25</v>
      </c>
      <c r="H48" s="92">
        <v>56.25</v>
      </c>
    </row>
    <row r="49" spans="1:8" ht="67.5" x14ac:dyDescent="0.25">
      <c r="A49" s="89" t="s">
        <v>18</v>
      </c>
      <c r="B49" s="90">
        <v>6</v>
      </c>
      <c r="C49" s="90">
        <v>6</v>
      </c>
      <c r="D49" s="91"/>
      <c r="E49" s="90">
        <v>1</v>
      </c>
      <c r="F49" s="90">
        <v>13</v>
      </c>
      <c r="G49" s="92">
        <v>50</v>
      </c>
      <c r="H49" s="92">
        <v>46.15</v>
      </c>
    </row>
    <row r="50" spans="1:8" ht="67.5" x14ac:dyDescent="0.25">
      <c r="A50" s="89" t="s">
        <v>19</v>
      </c>
      <c r="B50" s="90">
        <v>13</v>
      </c>
      <c r="C50" s="90">
        <v>7</v>
      </c>
      <c r="D50" s="91"/>
      <c r="E50" s="90">
        <v>2</v>
      </c>
      <c r="F50" s="90">
        <v>22</v>
      </c>
      <c r="G50" s="92">
        <v>65</v>
      </c>
      <c r="H50" s="92">
        <v>59.09</v>
      </c>
    </row>
    <row r="51" spans="1:8" ht="67.5" x14ac:dyDescent="0.25">
      <c r="A51" s="89" t="s">
        <v>20</v>
      </c>
      <c r="B51" s="90">
        <v>62</v>
      </c>
      <c r="C51" s="90">
        <v>7</v>
      </c>
      <c r="D51" s="91"/>
      <c r="E51" s="90">
        <v>1</v>
      </c>
      <c r="F51" s="90">
        <v>70</v>
      </c>
      <c r="G51" s="92">
        <v>89.86</v>
      </c>
      <c r="H51" s="92">
        <v>88.57</v>
      </c>
    </row>
    <row r="52" spans="1:8" ht="67.5" x14ac:dyDescent="0.25">
      <c r="A52" s="89" t="s">
        <v>21</v>
      </c>
      <c r="B52" s="90">
        <v>82</v>
      </c>
      <c r="C52" s="90">
        <v>26</v>
      </c>
      <c r="D52" s="91"/>
      <c r="E52" s="90">
        <v>1</v>
      </c>
      <c r="F52" s="90">
        <v>109</v>
      </c>
      <c r="G52" s="92">
        <v>75.930000000000007</v>
      </c>
      <c r="H52" s="92">
        <v>75.23</v>
      </c>
    </row>
    <row r="53" spans="1:8" ht="67.5" x14ac:dyDescent="0.25">
      <c r="A53" s="89" t="s">
        <v>24</v>
      </c>
      <c r="B53" s="90">
        <v>21</v>
      </c>
      <c r="C53" s="90">
        <v>20</v>
      </c>
      <c r="D53" s="91"/>
      <c r="E53" s="91"/>
      <c r="F53" s="90">
        <v>41</v>
      </c>
      <c r="G53" s="92">
        <v>51.22</v>
      </c>
      <c r="H53" s="92">
        <v>51.22</v>
      </c>
    </row>
    <row r="54" spans="1:8" ht="67.5" x14ac:dyDescent="0.25">
      <c r="A54" s="89" t="s">
        <v>25</v>
      </c>
      <c r="B54" s="90">
        <v>1</v>
      </c>
      <c r="C54" s="91"/>
      <c r="D54" s="91"/>
      <c r="E54" s="91"/>
      <c r="F54" s="90">
        <v>1</v>
      </c>
      <c r="G54" s="92">
        <v>100</v>
      </c>
      <c r="H54" s="92">
        <v>100</v>
      </c>
    </row>
    <row r="55" spans="1:8" ht="67.5" x14ac:dyDescent="0.25">
      <c r="A55" s="89" t="s">
        <v>26</v>
      </c>
      <c r="B55" s="90">
        <v>109</v>
      </c>
      <c r="C55" s="90">
        <v>46</v>
      </c>
      <c r="D55" s="90">
        <v>2</v>
      </c>
      <c r="E55" s="90">
        <v>2</v>
      </c>
      <c r="F55" s="90">
        <v>159</v>
      </c>
      <c r="G55" s="92">
        <v>69.430000000000007</v>
      </c>
      <c r="H55" s="92">
        <v>68.55</v>
      </c>
    </row>
    <row r="56" spans="1:8" ht="67.5" x14ac:dyDescent="0.25">
      <c r="A56" s="89" t="s">
        <v>27</v>
      </c>
      <c r="B56" s="90">
        <v>143</v>
      </c>
      <c r="C56" s="90">
        <v>53</v>
      </c>
      <c r="D56" s="91"/>
      <c r="E56" s="90">
        <v>1</v>
      </c>
      <c r="F56" s="90">
        <v>197</v>
      </c>
      <c r="G56" s="92">
        <v>72.959999999999994</v>
      </c>
      <c r="H56" s="92">
        <v>72.59</v>
      </c>
    </row>
    <row r="57" spans="1:8" ht="67.5" x14ac:dyDescent="0.25">
      <c r="A57" s="89" t="s">
        <v>28</v>
      </c>
      <c r="B57" s="90">
        <v>96</v>
      </c>
      <c r="C57" s="90">
        <v>36</v>
      </c>
      <c r="D57" s="90">
        <v>1</v>
      </c>
      <c r="E57" s="91"/>
      <c r="F57" s="90">
        <v>133</v>
      </c>
      <c r="G57" s="92">
        <v>72.180000000000007</v>
      </c>
      <c r="H57" s="92">
        <v>72.180000000000007</v>
      </c>
    </row>
    <row r="58" spans="1:8" ht="67.5" x14ac:dyDescent="0.25">
      <c r="A58" s="89" t="s">
        <v>29</v>
      </c>
      <c r="B58" s="90">
        <v>95</v>
      </c>
      <c r="C58" s="90">
        <v>6</v>
      </c>
      <c r="D58" s="91"/>
      <c r="E58" s="90">
        <v>3</v>
      </c>
      <c r="F58" s="90">
        <v>104</v>
      </c>
      <c r="G58" s="92">
        <v>94.06</v>
      </c>
      <c r="H58" s="92">
        <v>91.35</v>
      </c>
    </row>
    <row r="59" spans="1:8" ht="90" x14ac:dyDescent="0.25">
      <c r="A59" s="89" t="s">
        <v>185</v>
      </c>
      <c r="B59" s="90">
        <v>9</v>
      </c>
      <c r="C59" s="90">
        <v>5</v>
      </c>
      <c r="D59" s="90">
        <v>1</v>
      </c>
      <c r="E59" s="90">
        <v>2</v>
      </c>
      <c r="F59" s="90">
        <v>17</v>
      </c>
      <c r="G59" s="92">
        <v>60</v>
      </c>
      <c r="H59" s="92">
        <v>52.94</v>
      </c>
    </row>
    <row r="60" spans="1:8" ht="67.5" x14ac:dyDescent="0.25">
      <c r="A60" s="89" t="s">
        <v>30</v>
      </c>
      <c r="B60" s="90">
        <v>17</v>
      </c>
      <c r="C60" s="90">
        <v>6</v>
      </c>
      <c r="D60" s="91"/>
      <c r="E60" s="91"/>
      <c r="F60" s="90">
        <v>23</v>
      </c>
      <c r="G60" s="92">
        <v>73.91</v>
      </c>
      <c r="H60" s="92">
        <v>73.91</v>
      </c>
    </row>
    <row r="61" spans="1:8" ht="78.75" x14ac:dyDescent="0.25">
      <c r="A61" s="89" t="s">
        <v>31</v>
      </c>
      <c r="B61" s="90">
        <v>8</v>
      </c>
      <c r="C61" s="90">
        <v>5</v>
      </c>
      <c r="D61" s="91"/>
      <c r="E61" s="91"/>
      <c r="F61" s="90">
        <v>13</v>
      </c>
      <c r="G61" s="92">
        <v>61.54</v>
      </c>
      <c r="H61" s="92">
        <v>61.54</v>
      </c>
    </row>
    <row r="62" spans="1:8" ht="67.5" x14ac:dyDescent="0.25">
      <c r="A62" s="89" t="s">
        <v>32</v>
      </c>
      <c r="B62" s="90">
        <v>4</v>
      </c>
      <c r="C62" s="90">
        <v>3</v>
      </c>
      <c r="D62" s="91"/>
      <c r="E62" s="91"/>
      <c r="F62" s="90">
        <v>7</v>
      </c>
      <c r="G62" s="92">
        <v>57.14</v>
      </c>
      <c r="H62" s="92">
        <v>57.14</v>
      </c>
    </row>
    <row r="63" spans="1:8" ht="67.5" x14ac:dyDescent="0.25">
      <c r="A63" s="89" t="s">
        <v>33</v>
      </c>
      <c r="B63" s="90">
        <v>10</v>
      </c>
      <c r="C63" s="90">
        <v>5</v>
      </c>
      <c r="D63" s="91"/>
      <c r="E63" s="91"/>
      <c r="F63" s="90">
        <v>15</v>
      </c>
      <c r="G63" s="92">
        <v>66.67</v>
      </c>
      <c r="H63" s="92">
        <v>66.67</v>
      </c>
    </row>
    <row r="64" spans="1:8" ht="78.75" x14ac:dyDescent="0.25">
      <c r="A64" s="89" t="s">
        <v>34</v>
      </c>
      <c r="B64" s="90">
        <v>6</v>
      </c>
      <c r="C64" s="90">
        <v>4</v>
      </c>
      <c r="D64" s="91"/>
      <c r="E64" s="91"/>
      <c r="F64" s="90">
        <v>10</v>
      </c>
      <c r="G64" s="92">
        <v>60</v>
      </c>
      <c r="H64" s="92">
        <v>60</v>
      </c>
    </row>
    <row r="65" spans="1:8" ht="78.75" x14ac:dyDescent="0.25">
      <c r="A65" s="89" t="s">
        <v>35</v>
      </c>
      <c r="B65" s="90">
        <v>18</v>
      </c>
      <c r="C65" s="90">
        <v>29</v>
      </c>
      <c r="D65" s="91"/>
      <c r="E65" s="91"/>
      <c r="F65" s="90">
        <v>47</v>
      </c>
      <c r="G65" s="92">
        <v>38.299999999999997</v>
      </c>
      <c r="H65" s="92">
        <v>38.299999999999997</v>
      </c>
    </row>
    <row r="66" spans="1:8" ht="78.75" x14ac:dyDescent="0.25">
      <c r="A66" s="89" t="s">
        <v>37</v>
      </c>
      <c r="B66" s="90">
        <v>22</v>
      </c>
      <c r="C66" s="90">
        <v>15</v>
      </c>
      <c r="D66" s="91"/>
      <c r="E66" s="91"/>
      <c r="F66" s="90">
        <v>37</v>
      </c>
      <c r="G66" s="92">
        <v>59.46</v>
      </c>
      <c r="H66" s="92">
        <v>59.46</v>
      </c>
    </row>
    <row r="67" spans="1:8" ht="78.75" x14ac:dyDescent="0.25">
      <c r="A67" s="89" t="s">
        <v>38</v>
      </c>
      <c r="B67" s="90">
        <v>18</v>
      </c>
      <c r="C67" s="90">
        <v>8</v>
      </c>
      <c r="D67" s="90">
        <v>1</v>
      </c>
      <c r="E67" s="91"/>
      <c r="F67" s="90">
        <v>27</v>
      </c>
      <c r="G67" s="92">
        <v>66.67</v>
      </c>
      <c r="H67" s="92">
        <v>66.67</v>
      </c>
    </row>
    <row r="68" spans="1:8" ht="78.75" x14ac:dyDescent="0.25">
      <c r="A68" s="89" t="s">
        <v>39</v>
      </c>
      <c r="B68" s="90">
        <v>4</v>
      </c>
      <c r="C68" s="90">
        <v>3</v>
      </c>
      <c r="D68" s="91"/>
      <c r="E68" s="91"/>
      <c r="F68" s="90">
        <v>7</v>
      </c>
      <c r="G68" s="92">
        <v>57.14</v>
      </c>
      <c r="H68" s="92">
        <v>57.14</v>
      </c>
    </row>
    <row r="69" spans="1:8" ht="78.75" x14ac:dyDescent="0.25">
      <c r="A69" s="89" t="s">
        <v>40</v>
      </c>
      <c r="B69" s="90">
        <v>9</v>
      </c>
      <c r="C69" s="90">
        <v>8</v>
      </c>
      <c r="D69" s="91"/>
      <c r="E69" s="91"/>
      <c r="F69" s="90">
        <v>17</v>
      </c>
      <c r="G69" s="92">
        <v>52.94</v>
      </c>
      <c r="H69" s="92">
        <v>52.94</v>
      </c>
    </row>
    <row r="70" spans="1:8" ht="67.5" x14ac:dyDescent="0.25">
      <c r="A70" s="89" t="s">
        <v>42</v>
      </c>
      <c r="B70" s="90">
        <v>5</v>
      </c>
      <c r="C70" s="90">
        <v>2</v>
      </c>
      <c r="D70" s="91"/>
      <c r="E70" s="90">
        <v>1</v>
      </c>
      <c r="F70" s="90">
        <v>8</v>
      </c>
      <c r="G70" s="92">
        <v>71.430000000000007</v>
      </c>
      <c r="H70" s="92">
        <v>62.5</v>
      </c>
    </row>
    <row r="71" spans="1:8" ht="67.5" x14ac:dyDescent="0.25">
      <c r="A71" s="89" t="s">
        <v>43</v>
      </c>
      <c r="B71" s="90">
        <v>11</v>
      </c>
      <c r="C71" s="90">
        <v>5</v>
      </c>
      <c r="D71" s="91"/>
      <c r="E71" s="91"/>
      <c r="F71" s="90">
        <v>16</v>
      </c>
      <c r="G71" s="92">
        <v>68.75</v>
      </c>
      <c r="H71" s="92">
        <v>68.75</v>
      </c>
    </row>
    <row r="72" spans="1:8" ht="78.75" x14ac:dyDescent="0.25">
      <c r="A72" s="89" t="s">
        <v>204</v>
      </c>
      <c r="B72" s="90">
        <v>2</v>
      </c>
      <c r="C72" s="91"/>
      <c r="D72" s="91"/>
      <c r="E72" s="90">
        <v>1</v>
      </c>
      <c r="F72" s="90">
        <v>3</v>
      </c>
      <c r="G72" s="92">
        <v>100</v>
      </c>
      <c r="H72" s="92">
        <v>66.67</v>
      </c>
    </row>
    <row r="73" spans="1:8" ht="78.75" x14ac:dyDescent="0.25">
      <c r="A73" s="89" t="s">
        <v>205</v>
      </c>
      <c r="B73" s="90">
        <v>0</v>
      </c>
      <c r="C73" s="91"/>
      <c r="D73" s="91"/>
      <c r="E73" s="90">
        <v>1</v>
      </c>
      <c r="F73" s="90">
        <v>1</v>
      </c>
      <c r="G73" s="91"/>
      <c r="H73" s="92">
        <v>0</v>
      </c>
    </row>
    <row r="74" spans="1:8" ht="90" x14ac:dyDescent="0.25">
      <c r="A74" s="89" t="s">
        <v>206</v>
      </c>
      <c r="B74" s="90">
        <v>0</v>
      </c>
      <c r="C74" s="91"/>
      <c r="D74" s="91"/>
      <c r="E74" s="90">
        <v>1</v>
      </c>
      <c r="F74" s="90">
        <v>1</v>
      </c>
      <c r="G74" s="91"/>
      <c r="H74" s="92">
        <v>0</v>
      </c>
    </row>
    <row r="75" spans="1:8" ht="78.75" x14ac:dyDescent="0.25">
      <c r="A75" s="89" t="s">
        <v>46</v>
      </c>
      <c r="B75" s="90">
        <v>1</v>
      </c>
      <c r="C75" s="90">
        <v>1</v>
      </c>
      <c r="D75" s="91"/>
      <c r="E75" s="91"/>
      <c r="F75" s="90">
        <v>2</v>
      </c>
      <c r="G75" s="92">
        <v>50</v>
      </c>
      <c r="H75" s="92">
        <v>50</v>
      </c>
    </row>
    <row r="76" spans="1:8" ht="78.75" x14ac:dyDescent="0.25">
      <c r="A76" s="89" t="s">
        <v>47</v>
      </c>
      <c r="B76" s="90">
        <v>75</v>
      </c>
      <c r="C76" s="90">
        <v>47</v>
      </c>
      <c r="D76" s="90">
        <v>1</v>
      </c>
      <c r="E76" s="90">
        <v>1</v>
      </c>
      <c r="F76" s="90">
        <v>124</v>
      </c>
      <c r="G76" s="92">
        <v>60.98</v>
      </c>
      <c r="H76" s="92">
        <v>60.48</v>
      </c>
    </row>
    <row r="77" spans="1:8" ht="78.75" x14ac:dyDescent="0.25">
      <c r="A77" s="89" t="s">
        <v>48</v>
      </c>
      <c r="B77" s="90">
        <v>11</v>
      </c>
      <c r="C77" s="91"/>
      <c r="D77" s="91"/>
      <c r="E77" s="91"/>
      <c r="F77" s="90">
        <v>11</v>
      </c>
      <c r="G77" s="92">
        <v>100</v>
      </c>
      <c r="H77" s="92">
        <v>100</v>
      </c>
    </row>
    <row r="78" spans="1:8" ht="78.75" x14ac:dyDescent="0.25">
      <c r="A78" s="89" t="s">
        <v>49</v>
      </c>
      <c r="B78" s="90">
        <v>25</v>
      </c>
      <c r="C78" s="90">
        <v>8</v>
      </c>
      <c r="D78" s="91"/>
      <c r="E78" s="91"/>
      <c r="F78" s="90">
        <v>33</v>
      </c>
      <c r="G78" s="92">
        <v>75.760000000000005</v>
      </c>
      <c r="H78" s="92">
        <v>75.760000000000005</v>
      </c>
    </row>
    <row r="79" spans="1:8" ht="67.5" x14ac:dyDescent="0.25">
      <c r="A79" s="89" t="s">
        <v>50</v>
      </c>
      <c r="B79" s="90">
        <v>0</v>
      </c>
      <c r="C79" s="90">
        <v>1</v>
      </c>
      <c r="D79" s="91"/>
      <c r="E79" s="91"/>
      <c r="F79" s="90">
        <v>1</v>
      </c>
      <c r="G79" s="91"/>
      <c r="H79" s="92">
        <v>0</v>
      </c>
    </row>
    <row r="80" spans="1:8" ht="67.5" x14ac:dyDescent="0.25">
      <c r="A80" s="89" t="s">
        <v>51</v>
      </c>
      <c r="B80" s="90">
        <v>10</v>
      </c>
      <c r="C80" s="90">
        <v>6</v>
      </c>
      <c r="D80" s="91"/>
      <c r="E80" s="91"/>
      <c r="F80" s="90">
        <v>16</v>
      </c>
      <c r="G80" s="92">
        <v>62.5</v>
      </c>
      <c r="H80" s="92">
        <v>62.5</v>
      </c>
    </row>
    <row r="81" spans="1:8" ht="67.5" x14ac:dyDescent="0.25">
      <c r="A81" s="89" t="s">
        <v>52</v>
      </c>
      <c r="B81" s="90">
        <v>7</v>
      </c>
      <c r="C81" s="90">
        <v>2</v>
      </c>
      <c r="D81" s="91"/>
      <c r="E81" s="91"/>
      <c r="F81" s="90">
        <v>9</v>
      </c>
      <c r="G81" s="92">
        <v>77.78</v>
      </c>
      <c r="H81" s="92">
        <v>77.78</v>
      </c>
    </row>
    <row r="82" spans="1:8" ht="67.5" x14ac:dyDescent="0.25">
      <c r="A82" s="89" t="s">
        <v>53</v>
      </c>
      <c r="B82" s="90">
        <v>25</v>
      </c>
      <c r="C82" s="90">
        <v>12</v>
      </c>
      <c r="D82" s="91"/>
      <c r="E82" s="90">
        <v>1</v>
      </c>
      <c r="F82" s="90">
        <v>38</v>
      </c>
      <c r="G82" s="92">
        <v>67.569999999999993</v>
      </c>
      <c r="H82" s="92">
        <v>65.790000000000006</v>
      </c>
    </row>
    <row r="83" spans="1:8" ht="67.5" x14ac:dyDescent="0.25">
      <c r="A83" s="89" t="s">
        <v>55</v>
      </c>
      <c r="B83" s="90">
        <v>35</v>
      </c>
      <c r="C83" s="90">
        <v>10</v>
      </c>
      <c r="D83" s="91"/>
      <c r="E83" s="91"/>
      <c r="F83" s="90">
        <v>45</v>
      </c>
      <c r="G83" s="92">
        <v>77.78</v>
      </c>
      <c r="H83" s="92">
        <v>77.78</v>
      </c>
    </row>
    <row r="84" spans="1:8" ht="67.5" x14ac:dyDescent="0.25">
      <c r="A84" s="89" t="s">
        <v>56</v>
      </c>
      <c r="B84" s="90">
        <v>82</v>
      </c>
      <c r="C84" s="90">
        <v>18</v>
      </c>
      <c r="D84" s="91"/>
      <c r="E84" s="90">
        <v>3</v>
      </c>
      <c r="F84" s="90">
        <v>103</v>
      </c>
      <c r="G84" s="92">
        <v>82</v>
      </c>
      <c r="H84" s="92">
        <v>79.61</v>
      </c>
    </row>
    <row r="85" spans="1:8" ht="90" x14ac:dyDescent="0.25">
      <c r="A85" s="89" t="s">
        <v>57</v>
      </c>
      <c r="B85" s="90">
        <v>46</v>
      </c>
      <c r="C85" s="90">
        <v>22</v>
      </c>
      <c r="D85" s="91"/>
      <c r="E85" s="90">
        <v>1</v>
      </c>
      <c r="F85" s="90">
        <v>69</v>
      </c>
      <c r="G85" s="92">
        <v>67.650000000000006</v>
      </c>
      <c r="H85" s="92">
        <v>66.67</v>
      </c>
    </row>
    <row r="86" spans="1:8" ht="90" x14ac:dyDescent="0.25">
      <c r="A86" s="89" t="s">
        <v>58</v>
      </c>
      <c r="B86" s="90">
        <v>6</v>
      </c>
      <c r="C86" s="90">
        <v>2</v>
      </c>
      <c r="D86" s="91"/>
      <c r="E86" s="91"/>
      <c r="F86" s="90">
        <v>8</v>
      </c>
      <c r="G86" s="92">
        <v>75</v>
      </c>
      <c r="H86" s="92">
        <v>75</v>
      </c>
    </row>
    <row r="87" spans="1:8" ht="90" x14ac:dyDescent="0.25">
      <c r="A87" s="89" t="s">
        <v>59</v>
      </c>
      <c r="B87" s="90">
        <v>33</v>
      </c>
      <c r="C87" s="90">
        <v>19</v>
      </c>
      <c r="D87" s="91"/>
      <c r="E87" s="91"/>
      <c r="F87" s="90">
        <v>52</v>
      </c>
      <c r="G87" s="92">
        <v>63.46</v>
      </c>
      <c r="H87" s="92">
        <v>63.46</v>
      </c>
    </row>
    <row r="88" spans="1:8" ht="90" x14ac:dyDescent="0.25">
      <c r="A88" s="89" t="s">
        <v>60</v>
      </c>
      <c r="B88" s="90">
        <v>6</v>
      </c>
      <c r="C88" s="91"/>
      <c r="D88" s="91"/>
      <c r="E88" s="91"/>
      <c r="F88" s="90">
        <v>6</v>
      </c>
      <c r="G88" s="92">
        <v>100</v>
      </c>
      <c r="H88" s="92">
        <v>100</v>
      </c>
    </row>
    <row r="89" spans="1:8" ht="78.75" x14ac:dyDescent="0.25">
      <c r="A89" s="89" t="s">
        <v>61</v>
      </c>
      <c r="B89" s="90">
        <v>5</v>
      </c>
      <c r="C89" s="90">
        <v>3</v>
      </c>
      <c r="D89" s="91"/>
      <c r="E89" s="91"/>
      <c r="F89" s="90">
        <v>8</v>
      </c>
      <c r="G89" s="92">
        <v>62.5</v>
      </c>
      <c r="H89" s="92">
        <v>62.5</v>
      </c>
    </row>
    <row r="90" spans="1:8" ht="90" x14ac:dyDescent="0.25">
      <c r="A90" s="89" t="s">
        <v>62</v>
      </c>
      <c r="B90" s="90">
        <v>0</v>
      </c>
      <c r="C90" s="90">
        <v>2</v>
      </c>
      <c r="D90" s="91"/>
      <c r="E90" s="91"/>
      <c r="F90" s="90">
        <v>2</v>
      </c>
      <c r="G90" s="91"/>
      <c r="H90" s="92">
        <v>0</v>
      </c>
    </row>
    <row r="91" spans="1:8" ht="78.75" x14ac:dyDescent="0.25">
      <c r="A91" s="89" t="s">
        <v>63</v>
      </c>
      <c r="B91" s="90">
        <v>29</v>
      </c>
      <c r="C91" s="90">
        <v>23</v>
      </c>
      <c r="D91" s="91"/>
      <c r="E91" s="90">
        <v>1</v>
      </c>
      <c r="F91" s="90">
        <v>53</v>
      </c>
      <c r="G91" s="92">
        <v>55.77</v>
      </c>
      <c r="H91" s="92">
        <v>54.72</v>
      </c>
    </row>
    <row r="92" spans="1:8" ht="90" x14ac:dyDescent="0.25">
      <c r="A92" s="89" t="s">
        <v>64</v>
      </c>
      <c r="B92" s="90">
        <v>12</v>
      </c>
      <c r="C92" s="90">
        <v>13</v>
      </c>
      <c r="D92" s="90">
        <v>2</v>
      </c>
      <c r="E92" s="91"/>
      <c r="F92" s="90">
        <v>27</v>
      </c>
      <c r="G92" s="92">
        <v>44.44</v>
      </c>
      <c r="H92" s="92">
        <v>44.44</v>
      </c>
    </row>
    <row r="93" spans="1:8" ht="90" x14ac:dyDescent="0.25">
      <c r="A93" s="89" t="s">
        <v>66</v>
      </c>
      <c r="B93" s="90">
        <v>57</v>
      </c>
      <c r="C93" s="90">
        <v>20</v>
      </c>
      <c r="D93" s="90">
        <v>4</v>
      </c>
      <c r="E93" s="90">
        <v>1</v>
      </c>
      <c r="F93" s="90">
        <v>82</v>
      </c>
      <c r="G93" s="92">
        <v>70.37</v>
      </c>
      <c r="H93" s="92">
        <v>69.510000000000005</v>
      </c>
    </row>
    <row r="94" spans="1:8" ht="90" x14ac:dyDescent="0.25">
      <c r="A94" s="89" t="s">
        <v>67</v>
      </c>
      <c r="B94" s="90">
        <v>13</v>
      </c>
      <c r="C94" s="90">
        <v>14</v>
      </c>
      <c r="D94" s="91"/>
      <c r="E94" s="91"/>
      <c r="F94" s="90">
        <v>27</v>
      </c>
      <c r="G94" s="92">
        <v>48.15</v>
      </c>
      <c r="H94" s="92">
        <v>48.15</v>
      </c>
    </row>
    <row r="95" spans="1:8" ht="90" x14ac:dyDescent="0.25">
      <c r="A95" s="89" t="s">
        <v>69</v>
      </c>
      <c r="B95" s="90">
        <v>39</v>
      </c>
      <c r="C95" s="90">
        <v>29</v>
      </c>
      <c r="D95" s="91"/>
      <c r="E95" s="91"/>
      <c r="F95" s="90">
        <v>68</v>
      </c>
      <c r="G95" s="92">
        <v>57.35</v>
      </c>
      <c r="H95" s="92">
        <v>57.35</v>
      </c>
    </row>
    <row r="96" spans="1:8" ht="90" x14ac:dyDescent="0.25">
      <c r="A96" s="89" t="s">
        <v>70</v>
      </c>
      <c r="B96" s="90">
        <v>98</v>
      </c>
      <c r="C96" s="90">
        <v>20</v>
      </c>
      <c r="D96" s="90">
        <v>1</v>
      </c>
      <c r="E96" s="91"/>
      <c r="F96" s="90">
        <v>119</v>
      </c>
      <c r="G96" s="92">
        <v>82.35</v>
      </c>
      <c r="H96" s="92">
        <v>82.35</v>
      </c>
    </row>
    <row r="97" spans="1:8" ht="78.75" x14ac:dyDescent="0.25">
      <c r="A97" s="89" t="s">
        <v>71</v>
      </c>
      <c r="B97" s="90">
        <v>5</v>
      </c>
      <c r="C97" s="91"/>
      <c r="D97" s="91"/>
      <c r="E97" s="91"/>
      <c r="F97" s="90">
        <v>5</v>
      </c>
      <c r="G97" s="92">
        <v>100</v>
      </c>
      <c r="H97" s="92">
        <v>100</v>
      </c>
    </row>
    <row r="98" spans="1:8" ht="90" x14ac:dyDescent="0.25">
      <c r="A98" s="89" t="s">
        <v>72</v>
      </c>
      <c r="B98" s="90">
        <v>9</v>
      </c>
      <c r="C98" s="90">
        <v>6</v>
      </c>
      <c r="D98" s="91"/>
      <c r="E98" s="91"/>
      <c r="F98" s="90">
        <v>15</v>
      </c>
      <c r="G98" s="92">
        <v>60</v>
      </c>
      <c r="H98" s="92">
        <v>60</v>
      </c>
    </row>
    <row r="99" spans="1:8" ht="78.75" x14ac:dyDescent="0.25">
      <c r="A99" s="89" t="s">
        <v>73</v>
      </c>
      <c r="B99" s="90">
        <v>10</v>
      </c>
      <c r="C99" s="90">
        <v>5</v>
      </c>
      <c r="D99" s="91"/>
      <c r="E99" s="91"/>
      <c r="F99" s="90">
        <v>15</v>
      </c>
      <c r="G99" s="92">
        <v>66.67</v>
      </c>
      <c r="H99" s="92">
        <v>66.67</v>
      </c>
    </row>
    <row r="100" spans="1:8" ht="90" x14ac:dyDescent="0.25">
      <c r="A100" s="89" t="s">
        <v>74</v>
      </c>
      <c r="B100" s="90">
        <v>6</v>
      </c>
      <c r="C100" s="90">
        <v>3</v>
      </c>
      <c r="D100" s="91"/>
      <c r="E100" s="90">
        <v>1</v>
      </c>
      <c r="F100" s="90">
        <v>10</v>
      </c>
      <c r="G100" s="92">
        <v>66.67</v>
      </c>
      <c r="H100" s="92">
        <v>60</v>
      </c>
    </row>
    <row r="101" spans="1:8" ht="112.5" x14ac:dyDescent="0.25">
      <c r="A101" s="89" t="s">
        <v>75</v>
      </c>
      <c r="B101" s="90">
        <v>20</v>
      </c>
      <c r="C101" s="90">
        <v>25</v>
      </c>
      <c r="D101" s="91"/>
      <c r="E101" s="91"/>
      <c r="F101" s="90">
        <v>45</v>
      </c>
      <c r="G101" s="92">
        <v>44.44</v>
      </c>
      <c r="H101" s="92">
        <v>44.44</v>
      </c>
    </row>
    <row r="102" spans="1:8" ht="78.75" x14ac:dyDescent="0.25">
      <c r="A102" s="89" t="s">
        <v>77</v>
      </c>
      <c r="B102" s="90">
        <v>26</v>
      </c>
      <c r="C102" s="90">
        <v>17</v>
      </c>
      <c r="D102" s="91"/>
      <c r="E102" s="91"/>
      <c r="F102" s="90">
        <v>43</v>
      </c>
      <c r="G102" s="92">
        <v>60.47</v>
      </c>
      <c r="H102" s="92">
        <v>60.47</v>
      </c>
    </row>
    <row r="103" spans="1:8" ht="78.75" x14ac:dyDescent="0.25">
      <c r="A103" s="89" t="s">
        <v>78</v>
      </c>
      <c r="B103" s="90">
        <v>22</v>
      </c>
      <c r="C103" s="90">
        <v>10</v>
      </c>
      <c r="D103" s="91"/>
      <c r="E103" s="91"/>
      <c r="F103" s="90">
        <v>32</v>
      </c>
      <c r="G103" s="92">
        <v>68.75</v>
      </c>
      <c r="H103" s="92">
        <v>68.75</v>
      </c>
    </row>
    <row r="104" spans="1:8" ht="78.75" x14ac:dyDescent="0.25">
      <c r="A104" s="89" t="s">
        <v>79</v>
      </c>
      <c r="B104" s="90">
        <v>11</v>
      </c>
      <c r="C104" s="90">
        <v>4</v>
      </c>
      <c r="D104" s="91"/>
      <c r="E104" s="91"/>
      <c r="F104" s="90">
        <v>15</v>
      </c>
      <c r="G104" s="92">
        <v>73.33</v>
      </c>
      <c r="H104" s="92">
        <v>73.33</v>
      </c>
    </row>
    <row r="105" spans="1:8" ht="78.75" x14ac:dyDescent="0.25">
      <c r="A105" s="89" t="s">
        <v>80</v>
      </c>
      <c r="B105" s="90">
        <v>25</v>
      </c>
      <c r="C105" s="90">
        <v>3</v>
      </c>
      <c r="D105" s="91"/>
      <c r="E105" s="91"/>
      <c r="F105" s="90">
        <v>28</v>
      </c>
      <c r="G105" s="92">
        <v>89.29</v>
      </c>
      <c r="H105" s="92">
        <v>89.29</v>
      </c>
    </row>
    <row r="106" spans="1:8" ht="67.5" x14ac:dyDescent="0.25">
      <c r="A106" s="89" t="s">
        <v>82</v>
      </c>
      <c r="B106" s="90">
        <v>35</v>
      </c>
      <c r="C106" s="90">
        <v>11</v>
      </c>
      <c r="D106" s="91"/>
      <c r="E106" s="90">
        <v>1</v>
      </c>
      <c r="F106" s="90">
        <v>47</v>
      </c>
      <c r="G106" s="92">
        <v>76.09</v>
      </c>
      <c r="H106" s="92">
        <v>74.47</v>
      </c>
    </row>
    <row r="107" spans="1:8" ht="67.5" x14ac:dyDescent="0.25">
      <c r="A107" s="89" t="s">
        <v>83</v>
      </c>
      <c r="B107" s="90">
        <v>23</v>
      </c>
      <c r="C107" s="90">
        <v>5</v>
      </c>
      <c r="D107" s="91"/>
      <c r="E107" s="90">
        <v>1</v>
      </c>
      <c r="F107" s="90">
        <v>29</v>
      </c>
      <c r="G107" s="92">
        <v>82.14</v>
      </c>
      <c r="H107" s="92">
        <v>79.31</v>
      </c>
    </row>
    <row r="108" spans="1:8" ht="67.5" x14ac:dyDescent="0.25">
      <c r="A108" s="89" t="s">
        <v>84</v>
      </c>
      <c r="B108" s="90">
        <v>5</v>
      </c>
      <c r="C108" s="91"/>
      <c r="D108" s="91"/>
      <c r="E108" s="90">
        <v>2</v>
      </c>
      <c r="F108" s="90">
        <v>7</v>
      </c>
      <c r="G108" s="92">
        <v>100</v>
      </c>
      <c r="H108" s="92">
        <v>71.430000000000007</v>
      </c>
    </row>
    <row r="109" spans="1:8" ht="67.5" x14ac:dyDescent="0.25">
      <c r="A109" s="89" t="s">
        <v>85</v>
      </c>
      <c r="B109" s="90">
        <v>1</v>
      </c>
      <c r="C109" s="91"/>
      <c r="D109" s="91"/>
      <c r="E109" s="91"/>
      <c r="F109" s="90">
        <v>1</v>
      </c>
      <c r="G109" s="92">
        <v>100</v>
      </c>
      <c r="H109" s="92">
        <v>100</v>
      </c>
    </row>
    <row r="110" spans="1:8" ht="67.5" x14ac:dyDescent="0.25">
      <c r="A110" s="89" t="s">
        <v>86</v>
      </c>
      <c r="B110" s="90">
        <v>46</v>
      </c>
      <c r="C110" s="90">
        <v>24</v>
      </c>
      <c r="D110" s="90">
        <v>1</v>
      </c>
      <c r="E110" s="90">
        <v>1</v>
      </c>
      <c r="F110" s="90">
        <v>72</v>
      </c>
      <c r="G110" s="92">
        <v>64.790000000000006</v>
      </c>
      <c r="H110" s="92">
        <v>63.89</v>
      </c>
    </row>
    <row r="111" spans="1:8" ht="67.5" x14ac:dyDescent="0.25">
      <c r="A111" s="89" t="s">
        <v>87</v>
      </c>
      <c r="B111" s="90">
        <v>8</v>
      </c>
      <c r="C111" s="90">
        <v>4</v>
      </c>
      <c r="D111" s="90">
        <v>1</v>
      </c>
      <c r="E111" s="91"/>
      <c r="F111" s="90">
        <v>13</v>
      </c>
      <c r="G111" s="92">
        <v>61.54</v>
      </c>
      <c r="H111" s="92">
        <v>61.54</v>
      </c>
    </row>
    <row r="112" spans="1:8" ht="67.5" x14ac:dyDescent="0.25">
      <c r="A112" s="89" t="s">
        <v>88</v>
      </c>
      <c r="B112" s="90">
        <v>3</v>
      </c>
      <c r="C112" s="90">
        <v>1</v>
      </c>
      <c r="D112" s="91"/>
      <c r="E112" s="91"/>
      <c r="F112" s="90">
        <v>4</v>
      </c>
      <c r="G112" s="92">
        <v>75</v>
      </c>
      <c r="H112" s="92">
        <v>75</v>
      </c>
    </row>
    <row r="113" spans="1:8" ht="67.5" x14ac:dyDescent="0.25">
      <c r="A113" s="89" t="s">
        <v>89</v>
      </c>
      <c r="B113" s="90">
        <v>24</v>
      </c>
      <c r="C113" s="90">
        <v>12</v>
      </c>
      <c r="D113" s="91"/>
      <c r="E113" s="91"/>
      <c r="F113" s="90">
        <v>36</v>
      </c>
      <c r="G113" s="92">
        <v>66.67</v>
      </c>
      <c r="H113" s="92">
        <v>66.67</v>
      </c>
    </row>
    <row r="114" spans="1:8" ht="67.5" x14ac:dyDescent="0.25">
      <c r="A114" s="89" t="s">
        <v>90</v>
      </c>
      <c r="B114" s="90">
        <v>42</v>
      </c>
      <c r="C114" s="90">
        <v>34</v>
      </c>
      <c r="D114" s="91"/>
      <c r="E114" s="90">
        <v>2</v>
      </c>
      <c r="F114" s="90">
        <v>78</v>
      </c>
      <c r="G114" s="92">
        <v>55.26</v>
      </c>
      <c r="H114" s="92">
        <v>53.85</v>
      </c>
    </row>
    <row r="115" spans="1:8" ht="67.5" x14ac:dyDescent="0.25">
      <c r="A115" s="89" t="s">
        <v>91</v>
      </c>
      <c r="B115" s="90">
        <v>5</v>
      </c>
      <c r="C115" s="90">
        <v>7</v>
      </c>
      <c r="D115" s="91"/>
      <c r="E115" s="90">
        <v>1</v>
      </c>
      <c r="F115" s="90">
        <v>13</v>
      </c>
      <c r="G115" s="92">
        <v>41.67</v>
      </c>
      <c r="H115" s="92">
        <v>38.46</v>
      </c>
    </row>
    <row r="116" spans="1:8" ht="67.5" x14ac:dyDescent="0.25">
      <c r="A116" s="89" t="s">
        <v>92</v>
      </c>
      <c r="B116" s="90">
        <v>5</v>
      </c>
      <c r="C116" s="91"/>
      <c r="D116" s="91"/>
      <c r="E116" s="91"/>
      <c r="F116" s="90">
        <v>5</v>
      </c>
      <c r="G116" s="92">
        <v>100</v>
      </c>
      <c r="H116" s="92">
        <v>100</v>
      </c>
    </row>
    <row r="117" spans="1:8" ht="67.5" x14ac:dyDescent="0.25">
      <c r="A117" s="89" t="s">
        <v>93</v>
      </c>
      <c r="B117" s="90">
        <v>40</v>
      </c>
      <c r="C117" s="90">
        <v>22</v>
      </c>
      <c r="D117" s="91"/>
      <c r="E117" s="91"/>
      <c r="F117" s="90">
        <v>62</v>
      </c>
      <c r="G117" s="92">
        <v>64.52</v>
      </c>
      <c r="H117" s="92">
        <v>64.52</v>
      </c>
    </row>
    <row r="118" spans="1:8" ht="67.5" x14ac:dyDescent="0.25">
      <c r="A118" s="89" t="s">
        <v>94</v>
      </c>
      <c r="B118" s="90">
        <v>4</v>
      </c>
      <c r="C118" s="90">
        <v>1</v>
      </c>
      <c r="D118" s="91"/>
      <c r="E118" s="90">
        <v>1</v>
      </c>
      <c r="F118" s="90">
        <v>6</v>
      </c>
      <c r="G118" s="92">
        <v>80</v>
      </c>
      <c r="H118" s="92">
        <v>66.67</v>
      </c>
    </row>
    <row r="119" spans="1:8" ht="67.5" x14ac:dyDescent="0.25">
      <c r="A119" s="89" t="s">
        <v>95</v>
      </c>
      <c r="B119" s="90">
        <v>4</v>
      </c>
      <c r="C119" s="90">
        <v>3</v>
      </c>
      <c r="D119" s="91"/>
      <c r="E119" s="90">
        <v>1</v>
      </c>
      <c r="F119" s="90">
        <v>8</v>
      </c>
      <c r="G119" s="92">
        <v>57.14</v>
      </c>
      <c r="H119" s="92">
        <v>50</v>
      </c>
    </row>
    <row r="120" spans="1:8" ht="67.5" x14ac:dyDescent="0.25">
      <c r="A120" s="89" t="s">
        <v>96</v>
      </c>
      <c r="B120" s="90">
        <v>3</v>
      </c>
      <c r="C120" s="90">
        <v>1</v>
      </c>
      <c r="D120" s="91"/>
      <c r="E120" s="91"/>
      <c r="F120" s="90">
        <v>4</v>
      </c>
      <c r="G120" s="92">
        <v>75</v>
      </c>
      <c r="H120" s="92">
        <v>75</v>
      </c>
    </row>
    <row r="121" spans="1:8" ht="78.75" x14ac:dyDescent="0.25">
      <c r="A121" s="89" t="s">
        <v>97</v>
      </c>
      <c r="B121" s="90">
        <v>2</v>
      </c>
      <c r="C121" s="91"/>
      <c r="D121" s="91"/>
      <c r="E121" s="91"/>
      <c r="F121" s="90">
        <v>2</v>
      </c>
      <c r="G121" s="92">
        <v>100</v>
      </c>
      <c r="H121" s="92">
        <v>100</v>
      </c>
    </row>
    <row r="122" spans="1:8" ht="78.75" x14ac:dyDescent="0.25">
      <c r="A122" s="89" t="s">
        <v>98</v>
      </c>
      <c r="B122" s="90">
        <v>9</v>
      </c>
      <c r="C122" s="90">
        <v>11</v>
      </c>
      <c r="D122" s="91"/>
      <c r="E122" s="91"/>
      <c r="F122" s="90">
        <v>20</v>
      </c>
      <c r="G122" s="92">
        <v>45</v>
      </c>
      <c r="H122" s="92">
        <v>45</v>
      </c>
    </row>
    <row r="123" spans="1:8" ht="78.75" x14ac:dyDescent="0.25">
      <c r="A123" s="89" t="s">
        <v>99</v>
      </c>
      <c r="B123" s="90">
        <v>4</v>
      </c>
      <c r="C123" s="90">
        <v>12</v>
      </c>
      <c r="D123" s="91"/>
      <c r="E123" s="91"/>
      <c r="F123" s="90">
        <v>16</v>
      </c>
      <c r="G123" s="92">
        <v>25</v>
      </c>
      <c r="H123" s="92">
        <v>25</v>
      </c>
    </row>
    <row r="124" spans="1:8" ht="78.75" x14ac:dyDescent="0.25">
      <c r="A124" s="89" t="s">
        <v>100</v>
      </c>
      <c r="B124" s="90">
        <v>11</v>
      </c>
      <c r="C124" s="90">
        <v>5</v>
      </c>
      <c r="D124" s="91"/>
      <c r="E124" s="91"/>
      <c r="F124" s="90">
        <v>16</v>
      </c>
      <c r="G124" s="92">
        <v>68.75</v>
      </c>
      <c r="H124" s="92">
        <v>68.75</v>
      </c>
    </row>
    <row r="125" spans="1:8" ht="78.75" x14ac:dyDescent="0.25">
      <c r="A125" s="89" t="s">
        <v>101</v>
      </c>
      <c r="B125" s="90">
        <v>19</v>
      </c>
      <c r="C125" s="90">
        <v>4</v>
      </c>
      <c r="D125" s="91"/>
      <c r="E125" s="91"/>
      <c r="F125" s="90">
        <v>23</v>
      </c>
      <c r="G125" s="92">
        <v>82.61</v>
      </c>
      <c r="H125" s="92">
        <v>82.61</v>
      </c>
    </row>
    <row r="126" spans="1:8" ht="78.75" x14ac:dyDescent="0.25">
      <c r="A126" s="89" t="s">
        <v>102</v>
      </c>
      <c r="B126" s="90">
        <v>21</v>
      </c>
      <c r="C126" s="90">
        <v>6</v>
      </c>
      <c r="D126" s="91"/>
      <c r="E126" s="91"/>
      <c r="F126" s="90">
        <v>27</v>
      </c>
      <c r="G126" s="92">
        <v>77.78</v>
      </c>
      <c r="H126" s="92">
        <v>77.78</v>
      </c>
    </row>
    <row r="127" spans="1:8" ht="78.75" x14ac:dyDescent="0.25">
      <c r="A127" s="89" t="s">
        <v>103</v>
      </c>
      <c r="B127" s="90">
        <v>16</v>
      </c>
      <c r="C127" s="90">
        <v>14</v>
      </c>
      <c r="D127" s="91"/>
      <c r="E127" s="91"/>
      <c r="F127" s="90">
        <v>30</v>
      </c>
      <c r="G127" s="92">
        <v>53.33</v>
      </c>
      <c r="H127" s="92">
        <v>53.33</v>
      </c>
    </row>
    <row r="128" spans="1:8" ht="78.75" x14ac:dyDescent="0.25">
      <c r="A128" s="89" t="s">
        <v>104</v>
      </c>
      <c r="B128" s="90">
        <v>42</v>
      </c>
      <c r="C128" s="90">
        <v>28</v>
      </c>
      <c r="D128" s="91"/>
      <c r="E128" s="90">
        <v>1</v>
      </c>
      <c r="F128" s="90">
        <v>71</v>
      </c>
      <c r="G128" s="92">
        <v>60</v>
      </c>
      <c r="H128" s="92">
        <v>59.15</v>
      </c>
    </row>
    <row r="129" spans="1:8" ht="101.25" x14ac:dyDescent="0.25">
      <c r="A129" s="89" t="s">
        <v>105</v>
      </c>
      <c r="B129" s="90">
        <v>12</v>
      </c>
      <c r="C129" s="90">
        <v>13</v>
      </c>
      <c r="D129" s="91"/>
      <c r="E129" s="91"/>
      <c r="F129" s="90">
        <v>25</v>
      </c>
      <c r="G129" s="92">
        <v>48</v>
      </c>
      <c r="H129" s="92">
        <v>48</v>
      </c>
    </row>
    <row r="130" spans="1:8" ht="78.75" x14ac:dyDescent="0.25">
      <c r="A130" s="89" t="s">
        <v>106</v>
      </c>
      <c r="B130" s="90">
        <v>45</v>
      </c>
      <c r="C130" s="90">
        <v>23</v>
      </c>
      <c r="D130" s="90">
        <v>1</v>
      </c>
      <c r="E130" s="90">
        <v>1</v>
      </c>
      <c r="F130" s="90">
        <v>70</v>
      </c>
      <c r="G130" s="92">
        <v>65.22</v>
      </c>
      <c r="H130" s="92">
        <v>64.290000000000006</v>
      </c>
    </row>
    <row r="131" spans="1:8" ht="67.5" x14ac:dyDescent="0.25">
      <c r="A131" s="89" t="s">
        <v>112</v>
      </c>
      <c r="B131" s="90">
        <v>1</v>
      </c>
      <c r="C131" s="90">
        <v>3</v>
      </c>
      <c r="D131" s="91"/>
      <c r="E131" s="91"/>
      <c r="F131" s="90">
        <v>4</v>
      </c>
      <c r="G131" s="92">
        <v>25</v>
      </c>
      <c r="H131" s="92">
        <v>25</v>
      </c>
    </row>
    <row r="132" spans="1:8" ht="67.5" x14ac:dyDescent="0.25">
      <c r="A132" s="89" t="s">
        <v>114</v>
      </c>
      <c r="B132" s="90">
        <v>15</v>
      </c>
      <c r="C132" s="90">
        <v>1</v>
      </c>
      <c r="D132" s="91"/>
      <c r="E132" s="90">
        <v>1</v>
      </c>
      <c r="F132" s="90">
        <v>17</v>
      </c>
      <c r="G132" s="92">
        <v>93.75</v>
      </c>
      <c r="H132" s="92">
        <v>88.24</v>
      </c>
    </row>
    <row r="133" spans="1:8" ht="67.5" x14ac:dyDescent="0.25">
      <c r="A133" s="89" t="s">
        <v>116</v>
      </c>
      <c r="B133" s="90">
        <v>0</v>
      </c>
      <c r="C133" s="90">
        <v>5</v>
      </c>
      <c r="D133" s="91"/>
      <c r="E133" s="91"/>
      <c r="F133" s="90">
        <v>5</v>
      </c>
      <c r="G133" s="91"/>
      <c r="H133" s="92">
        <v>0</v>
      </c>
    </row>
    <row r="134" spans="1:8" ht="67.5" x14ac:dyDescent="0.25">
      <c r="A134" s="89" t="s">
        <v>120</v>
      </c>
      <c r="B134" s="90">
        <v>1</v>
      </c>
      <c r="C134" s="91"/>
      <c r="D134" s="91"/>
      <c r="E134" s="91"/>
      <c r="F134" s="90">
        <v>1</v>
      </c>
      <c r="G134" s="92">
        <v>100</v>
      </c>
      <c r="H134" s="92">
        <v>100</v>
      </c>
    </row>
    <row r="135" spans="1:8" ht="56.25" x14ac:dyDescent="0.25">
      <c r="A135" s="89" t="s">
        <v>208</v>
      </c>
      <c r="B135" s="90">
        <v>2</v>
      </c>
      <c r="C135" s="91"/>
      <c r="D135" s="91"/>
      <c r="E135" s="91"/>
      <c r="F135" s="90">
        <v>2</v>
      </c>
      <c r="G135" s="92">
        <v>100</v>
      </c>
      <c r="H135" s="92">
        <v>100</v>
      </c>
    </row>
    <row r="136" spans="1:8" ht="56.25" x14ac:dyDescent="0.25">
      <c r="A136" s="89" t="s">
        <v>209</v>
      </c>
      <c r="B136" s="90">
        <v>15</v>
      </c>
      <c r="C136" s="90">
        <v>1</v>
      </c>
      <c r="D136" s="91"/>
      <c r="E136" s="90">
        <v>3</v>
      </c>
      <c r="F136" s="90">
        <v>19</v>
      </c>
      <c r="G136" s="92">
        <v>93.75</v>
      </c>
      <c r="H136" s="92">
        <v>78.95</v>
      </c>
    </row>
    <row r="137" spans="1:8" ht="67.5" x14ac:dyDescent="0.25">
      <c r="A137" s="89" t="s">
        <v>211</v>
      </c>
      <c r="B137" s="90">
        <v>1</v>
      </c>
      <c r="C137" s="91"/>
      <c r="D137" s="91"/>
      <c r="E137" s="91"/>
      <c r="F137" s="90">
        <v>1</v>
      </c>
      <c r="G137" s="92">
        <v>100</v>
      </c>
      <c r="H137" s="92">
        <v>100</v>
      </c>
    </row>
    <row r="138" spans="1:8" ht="67.5" x14ac:dyDescent="0.25">
      <c r="A138" s="89" t="s">
        <v>210</v>
      </c>
      <c r="B138" s="90">
        <v>1</v>
      </c>
      <c r="C138" s="91"/>
      <c r="D138" s="91"/>
      <c r="E138" s="91"/>
      <c r="F138" s="90">
        <v>1</v>
      </c>
      <c r="G138" s="92">
        <v>100</v>
      </c>
      <c r="H138" s="92">
        <v>100</v>
      </c>
    </row>
    <row r="139" spans="1:8" x14ac:dyDescent="0.25">
      <c r="A139" s="93" t="s">
        <v>1</v>
      </c>
      <c r="B139" s="94">
        <v>2368</v>
      </c>
      <c r="C139" s="94">
        <v>1040</v>
      </c>
      <c r="D139" s="95">
        <v>17</v>
      </c>
      <c r="E139" s="95">
        <v>58</v>
      </c>
      <c r="F139" s="94">
        <v>3483</v>
      </c>
      <c r="G139" s="96">
        <v>69.14</v>
      </c>
      <c r="H139" s="96">
        <v>67.989999999999995</v>
      </c>
    </row>
    <row r="140" spans="1:8" x14ac:dyDescent="0.25">
      <c r="A140" s="97"/>
      <c r="B140" s="97"/>
      <c r="C140" s="97"/>
      <c r="D140" s="97"/>
      <c r="E140" s="97"/>
      <c r="F140" s="97"/>
      <c r="G140" s="97"/>
      <c r="H140" s="97"/>
    </row>
    <row r="141" spans="1:8" x14ac:dyDescent="0.25">
      <c r="A141" s="97"/>
      <c r="B141" s="97"/>
      <c r="C141" s="97"/>
      <c r="D141" s="97"/>
      <c r="E141" s="97"/>
      <c r="F141" s="97"/>
      <c r="G141" s="97"/>
      <c r="H141" s="97"/>
    </row>
    <row r="142" spans="1:8" x14ac:dyDescent="0.25">
      <c r="A142" s="97"/>
      <c r="B142" s="97"/>
      <c r="C142" s="97"/>
      <c r="D142" s="97"/>
      <c r="E142" s="97"/>
      <c r="F142" s="97"/>
      <c r="G142" s="97"/>
      <c r="H142" s="97"/>
    </row>
    <row r="143" spans="1:8" x14ac:dyDescent="0.25">
      <c r="A143" s="97"/>
      <c r="B143" s="97"/>
      <c r="C143" s="97"/>
      <c r="D143" s="97"/>
      <c r="E143" s="97"/>
      <c r="F143" s="97"/>
      <c r="G143" s="97"/>
      <c r="H143" s="97"/>
    </row>
    <row r="144" spans="1:8" x14ac:dyDescent="0.25">
      <c r="A144" s="97"/>
      <c r="B144" s="97"/>
      <c r="C144" s="97"/>
      <c r="D144" s="97"/>
      <c r="E144" s="97"/>
      <c r="F144" s="97"/>
      <c r="G144" s="97"/>
      <c r="H144" s="97"/>
    </row>
    <row r="145" spans="1:8" x14ac:dyDescent="0.25">
      <c r="A145" s="97"/>
      <c r="B145" s="97"/>
      <c r="C145" s="97"/>
      <c r="D145" s="97"/>
      <c r="E145" s="97"/>
      <c r="F145" s="97"/>
      <c r="G145" s="97"/>
      <c r="H145" s="97"/>
    </row>
    <row r="146" spans="1:8" x14ac:dyDescent="0.25">
      <c r="A146" s="97"/>
      <c r="B146" s="97"/>
      <c r="C146" s="97"/>
      <c r="D146" s="97"/>
      <c r="E146" s="97"/>
      <c r="F146" s="97"/>
      <c r="G146" s="97"/>
      <c r="H146" s="97"/>
    </row>
    <row r="147" spans="1:8" x14ac:dyDescent="0.25">
      <c r="A147" s="97"/>
      <c r="B147" s="97"/>
      <c r="C147" s="97"/>
      <c r="D147" s="97"/>
      <c r="E147" s="97"/>
      <c r="F147" s="97"/>
      <c r="G147" s="97"/>
      <c r="H147" s="97"/>
    </row>
    <row r="148" spans="1:8" x14ac:dyDescent="0.25">
      <c r="A148" s="97"/>
      <c r="B148" s="97"/>
      <c r="C148" s="97"/>
      <c r="D148" s="97"/>
      <c r="E148" s="97"/>
      <c r="F148" s="97"/>
      <c r="G148" s="97"/>
      <c r="H148" s="97"/>
    </row>
    <row r="149" spans="1:8" x14ac:dyDescent="0.25">
      <c r="A149" s="97"/>
      <c r="B149" s="97"/>
      <c r="C149" s="97"/>
      <c r="D149" s="97"/>
      <c r="E149" s="97"/>
      <c r="F149" s="97"/>
      <c r="G149" s="97"/>
      <c r="H149" s="97"/>
    </row>
    <row r="150" spans="1:8" x14ac:dyDescent="0.25">
      <c r="A150" s="97"/>
      <c r="B150" s="97"/>
      <c r="C150" s="97"/>
      <c r="D150" s="97"/>
      <c r="E150" s="97"/>
      <c r="F150" s="97"/>
      <c r="G150" s="97"/>
      <c r="H150" s="97"/>
    </row>
    <row r="151" spans="1:8" x14ac:dyDescent="0.25">
      <c r="A151" s="97"/>
      <c r="B151" s="97"/>
      <c r="C151" s="97"/>
      <c r="D151" s="97"/>
      <c r="E151" s="97"/>
      <c r="F151" s="97"/>
      <c r="G151" s="97"/>
      <c r="H151" s="97"/>
    </row>
    <row r="152" spans="1:8" x14ac:dyDescent="0.25">
      <c r="A152" s="97"/>
      <c r="B152" s="97"/>
      <c r="C152" s="97"/>
      <c r="D152" s="97"/>
      <c r="E152" s="97"/>
      <c r="F152" s="97"/>
      <c r="G152" s="97"/>
      <c r="H152" s="97"/>
    </row>
    <row r="153" spans="1:8" x14ac:dyDescent="0.25">
      <c r="A153" s="97"/>
      <c r="B153" s="97"/>
      <c r="C153" s="97"/>
      <c r="D153" s="97"/>
      <c r="E153" s="97"/>
      <c r="F153" s="97"/>
      <c r="G153" s="97"/>
      <c r="H153" s="97"/>
    </row>
    <row r="154" spans="1:8" x14ac:dyDescent="0.25">
      <c r="A154" s="97"/>
      <c r="B154" s="97"/>
      <c r="C154" s="97"/>
      <c r="D154" s="97"/>
      <c r="E154" s="97"/>
      <c r="F154" s="97"/>
      <c r="G154" s="97"/>
      <c r="H154" s="97"/>
    </row>
    <row r="155" spans="1:8" x14ac:dyDescent="0.25">
      <c r="A155" s="97"/>
      <c r="B155" s="97"/>
      <c r="C155" s="97"/>
      <c r="D155" s="97"/>
      <c r="E155" s="97"/>
      <c r="F155" s="97"/>
      <c r="G155" s="97"/>
      <c r="H155" s="97"/>
    </row>
    <row r="156" spans="1:8" x14ac:dyDescent="0.25">
      <c r="A156" s="97"/>
      <c r="B156" s="97"/>
      <c r="C156" s="97"/>
      <c r="D156" s="97"/>
      <c r="E156" s="97"/>
      <c r="F156" s="97"/>
      <c r="G156" s="97"/>
      <c r="H156" s="97"/>
    </row>
    <row r="157" spans="1:8" x14ac:dyDescent="0.25">
      <c r="A157" s="97"/>
      <c r="B157" s="97"/>
      <c r="C157" s="97"/>
      <c r="D157" s="97"/>
      <c r="E157" s="97"/>
      <c r="F157" s="97"/>
      <c r="G157" s="97"/>
      <c r="H157" s="97"/>
    </row>
    <row r="158" spans="1:8" x14ac:dyDescent="0.25">
      <c r="A158" s="97"/>
      <c r="B158" s="97"/>
      <c r="C158" s="97"/>
      <c r="D158" s="97"/>
      <c r="E158" s="97"/>
      <c r="F158" s="97"/>
      <c r="G158" s="97"/>
      <c r="H158" s="97"/>
    </row>
    <row r="159" spans="1:8" x14ac:dyDescent="0.25">
      <c r="A159" s="97"/>
      <c r="B159" s="97"/>
      <c r="C159" s="97"/>
      <c r="D159" s="97"/>
      <c r="E159" s="97"/>
      <c r="F159" s="97"/>
      <c r="G159" s="97"/>
      <c r="H159" s="97"/>
    </row>
    <row r="160" spans="1:8" x14ac:dyDescent="0.25">
      <c r="A160" s="97"/>
      <c r="B160" s="97"/>
      <c r="C160" s="97"/>
      <c r="D160" s="97"/>
      <c r="E160" s="97"/>
      <c r="F160" s="97"/>
      <c r="G160" s="97"/>
      <c r="H160" s="97"/>
    </row>
    <row r="161" spans="1:8" x14ac:dyDescent="0.25">
      <c r="A161" s="97"/>
      <c r="B161" s="97"/>
      <c r="C161" s="97"/>
      <c r="D161" s="97"/>
      <c r="E161" s="97"/>
      <c r="F161" s="97"/>
      <c r="G161" s="97"/>
      <c r="H161" s="97"/>
    </row>
    <row r="162" spans="1:8" x14ac:dyDescent="0.25">
      <c r="A162" s="97"/>
      <c r="B162" s="97"/>
      <c r="C162" s="97"/>
      <c r="D162" s="97"/>
      <c r="E162" s="97"/>
      <c r="F162" s="97"/>
      <c r="G162" s="97"/>
      <c r="H162" s="97"/>
    </row>
    <row r="163" spans="1:8" x14ac:dyDescent="0.25">
      <c r="A163" s="97"/>
      <c r="B163" s="97"/>
      <c r="C163" s="97"/>
      <c r="D163" s="97"/>
      <c r="E163" s="97"/>
      <c r="F163" s="97"/>
      <c r="G163" s="97"/>
      <c r="H163" s="97"/>
    </row>
    <row r="164" spans="1:8" x14ac:dyDescent="0.25">
      <c r="A164" s="97"/>
      <c r="B164" s="97"/>
      <c r="C164" s="97"/>
      <c r="D164" s="97"/>
      <c r="E164" s="97"/>
      <c r="F164" s="97"/>
      <c r="G164" s="97"/>
      <c r="H164" s="97"/>
    </row>
    <row r="165" spans="1:8" x14ac:dyDescent="0.25">
      <c r="A165" s="97"/>
      <c r="B165" s="97"/>
      <c r="C165" s="97"/>
      <c r="D165" s="97"/>
      <c r="E165" s="97"/>
      <c r="F165" s="97"/>
      <c r="G165" s="97"/>
      <c r="H165" s="97"/>
    </row>
    <row r="166" spans="1:8" x14ac:dyDescent="0.25">
      <c r="A166" s="97"/>
      <c r="B166" s="97"/>
      <c r="C166" s="97"/>
      <c r="D166" s="97"/>
      <c r="E166" s="97"/>
      <c r="F166" s="97"/>
      <c r="G166" s="97"/>
      <c r="H166" s="97"/>
    </row>
    <row r="167" spans="1:8" x14ac:dyDescent="0.25">
      <c r="A167" s="97"/>
      <c r="B167" s="97"/>
      <c r="C167" s="97"/>
      <c r="D167" s="97"/>
      <c r="E167" s="97"/>
      <c r="F167" s="97"/>
      <c r="G167" s="97"/>
      <c r="H167" s="97"/>
    </row>
    <row r="168" spans="1:8" x14ac:dyDescent="0.25">
      <c r="A168" s="97"/>
      <c r="B168" s="97"/>
      <c r="C168" s="97"/>
      <c r="D168" s="97"/>
      <c r="E168" s="97"/>
      <c r="F168" s="97"/>
      <c r="G168" s="97"/>
      <c r="H168" s="97"/>
    </row>
    <row r="169" spans="1:8" x14ac:dyDescent="0.25">
      <c r="A169" s="97"/>
      <c r="B169" s="97"/>
      <c r="C169" s="97"/>
      <c r="D169" s="97"/>
      <c r="E169" s="97"/>
      <c r="F169" s="97"/>
      <c r="G169" s="97"/>
      <c r="H169" s="97"/>
    </row>
    <row r="170" spans="1:8" x14ac:dyDescent="0.25">
      <c r="A170" s="97"/>
      <c r="B170" s="97"/>
      <c r="C170" s="97"/>
      <c r="D170" s="97"/>
      <c r="E170" s="97"/>
      <c r="F170" s="97"/>
      <c r="G170" s="97"/>
      <c r="H170" s="97"/>
    </row>
    <row r="171" spans="1:8" x14ac:dyDescent="0.25">
      <c r="A171" s="97"/>
      <c r="B171" s="97"/>
      <c r="C171" s="97"/>
      <c r="D171" s="97"/>
      <c r="E171" s="97"/>
      <c r="F171" s="97"/>
      <c r="G171" s="97"/>
      <c r="H171" s="97"/>
    </row>
    <row r="172" spans="1:8" x14ac:dyDescent="0.25">
      <c r="A172" s="97"/>
      <c r="B172" s="97"/>
      <c r="C172" s="97"/>
      <c r="D172" s="97"/>
      <c r="E172" s="97"/>
      <c r="F172" s="97"/>
      <c r="G172" s="97"/>
      <c r="H172" s="97"/>
    </row>
    <row r="173" spans="1:8" x14ac:dyDescent="0.25">
      <c r="A173" s="97"/>
      <c r="B173" s="97"/>
      <c r="C173" s="97"/>
      <c r="D173" s="97"/>
      <c r="E173" s="97"/>
      <c r="F173" s="97"/>
      <c r="G173" s="97"/>
      <c r="H173" s="97"/>
    </row>
    <row r="174" spans="1:8" x14ac:dyDescent="0.25">
      <c r="A174" s="97"/>
      <c r="B174" s="97"/>
      <c r="C174" s="97"/>
      <c r="D174" s="97"/>
      <c r="E174" s="97"/>
      <c r="F174" s="97"/>
      <c r="G174" s="97"/>
      <c r="H174" s="97"/>
    </row>
    <row r="175" spans="1:8" x14ac:dyDescent="0.25">
      <c r="A175" s="97"/>
      <c r="B175" s="97"/>
      <c r="C175" s="97"/>
      <c r="D175" s="97"/>
      <c r="E175" s="97"/>
      <c r="F175" s="97"/>
      <c r="G175" s="97"/>
      <c r="H175" s="97"/>
    </row>
  </sheetData>
  <mergeCells count="2">
    <mergeCell ref="A1:A2"/>
    <mergeCell ref="B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3"/>
  <sheetViews>
    <sheetView topLeftCell="A28" workbookViewId="0">
      <selection sqref="A1:H175"/>
    </sheetView>
  </sheetViews>
  <sheetFormatPr defaultRowHeight="15" x14ac:dyDescent="0.25"/>
  <sheetData>
    <row r="1" spans="1:8" x14ac:dyDescent="0.25">
      <c r="A1" s="141" t="s">
        <v>0</v>
      </c>
      <c r="B1" s="142" t="s">
        <v>1</v>
      </c>
      <c r="C1" s="142"/>
      <c r="D1" s="142"/>
      <c r="E1" s="142"/>
      <c r="F1" s="142"/>
      <c r="G1" s="142"/>
      <c r="H1" s="142"/>
    </row>
    <row r="2" spans="1:8" ht="38.25" x14ac:dyDescent="0.25">
      <c r="A2" s="141"/>
      <c r="B2" s="98" t="s">
        <v>2</v>
      </c>
      <c r="C2" s="98" t="s">
        <v>3</v>
      </c>
      <c r="D2" s="98" t="s">
        <v>160</v>
      </c>
      <c r="E2" s="98" t="s">
        <v>161</v>
      </c>
      <c r="F2" s="98" t="s">
        <v>4</v>
      </c>
      <c r="G2" s="98" t="s">
        <v>162</v>
      </c>
      <c r="H2" s="98" t="s">
        <v>5</v>
      </c>
    </row>
    <row r="3" spans="1:8" ht="67.5" x14ac:dyDescent="0.25">
      <c r="A3" s="99" t="s">
        <v>186</v>
      </c>
      <c r="B3" s="100">
        <v>12</v>
      </c>
      <c r="C3" s="100">
        <v>3</v>
      </c>
      <c r="D3" s="101"/>
      <c r="E3" s="100">
        <v>1</v>
      </c>
      <c r="F3" s="100">
        <v>16</v>
      </c>
      <c r="G3" s="102">
        <v>80</v>
      </c>
      <c r="H3" s="102">
        <v>75</v>
      </c>
    </row>
    <row r="4" spans="1:8" ht="67.5" x14ac:dyDescent="0.25">
      <c r="A4" s="99" t="s">
        <v>177</v>
      </c>
      <c r="B4" s="100">
        <v>1</v>
      </c>
      <c r="C4" s="101"/>
      <c r="D4" s="101"/>
      <c r="E4" s="101"/>
      <c r="F4" s="100">
        <v>1</v>
      </c>
      <c r="G4" s="102">
        <v>100</v>
      </c>
      <c r="H4" s="102">
        <v>100</v>
      </c>
    </row>
    <row r="5" spans="1:8" ht="78.75" x14ac:dyDescent="0.25">
      <c r="A5" s="99" t="s">
        <v>187</v>
      </c>
      <c r="B5" s="100">
        <v>7</v>
      </c>
      <c r="C5" s="100">
        <v>5</v>
      </c>
      <c r="D5" s="101"/>
      <c r="E5" s="100">
        <v>1</v>
      </c>
      <c r="F5" s="100">
        <v>13</v>
      </c>
      <c r="G5" s="102">
        <v>58.33</v>
      </c>
      <c r="H5" s="102">
        <v>53.85</v>
      </c>
    </row>
    <row r="6" spans="1:8" ht="67.5" x14ac:dyDescent="0.25">
      <c r="A6" s="99" t="s">
        <v>178</v>
      </c>
      <c r="B6" s="100">
        <v>5</v>
      </c>
      <c r="C6" s="100">
        <v>1</v>
      </c>
      <c r="D6" s="101"/>
      <c r="E6" s="101"/>
      <c r="F6" s="100">
        <v>6</v>
      </c>
      <c r="G6" s="102">
        <v>83.33</v>
      </c>
      <c r="H6" s="102">
        <v>83.33</v>
      </c>
    </row>
    <row r="7" spans="1:8" ht="67.5" x14ac:dyDescent="0.25">
      <c r="A7" s="99" t="s">
        <v>179</v>
      </c>
      <c r="B7" s="100">
        <v>1</v>
      </c>
      <c r="C7" s="100">
        <v>1</v>
      </c>
      <c r="D7" s="101"/>
      <c r="E7" s="101"/>
      <c r="F7" s="100">
        <v>2</v>
      </c>
      <c r="G7" s="102">
        <v>50</v>
      </c>
      <c r="H7" s="102">
        <v>50</v>
      </c>
    </row>
    <row r="8" spans="1:8" ht="78.75" x14ac:dyDescent="0.25">
      <c r="A8" s="99" t="s">
        <v>188</v>
      </c>
      <c r="B8" s="100">
        <v>1</v>
      </c>
      <c r="C8" s="101"/>
      <c r="D8" s="101"/>
      <c r="E8" s="101"/>
      <c r="F8" s="100">
        <v>1</v>
      </c>
      <c r="G8" s="102">
        <v>100</v>
      </c>
      <c r="H8" s="102">
        <v>100</v>
      </c>
    </row>
    <row r="9" spans="1:8" ht="78.75" x14ac:dyDescent="0.25">
      <c r="A9" s="99" t="s">
        <v>189</v>
      </c>
      <c r="B9" s="100">
        <v>4</v>
      </c>
      <c r="C9" s="100">
        <v>2</v>
      </c>
      <c r="D9" s="101"/>
      <c r="E9" s="100">
        <v>1</v>
      </c>
      <c r="F9" s="100">
        <v>7</v>
      </c>
      <c r="G9" s="102">
        <v>66.67</v>
      </c>
      <c r="H9" s="102">
        <v>57.14</v>
      </c>
    </row>
    <row r="10" spans="1:8" ht="67.5" x14ac:dyDescent="0.25">
      <c r="A10" s="99" t="s">
        <v>180</v>
      </c>
      <c r="B10" s="100">
        <v>1</v>
      </c>
      <c r="C10" s="100">
        <v>1</v>
      </c>
      <c r="D10" s="101"/>
      <c r="E10" s="101"/>
      <c r="F10" s="100">
        <v>2</v>
      </c>
      <c r="G10" s="102">
        <v>50</v>
      </c>
      <c r="H10" s="102">
        <v>50</v>
      </c>
    </row>
    <row r="11" spans="1:8" ht="67.5" x14ac:dyDescent="0.25">
      <c r="A11" s="99" t="s">
        <v>181</v>
      </c>
      <c r="B11" s="100">
        <v>3</v>
      </c>
      <c r="C11" s="100">
        <v>4</v>
      </c>
      <c r="D11" s="101"/>
      <c r="E11" s="101"/>
      <c r="F11" s="100">
        <v>7</v>
      </c>
      <c r="G11" s="102">
        <v>42.86</v>
      </c>
      <c r="H11" s="102">
        <v>42.86</v>
      </c>
    </row>
    <row r="12" spans="1:8" ht="78.75" x14ac:dyDescent="0.25">
      <c r="A12" s="99" t="s">
        <v>182</v>
      </c>
      <c r="B12" s="100">
        <v>3</v>
      </c>
      <c r="C12" s="100">
        <v>3</v>
      </c>
      <c r="D12" s="101"/>
      <c r="E12" s="101"/>
      <c r="F12" s="100">
        <v>6</v>
      </c>
      <c r="G12" s="102">
        <v>50</v>
      </c>
      <c r="H12" s="102">
        <v>50</v>
      </c>
    </row>
    <row r="13" spans="1:8" ht="56.25" x14ac:dyDescent="0.25">
      <c r="A13" s="99" t="s">
        <v>213</v>
      </c>
      <c r="B13" s="100">
        <v>7</v>
      </c>
      <c r="C13" s="100">
        <v>2</v>
      </c>
      <c r="D13" s="101"/>
      <c r="E13" s="101"/>
      <c r="F13" s="100">
        <v>9</v>
      </c>
      <c r="G13" s="102">
        <v>77.78</v>
      </c>
      <c r="H13" s="102">
        <v>77.78</v>
      </c>
    </row>
    <row r="14" spans="1:8" ht="56.25" x14ac:dyDescent="0.25">
      <c r="A14" s="99" t="s">
        <v>214</v>
      </c>
      <c r="B14" s="100">
        <v>0</v>
      </c>
      <c r="C14" s="100">
        <v>3</v>
      </c>
      <c r="D14" s="101"/>
      <c r="E14" s="101"/>
      <c r="F14" s="100">
        <v>3</v>
      </c>
      <c r="G14" s="101"/>
      <c r="H14" s="102">
        <v>0</v>
      </c>
    </row>
    <row r="15" spans="1:8" ht="67.5" x14ac:dyDescent="0.25">
      <c r="A15" s="99" t="s">
        <v>190</v>
      </c>
      <c r="B15" s="100">
        <v>0</v>
      </c>
      <c r="C15" s="100">
        <v>2</v>
      </c>
      <c r="D15" s="101"/>
      <c r="E15" s="101"/>
      <c r="F15" s="100">
        <v>2</v>
      </c>
      <c r="G15" s="101"/>
      <c r="H15" s="102">
        <v>0</v>
      </c>
    </row>
    <row r="16" spans="1:8" ht="67.5" x14ac:dyDescent="0.25">
      <c r="A16" s="99" t="s">
        <v>184</v>
      </c>
      <c r="B16" s="100">
        <v>2</v>
      </c>
      <c r="C16" s="100">
        <v>1</v>
      </c>
      <c r="D16" s="101"/>
      <c r="E16" s="101"/>
      <c r="F16" s="100">
        <v>3</v>
      </c>
      <c r="G16" s="102">
        <v>66.67</v>
      </c>
      <c r="H16" s="102">
        <v>66.67</v>
      </c>
    </row>
    <row r="17" spans="1:8" ht="67.5" x14ac:dyDescent="0.25">
      <c r="A17" s="99" t="s">
        <v>183</v>
      </c>
      <c r="B17" s="100">
        <v>1</v>
      </c>
      <c r="C17" s="101"/>
      <c r="D17" s="101"/>
      <c r="E17" s="101"/>
      <c r="F17" s="100">
        <v>1</v>
      </c>
      <c r="G17" s="102">
        <v>100</v>
      </c>
      <c r="H17" s="102">
        <v>100</v>
      </c>
    </row>
    <row r="18" spans="1:8" ht="67.5" x14ac:dyDescent="0.25">
      <c r="A18" s="99" t="s">
        <v>215</v>
      </c>
      <c r="B18" s="100">
        <v>2</v>
      </c>
      <c r="C18" s="100">
        <v>3</v>
      </c>
      <c r="D18" s="101"/>
      <c r="E18" s="101"/>
      <c r="F18" s="100">
        <v>5</v>
      </c>
      <c r="G18" s="102">
        <v>40</v>
      </c>
      <c r="H18" s="102">
        <v>40</v>
      </c>
    </row>
    <row r="19" spans="1:8" ht="67.5" x14ac:dyDescent="0.25">
      <c r="A19" s="99" t="s">
        <v>216</v>
      </c>
      <c r="B19" s="100">
        <v>3</v>
      </c>
      <c r="C19" s="100">
        <v>2</v>
      </c>
      <c r="D19" s="101"/>
      <c r="E19" s="100">
        <v>1</v>
      </c>
      <c r="F19" s="100">
        <v>6</v>
      </c>
      <c r="G19" s="102">
        <v>60</v>
      </c>
      <c r="H19" s="102">
        <v>50</v>
      </c>
    </row>
    <row r="20" spans="1:8" ht="67.5" x14ac:dyDescent="0.25">
      <c r="A20" s="99" t="s">
        <v>217</v>
      </c>
      <c r="B20" s="100">
        <v>0</v>
      </c>
      <c r="C20" s="101"/>
      <c r="D20" s="101"/>
      <c r="E20" s="100">
        <v>1</v>
      </c>
      <c r="F20" s="100">
        <v>1</v>
      </c>
      <c r="G20" s="101"/>
      <c r="H20" s="102">
        <v>0</v>
      </c>
    </row>
    <row r="21" spans="1:8" ht="67.5" x14ac:dyDescent="0.25">
      <c r="A21" s="99" t="s">
        <v>218</v>
      </c>
      <c r="B21" s="100">
        <v>1</v>
      </c>
      <c r="C21" s="100">
        <v>1</v>
      </c>
      <c r="D21" s="101"/>
      <c r="E21" s="101"/>
      <c r="F21" s="100">
        <v>2</v>
      </c>
      <c r="G21" s="102">
        <v>50</v>
      </c>
      <c r="H21" s="102">
        <v>50</v>
      </c>
    </row>
    <row r="22" spans="1:8" ht="67.5" x14ac:dyDescent="0.25">
      <c r="A22" s="99" t="s">
        <v>219</v>
      </c>
      <c r="B22" s="100">
        <v>1</v>
      </c>
      <c r="C22" s="101"/>
      <c r="D22" s="101"/>
      <c r="E22" s="101"/>
      <c r="F22" s="100">
        <v>1</v>
      </c>
      <c r="G22" s="102">
        <v>100</v>
      </c>
      <c r="H22" s="102">
        <v>100</v>
      </c>
    </row>
    <row r="23" spans="1:8" ht="90" x14ac:dyDescent="0.25">
      <c r="A23" s="99" t="s">
        <v>191</v>
      </c>
      <c r="B23" s="100">
        <v>84</v>
      </c>
      <c r="C23" s="100">
        <v>14</v>
      </c>
      <c r="D23" s="100">
        <v>3</v>
      </c>
      <c r="E23" s="100">
        <v>1</v>
      </c>
      <c r="F23" s="100">
        <v>102</v>
      </c>
      <c r="G23" s="102">
        <v>83.17</v>
      </c>
      <c r="H23" s="102">
        <v>82.35</v>
      </c>
    </row>
    <row r="24" spans="1:8" ht="90" x14ac:dyDescent="0.25">
      <c r="A24" s="99" t="s">
        <v>192</v>
      </c>
      <c r="B24" s="100">
        <v>13</v>
      </c>
      <c r="C24" s="100">
        <v>9</v>
      </c>
      <c r="D24" s="101"/>
      <c r="E24" s="100">
        <v>1</v>
      </c>
      <c r="F24" s="100">
        <v>23</v>
      </c>
      <c r="G24" s="102">
        <v>59.09</v>
      </c>
      <c r="H24" s="102">
        <v>56.52</v>
      </c>
    </row>
    <row r="25" spans="1:8" ht="90" x14ac:dyDescent="0.25">
      <c r="A25" s="99" t="s">
        <v>193</v>
      </c>
      <c r="B25" s="100">
        <v>2</v>
      </c>
      <c r="C25" s="100">
        <v>2</v>
      </c>
      <c r="D25" s="101"/>
      <c r="E25" s="100">
        <v>1</v>
      </c>
      <c r="F25" s="100">
        <v>5</v>
      </c>
      <c r="G25" s="102">
        <v>50</v>
      </c>
      <c r="H25" s="102">
        <v>40</v>
      </c>
    </row>
    <row r="26" spans="1:8" ht="90" x14ac:dyDescent="0.25">
      <c r="A26" s="99" t="s">
        <v>194</v>
      </c>
      <c r="B26" s="100">
        <v>0</v>
      </c>
      <c r="C26" s="100">
        <v>2</v>
      </c>
      <c r="D26" s="101"/>
      <c r="E26" s="100">
        <v>2</v>
      </c>
      <c r="F26" s="100">
        <v>4</v>
      </c>
      <c r="G26" s="101"/>
      <c r="H26" s="102">
        <v>0</v>
      </c>
    </row>
    <row r="27" spans="1:8" ht="67.5" x14ac:dyDescent="0.25">
      <c r="A27" s="99" t="s">
        <v>195</v>
      </c>
      <c r="B27" s="100">
        <v>1</v>
      </c>
      <c r="C27" s="100">
        <v>1</v>
      </c>
      <c r="D27" s="101"/>
      <c r="E27" s="101"/>
      <c r="F27" s="100">
        <v>2</v>
      </c>
      <c r="G27" s="102">
        <v>50</v>
      </c>
      <c r="H27" s="102">
        <v>50</v>
      </c>
    </row>
    <row r="28" spans="1:8" ht="67.5" x14ac:dyDescent="0.25">
      <c r="A28" s="99" t="s">
        <v>196</v>
      </c>
      <c r="B28" s="100">
        <v>0</v>
      </c>
      <c r="C28" s="100">
        <v>1</v>
      </c>
      <c r="D28" s="101"/>
      <c r="E28" s="101"/>
      <c r="F28" s="100">
        <v>1</v>
      </c>
      <c r="G28" s="101"/>
      <c r="H28" s="102">
        <v>0</v>
      </c>
    </row>
    <row r="29" spans="1:8" ht="67.5" x14ac:dyDescent="0.25">
      <c r="A29" s="99" t="s">
        <v>197</v>
      </c>
      <c r="B29" s="100">
        <v>0</v>
      </c>
      <c r="C29" s="100">
        <v>3</v>
      </c>
      <c r="D29" s="101"/>
      <c r="E29" s="101"/>
      <c r="F29" s="100">
        <v>3</v>
      </c>
      <c r="G29" s="101"/>
      <c r="H29" s="102">
        <v>0</v>
      </c>
    </row>
    <row r="30" spans="1:8" ht="67.5" x14ac:dyDescent="0.25">
      <c r="A30" s="99" t="s">
        <v>198</v>
      </c>
      <c r="B30" s="100">
        <v>0</v>
      </c>
      <c r="C30" s="100">
        <v>2</v>
      </c>
      <c r="D30" s="101"/>
      <c r="E30" s="101"/>
      <c r="F30" s="100">
        <v>2</v>
      </c>
      <c r="G30" s="101"/>
      <c r="H30" s="102">
        <v>0</v>
      </c>
    </row>
    <row r="31" spans="1:8" ht="90" x14ac:dyDescent="0.25">
      <c r="A31" s="99" t="s">
        <v>199</v>
      </c>
      <c r="B31" s="100">
        <v>1</v>
      </c>
      <c r="C31" s="101"/>
      <c r="D31" s="101"/>
      <c r="E31" s="100">
        <v>1</v>
      </c>
      <c r="F31" s="100">
        <v>2</v>
      </c>
      <c r="G31" s="102">
        <v>100</v>
      </c>
      <c r="H31" s="102">
        <v>50</v>
      </c>
    </row>
    <row r="32" spans="1:8" ht="90" x14ac:dyDescent="0.25">
      <c r="A32" s="99" t="s">
        <v>200</v>
      </c>
      <c r="B32" s="100">
        <v>2</v>
      </c>
      <c r="C32" s="101"/>
      <c r="D32" s="101"/>
      <c r="E32" s="101"/>
      <c r="F32" s="100">
        <v>2</v>
      </c>
      <c r="G32" s="102">
        <v>100</v>
      </c>
      <c r="H32" s="102">
        <v>100</v>
      </c>
    </row>
    <row r="33" spans="1:8" ht="67.5" x14ac:dyDescent="0.25">
      <c r="A33" s="99" t="s">
        <v>201</v>
      </c>
      <c r="B33" s="100">
        <v>6</v>
      </c>
      <c r="C33" s="100">
        <v>3</v>
      </c>
      <c r="D33" s="101"/>
      <c r="E33" s="101"/>
      <c r="F33" s="100">
        <v>9</v>
      </c>
      <c r="G33" s="102">
        <v>66.67</v>
      </c>
      <c r="H33" s="102">
        <v>66.67</v>
      </c>
    </row>
    <row r="34" spans="1:8" ht="67.5" x14ac:dyDescent="0.25">
      <c r="A34" s="99" t="s">
        <v>202</v>
      </c>
      <c r="B34" s="100">
        <v>1</v>
      </c>
      <c r="C34" s="101"/>
      <c r="D34" s="101"/>
      <c r="E34" s="101"/>
      <c r="F34" s="100">
        <v>1</v>
      </c>
      <c r="G34" s="102">
        <v>100</v>
      </c>
      <c r="H34" s="102">
        <v>100</v>
      </c>
    </row>
    <row r="35" spans="1:8" ht="67.5" x14ac:dyDescent="0.25">
      <c r="A35" s="99" t="s">
        <v>203</v>
      </c>
      <c r="B35" s="100">
        <v>0</v>
      </c>
      <c r="C35" s="100">
        <v>1</v>
      </c>
      <c r="D35" s="101"/>
      <c r="E35" s="101"/>
      <c r="F35" s="100">
        <v>1</v>
      </c>
      <c r="G35" s="101"/>
      <c r="H35" s="102">
        <v>0</v>
      </c>
    </row>
    <row r="36" spans="1:8" ht="78.75" x14ac:dyDescent="0.25">
      <c r="A36" s="99" t="s">
        <v>207</v>
      </c>
      <c r="B36" s="100">
        <v>4</v>
      </c>
      <c r="C36" s="100">
        <v>1</v>
      </c>
      <c r="D36" s="101"/>
      <c r="E36" s="101"/>
      <c r="F36" s="100">
        <v>5</v>
      </c>
      <c r="G36" s="102">
        <v>80</v>
      </c>
      <c r="H36" s="102">
        <v>80</v>
      </c>
    </row>
    <row r="37" spans="1:8" ht="67.5" x14ac:dyDescent="0.25">
      <c r="A37" s="99" t="s">
        <v>6</v>
      </c>
      <c r="B37" s="100">
        <v>14</v>
      </c>
      <c r="C37" s="100">
        <v>3</v>
      </c>
      <c r="D37" s="101"/>
      <c r="E37" s="101"/>
      <c r="F37" s="100">
        <v>17</v>
      </c>
      <c r="G37" s="102">
        <v>82.35</v>
      </c>
      <c r="H37" s="102">
        <v>82.35</v>
      </c>
    </row>
    <row r="38" spans="1:8" ht="67.5" x14ac:dyDescent="0.25">
      <c r="A38" s="99" t="s">
        <v>7</v>
      </c>
      <c r="B38" s="100">
        <v>9</v>
      </c>
      <c r="C38" s="100">
        <v>4</v>
      </c>
      <c r="D38" s="101"/>
      <c r="E38" s="101"/>
      <c r="F38" s="100">
        <v>13</v>
      </c>
      <c r="G38" s="102">
        <v>69.23</v>
      </c>
      <c r="H38" s="102">
        <v>69.23</v>
      </c>
    </row>
    <row r="39" spans="1:8" ht="67.5" x14ac:dyDescent="0.25">
      <c r="A39" s="99" t="s">
        <v>8</v>
      </c>
      <c r="B39" s="100">
        <v>12</v>
      </c>
      <c r="C39" s="100">
        <v>1</v>
      </c>
      <c r="D39" s="101"/>
      <c r="E39" s="101"/>
      <c r="F39" s="100">
        <v>13</v>
      </c>
      <c r="G39" s="102">
        <v>92.31</v>
      </c>
      <c r="H39" s="102">
        <v>92.31</v>
      </c>
    </row>
    <row r="40" spans="1:8" ht="67.5" x14ac:dyDescent="0.25">
      <c r="A40" s="99" t="s">
        <v>9</v>
      </c>
      <c r="B40" s="100">
        <v>72</v>
      </c>
      <c r="C40" s="100">
        <v>14</v>
      </c>
      <c r="D40" s="101"/>
      <c r="E40" s="100">
        <v>1</v>
      </c>
      <c r="F40" s="100">
        <v>87</v>
      </c>
      <c r="G40" s="102">
        <v>83.72</v>
      </c>
      <c r="H40" s="102">
        <v>82.76</v>
      </c>
    </row>
    <row r="41" spans="1:8" ht="67.5" x14ac:dyDescent="0.25">
      <c r="A41" s="99" t="s">
        <v>10</v>
      </c>
      <c r="B41" s="100">
        <v>11</v>
      </c>
      <c r="C41" s="100">
        <v>3</v>
      </c>
      <c r="D41" s="101"/>
      <c r="E41" s="100">
        <v>1</v>
      </c>
      <c r="F41" s="100">
        <v>15</v>
      </c>
      <c r="G41" s="102">
        <v>78.569999999999993</v>
      </c>
      <c r="H41" s="102">
        <v>73.33</v>
      </c>
    </row>
    <row r="42" spans="1:8" ht="67.5" x14ac:dyDescent="0.25">
      <c r="A42" s="99" t="s">
        <v>11</v>
      </c>
      <c r="B42" s="100">
        <v>19</v>
      </c>
      <c r="C42" s="100">
        <v>5</v>
      </c>
      <c r="D42" s="101"/>
      <c r="E42" s="101"/>
      <c r="F42" s="100">
        <v>24</v>
      </c>
      <c r="G42" s="102">
        <v>79.17</v>
      </c>
      <c r="H42" s="102">
        <v>79.17</v>
      </c>
    </row>
    <row r="43" spans="1:8" ht="78.75" x14ac:dyDescent="0.25">
      <c r="A43" s="99" t="s">
        <v>12</v>
      </c>
      <c r="B43" s="100">
        <v>7</v>
      </c>
      <c r="C43" s="100">
        <v>9</v>
      </c>
      <c r="D43" s="101"/>
      <c r="E43" s="101"/>
      <c r="F43" s="100">
        <v>16</v>
      </c>
      <c r="G43" s="102">
        <v>43.75</v>
      </c>
      <c r="H43" s="102">
        <v>43.75</v>
      </c>
    </row>
    <row r="44" spans="1:8" ht="67.5" x14ac:dyDescent="0.25">
      <c r="A44" s="99" t="s">
        <v>13</v>
      </c>
      <c r="B44" s="100">
        <v>6</v>
      </c>
      <c r="C44" s="101"/>
      <c r="D44" s="101"/>
      <c r="E44" s="101"/>
      <c r="F44" s="100">
        <v>6</v>
      </c>
      <c r="G44" s="102">
        <v>100</v>
      </c>
      <c r="H44" s="102">
        <v>100</v>
      </c>
    </row>
    <row r="45" spans="1:8" ht="67.5" x14ac:dyDescent="0.25">
      <c r="A45" s="99" t="s">
        <v>14</v>
      </c>
      <c r="B45" s="100">
        <v>48</v>
      </c>
      <c r="C45" s="100">
        <v>14</v>
      </c>
      <c r="D45" s="101"/>
      <c r="E45" s="100">
        <v>4</v>
      </c>
      <c r="F45" s="100">
        <v>66</v>
      </c>
      <c r="G45" s="102">
        <v>77.42</v>
      </c>
      <c r="H45" s="102">
        <v>72.73</v>
      </c>
    </row>
    <row r="46" spans="1:8" ht="67.5" x14ac:dyDescent="0.25">
      <c r="A46" s="99" t="s">
        <v>15</v>
      </c>
      <c r="B46" s="100">
        <v>5</v>
      </c>
      <c r="C46" s="100">
        <v>1</v>
      </c>
      <c r="D46" s="101"/>
      <c r="E46" s="101"/>
      <c r="F46" s="100">
        <v>6</v>
      </c>
      <c r="G46" s="102">
        <v>83.33</v>
      </c>
      <c r="H46" s="102">
        <v>83.33</v>
      </c>
    </row>
    <row r="47" spans="1:8" ht="67.5" x14ac:dyDescent="0.25">
      <c r="A47" s="99" t="s">
        <v>16</v>
      </c>
      <c r="B47" s="100">
        <v>9</v>
      </c>
      <c r="C47" s="101"/>
      <c r="D47" s="101"/>
      <c r="E47" s="101"/>
      <c r="F47" s="100">
        <v>9</v>
      </c>
      <c r="G47" s="102">
        <v>100</v>
      </c>
      <c r="H47" s="102">
        <v>100</v>
      </c>
    </row>
    <row r="48" spans="1:8" ht="67.5" x14ac:dyDescent="0.25">
      <c r="A48" s="99" t="s">
        <v>17</v>
      </c>
      <c r="B48" s="100">
        <v>32</v>
      </c>
      <c r="C48" s="100">
        <v>3</v>
      </c>
      <c r="D48" s="101"/>
      <c r="E48" s="101"/>
      <c r="F48" s="100">
        <v>35</v>
      </c>
      <c r="G48" s="102">
        <v>91.43</v>
      </c>
      <c r="H48" s="102">
        <v>91.43</v>
      </c>
    </row>
    <row r="49" spans="1:8" ht="67.5" x14ac:dyDescent="0.25">
      <c r="A49" s="99" t="s">
        <v>18</v>
      </c>
      <c r="B49" s="100">
        <v>9</v>
      </c>
      <c r="C49" s="100">
        <v>3</v>
      </c>
      <c r="D49" s="101"/>
      <c r="E49" s="100">
        <v>1</v>
      </c>
      <c r="F49" s="100">
        <v>13</v>
      </c>
      <c r="G49" s="102">
        <v>75</v>
      </c>
      <c r="H49" s="102">
        <v>69.23</v>
      </c>
    </row>
    <row r="50" spans="1:8" ht="67.5" x14ac:dyDescent="0.25">
      <c r="A50" s="99" t="s">
        <v>19</v>
      </c>
      <c r="B50" s="100">
        <v>12</v>
      </c>
      <c r="C50" s="100">
        <v>8</v>
      </c>
      <c r="D50" s="101"/>
      <c r="E50" s="100">
        <v>2</v>
      </c>
      <c r="F50" s="100">
        <v>22</v>
      </c>
      <c r="G50" s="102">
        <v>60</v>
      </c>
      <c r="H50" s="102">
        <v>54.55</v>
      </c>
    </row>
    <row r="51" spans="1:8" ht="67.5" x14ac:dyDescent="0.25">
      <c r="A51" s="99" t="s">
        <v>20</v>
      </c>
      <c r="B51" s="100">
        <v>65</v>
      </c>
      <c r="C51" s="100">
        <v>5</v>
      </c>
      <c r="D51" s="101"/>
      <c r="E51" s="101"/>
      <c r="F51" s="100">
        <v>70</v>
      </c>
      <c r="G51" s="102">
        <v>92.86</v>
      </c>
      <c r="H51" s="102">
        <v>92.86</v>
      </c>
    </row>
    <row r="52" spans="1:8" ht="67.5" x14ac:dyDescent="0.25">
      <c r="A52" s="99" t="s">
        <v>21</v>
      </c>
      <c r="B52" s="100">
        <v>93</v>
      </c>
      <c r="C52" s="100">
        <v>14</v>
      </c>
      <c r="D52" s="100">
        <v>1</v>
      </c>
      <c r="E52" s="100">
        <v>1</v>
      </c>
      <c r="F52" s="100">
        <v>109</v>
      </c>
      <c r="G52" s="102">
        <v>86.11</v>
      </c>
      <c r="H52" s="102">
        <v>85.32</v>
      </c>
    </row>
    <row r="53" spans="1:8" ht="67.5" x14ac:dyDescent="0.25">
      <c r="A53" s="99" t="s">
        <v>23</v>
      </c>
      <c r="B53" s="100">
        <v>0</v>
      </c>
      <c r="C53" s="100">
        <v>5</v>
      </c>
      <c r="D53" s="101"/>
      <c r="E53" s="101"/>
      <c r="F53" s="100">
        <v>5</v>
      </c>
      <c r="G53" s="101"/>
      <c r="H53" s="102">
        <v>0</v>
      </c>
    </row>
    <row r="54" spans="1:8" ht="67.5" x14ac:dyDescent="0.25">
      <c r="A54" s="99" t="s">
        <v>24</v>
      </c>
      <c r="B54" s="100">
        <v>26</v>
      </c>
      <c r="C54" s="100">
        <v>22</v>
      </c>
      <c r="D54" s="101"/>
      <c r="E54" s="100">
        <v>3</v>
      </c>
      <c r="F54" s="100">
        <v>51</v>
      </c>
      <c r="G54" s="102">
        <v>54.17</v>
      </c>
      <c r="H54" s="102">
        <v>50.98</v>
      </c>
    </row>
    <row r="55" spans="1:8" ht="67.5" x14ac:dyDescent="0.25">
      <c r="A55" s="99" t="s">
        <v>25</v>
      </c>
      <c r="B55" s="100">
        <v>1</v>
      </c>
      <c r="C55" s="101"/>
      <c r="D55" s="101"/>
      <c r="E55" s="101"/>
      <c r="F55" s="100">
        <v>1</v>
      </c>
      <c r="G55" s="102">
        <v>100</v>
      </c>
      <c r="H55" s="102">
        <v>100</v>
      </c>
    </row>
    <row r="56" spans="1:8" ht="67.5" x14ac:dyDescent="0.25">
      <c r="A56" s="99" t="s">
        <v>26</v>
      </c>
      <c r="B56" s="100">
        <v>134</v>
      </c>
      <c r="C56" s="100">
        <v>23</v>
      </c>
      <c r="D56" s="100">
        <v>2</v>
      </c>
      <c r="E56" s="100">
        <v>1</v>
      </c>
      <c r="F56" s="100">
        <v>160</v>
      </c>
      <c r="G56" s="102">
        <v>84.28</v>
      </c>
      <c r="H56" s="102">
        <v>83.75</v>
      </c>
    </row>
    <row r="57" spans="1:8" ht="67.5" x14ac:dyDescent="0.25">
      <c r="A57" s="99" t="s">
        <v>27</v>
      </c>
      <c r="B57" s="100">
        <v>155</v>
      </c>
      <c r="C57" s="100">
        <v>48</v>
      </c>
      <c r="D57" s="101"/>
      <c r="E57" s="100">
        <v>2</v>
      </c>
      <c r="F57" s="100">
        <v>205</v>
      </c>
      <c r="G57" s="102">
        <v>76.349999999999994</v>
      </c>
      <c r="H57" s="102">
        <v>75.61</v>
      </c>
    </row>
    <row r="58" spans="1:8" ht="67.5" x14ac:dyDescent="0.25">
      <c r="A58" s="99" t="s">
        <v>28</v>
      </c>
      <c r="B58" s="100">
        <v>87</v>
      </c>
      <c r="C58" s="100">
        <v>49</v>
      </c>
      <c r="D58" s="101"/>
      <c r="E58" s="101"/>
      <c r="F58" s="100">
        <v>136</v>
      </c>
      <c r="G58" s="102">
        <v>63.97</v>
      </c>
      <c r="H58" s="102">
        <v>63.97</v>
      </c>
    </row>
    <row r="59" spans="1:8" ht="67.5" x14ac:dyDescent="0.25">
      <c r="A59" s="99" t="s">
        <v>29</v>
      </c>
      <c r="B59" s="100">
        <v>108</v>
      </c>
      <c r="C59" s="100">
        <v>10</v>
      </c>
      <c r="D59" s="101"/>
      <c r="E59" s="100">
        <v>3</v>
      </c>
      <c r="F59" s="100">
        <v>121</v>
      </c>
      <c r="G59" s="102">
        <v>91.53</v>
      </c>
      <c r="H59" s="102">
        <v>89.26</v>
      </c>
    </row>
    <row r="60" spans="1:8" ht="90" x14ac:dyDescent="0.25">
      <c r="A60" s="99" t="s">
        <v>185</v>
      </c>
      <c r="B60" s="100">
        <v>16</v>
      </c>
      <c r="C60" s="100">
        <v>3</v>
      </c>
      <c r="D60" s="101"/>
      <c r="E60" s="100">
        <v>2</v>
      </c>
      <c r="F60" s="100">
        <v>21</v>
      </c>
      <c r="G60" s="102">
        <v>84.21</v>
      </c>
      <c r="H60" s="102">
        <v>76.19</v>
      </c>
    </row>
    <row r="61" spans="1:8" ht="67.5" x14ac:dyDescent="0.25">
      <c r="A61" s="99" t="s">
        <v>30</v>
      </c>
      <c r="B61" s="100">
        <v>16</v>
      </c>
      <c r="C61" s="100">
        <v>7</v>
      </c>
      <c r="D61" s="101"/>
      <c r="E61" s="101"/>
      <c r="F61" s="100">
        <v>23</v>
      </c>
      <c r="G61" s="102">
        <v>69.569999999999993</v>
      </c>
      <c r="H61" s="102">
        <v>69.569999999999993</v>
      </c>
    </row>
    <row r="62" spans="1:8" ht="78.75" x14ac:dyDescent="0.25">
      <c r="A62" s="99" t="s">
        <v>31</v>
      </c>
      <c r="B62" s="100">
        <v>5</v>
      </c>
      <c r="C62" s="100">
        <v>7</v>
      </c>
      <c r="D62" s="100">
        <v>1</v>
      </c>
      <c r="E62" s="101"/>
      <c r="F62" s="100">
        <v>13</v>
      </c>
      <c r="G62" s="102">
        <v>38.46</v>
      </c>
      <c r="H62" s="102">
        <v>38.46</v>
      </c>
    </row>
    <row r="63" spans="1:8" ht="67.5" x14ac:dyDescent="0.25">
      <c r="A63" s="99" t="s">
        <v>32</v>
      </c>
      <c r="B63" s="100">
        <v>2</v>
      </c>
      <c r="C63" s="100">
        <v>5</v>
      </c>
      <c r="D63" s="101"/>
      <c r="E63" s="101"/>
      <c r="F63" s="100">
        <v>7</v>
      </c>
      <c r="G63" s="102">
        <v>28.57</v>
      </c>
      <c r="H63" s="102">
        <v>28.57</v>
      </c>
    </row>
    <row r="64" spans="1:8" ht="67.5" x14ac:dyDescent="0.25">
      <c r="A64" s="99" t="s">
        <v>33</v>
      </c>
      <c r="B64" s="100">
        <v>8</v>
      </c>
      <c r="C64" s="100">
        <v>7</v>
      </c>
      <c r="D64" s="101"/>
      <c r="E64" s="101"/>
      <c r="F64" s="100">
        <v>15</v>
      </c>
      <c r="G64" s="102">
        <v>53.33</v>
      </c>
      <c r="H64" s="102">
        <v>53.33</v>
      </c>
    </row>
    <row r="65" spans="1:8" ht="78.75" x14ac:dyDescent="0.25">
      <c r="A65" s="99" t="s">
        <v>34</v>
      </c>
      <c r="B65" s="100">
        <v>9</v>
      </c>
      <c r="C65" s="100">
        <v>11</v>
      </c>
      <c r="D65" s="101"/>
      <c r="E65" s="101"/>
      <c r="F65" s="100">
        <v>20</v>
      </c>
      <c r="G65" s="102">
        <v>45</v>
      </c>
      <c r="H65" s="102">
        <v>45</v>
      </c>
    </row>
    <row r="66" spans="1:8" ht="78.75" x14ac:dyDescent="0.25">
      <c r="A66" s="99" t="s">
        <v>35</v>
      </c>
      <c r="B66" s="100">
        <v>31</v>
      </c>
      <c r="C66" s="100">
        <v>16</v>
      </c>
      <c r="D66" s="101"/>
      <c r="E66" s="101"/>
      <c r="F66" s="100">
        <v>47</v>
      </c>
      <c r="G66" s="102">
        <v>65.959999999999994</v>
      </c>
      <c r="H66" s="102">
        <v>65.959999999999994</v>
      </c>
    </row>
    <row r="67" spans="1:8" ht="78.75" x14ac:dyDescent="0.25">
      <c r="A67" s="99" t="s">
        <v>36</v>
      </c>
      <c r="B67" s="100">
        <v>0</v>
      </c>
      <c r="C67" s="100">
        <v>2</v>
      </c>
      <c r="D67" s="101"/>
      <c r="E67" s="101"/>
      <c r="F67" s="100">
        <v>2</v>
      </c>
      <c r="G67" s="101"/>
      <c r="H67" s="102">
        <v>0</v>
      </c>
    </row>
    <row r="68" spans="1:8" ht="78.75" x14ac:dyDescent="0.25">
      <c r="A68" s="99" t="s">
        <v>37</v>
      </c>
      <c r="B68" s="100">
        <v>30</v>
      </c>
      <c r="C68" s="100">
        <v>7</v>
      </c>
      <c r="D68" s="101"/>
      <c r="E68" s="101"/>
      <c r="F68" s="100">
        <v>37</v>
      </c>
      <c r="G68" s="102">
        <v>81.08</v>
      </c>
      <c r="H68" s="102">
        <v>81.08</v>
      </c>
    </row>
    <row r="69" spans="1:8" ht="78.75" x14ac:dyDescent="0.25">
      <c r="A69" s="99" t="s">
        <v>38</v>
      </c>
      <c r="B69" s="100">
        <v>17</v>
      </c>
      <c r="C69" s="100">
        <v>9</v>
      </c>
      <c r="D69" s="100">
        <v>1</v>
      </c>
      <c r="E69" s="101"/>
      <c r="F69" s="100">
        <v>27</v>
      </c>
      <c r="G69" s="102">
        <v>62.96</v>
      </c>
      <c r="H69" s="102">
        <v>62.96</v>
      </c>
    </row>
    <row r="70" spans="1:8" ht="78.75" x14ac:dyDescent="0.25">
      <c r="A70" s="99" t="s">
        <v>39</v>
      </c>
      <c r="B70" s="100">
        <v>3</v>
      </c>
      <c r="C70" s="100">
        <v>4</v>
      </c>
      <c r="D70" s="101"/>
      <c r="E70" s="101"/>
      <c r="F70" s="100">
        <v>7</v>
      </c>
      <c r="G70" s="102">
        <v>42.86</v>
      </c>
      <c r="H70" s="102">
        <v>42.86</v>
      </c>
    </row>
    <row r="71" spans="1:8" ht="78.75" x14ac:dyDescent="0.25">
      <c r="A71" s="99" t="s">
        <v>40</v>
      </c>
      <c r="B71" s="100">
        <v>9</v>
      </c>
      <c r="C71" s="100">
        <v>11</v>
      </c>
      <c r="D71" s="101"/>
      <c r="E71" s="101"/>
      <c r="F71" s="100">
        <v>20</v>
      </c>
      <c r="G71" s="102">
        <v>45</v>
      </c>
      <c r="H71" s="102">
        <v>45</v>
      </c>
    </row>
    <row r="72" spans="1:8" ht="67.5" x14ac:dyDescent="0.25">
      <c r="A72" s="99" t="s">
        <v>42</v>
      </c>
      <c r="B72" s="100">
        <v>4</v>
      </c>
      <c r="C72" s="100">
        <v>3</v>
      </c>
      <c r="D72" s="101"/>
      <c r="E72" s="100">
        <v>1</v>
      </c>
      <c r="F72" s="100">
        <v>8</v>
      </c>
      <c r="G72" s="102">
        <v>57.14</v>
      </c>
      <c r="H72" s="102">
        <v>50</v>
      </c>
    </row>
    <row r="73" spans="1:8" ht="67.5" x14ac:dyDescent="0.25">
      <c r="A73" s="99" t="s">
        <v>43</v>
      </c>
      <c r="B73" s="100">
        <v>10</v>
      </c>
      <c r="C73" s="100">
        <v>6</v>
      </c>
      <c r="D73" s="101"/>
      <c r="E73" s="101"/>
      <c r="F73" s="100">
        <v>16</v>
      </c>
      <c r="G73" s="102">
        <v>62.5</v>
      </c>
      <c r="H73" s="102">
        <v>62.5</v>
      </c>
    </row>
    <row r="74" spans="1:8" ht="78.75" x14ac:dyDescent="0.25">
      <c r="A74" s="99" t="s">
        <v>204</v>
      </c>
      <c r="B74" s="100">
        <v>2</v>
      </c>
      <c r="C74" s="101"/>
      <c r="D74" s="101"/>
      <c r="E74" s="100">
        <v>1</v>
      </c>
      <c r="F74" s="100">
        <v>3</v>
      </c>
      <c r="G74" s="102">
        <v>100</v>
      </c>
      <c r="H74" s="102">
        <v>66.67</v>
      </c>
    </row>
    <row r="75" spans="1:8" ht="78.75" x14ac:dyDescent="0.25">
      <c r="A75" s="99" t="s">
        <v>205</v>
      </c>
      <c r="B75" s="100">
        <v>0</v>
      </c>
      <c r="C75" s="101"/>
      <c r="D75" s="101"/>
      <c r="E75" s="100">
        <v>1</v>
      </c>
      <c r="F75" s="100">
        <v>1</v>
      </c>
      <c r="G75" s="101"/>
      <c r="H75" s="102">
        <v>0</v>
      </c>
    </row>
    <row r="76" spans="1:8" ht="90" x14ac:dyDescent="0.25">
      <c r="A76" s="99" t="s">
        <v>206</v>
      </c>
      <c r="B76" s="100">
        <v>0</v>
      </c>
      <c r="C76" s="101"/>
      <c r="D76" s="101"/>
      <c r="E76" s="100">
        <v>1</v>
      </c>
      <c r="F76" s="100">
        <v>1</v>
      </c>
      <c r="G76" s="101"/>
      <c r="H76" s="102">
        <v>0</v>
      </c>
    </row>
    <row r="77" spans="1:8" ht="78.75" x14ac:dyDescent="0.25">
      <c r="A77" s="99" t="s">
        <v>46</v>
      </c>
      <c r="B77" s="100">
        <v>2</v>
      </c>
      <c r="C77" s="101"/>
      <c r="D77" s="101"/>
      <c r="E77" s="101"/>
      <c r="F77" s="100">
        <v>2</v>
      </c>
      <c r="G77" s="102">
        <v>100</v>
      </c>
      <c r="H77" s="102">
        <v>100</v>
      </c>
    </row>
    <row r="78" spans="1:8" ht="78.75" x14ac:dyDescent="0.25">
      <c r="A78" s="99" t="s">
        <v>47</v>
      </c>
      <c r="B78" s="100">
        <v>82</v>
      </c>
      <c r="C78" s="100">
        <v>36</v>
      </c>
      <c r="D78" s="100">
        <v>2</v>
      </c>
      <c r="E78" s="100">
        <v>2</v>
      </c>
      <c r="F78" s="100">
        <v>122</v>
      </c>
      <c r="G78" s="102">
        <v>68.33</v>
      </c>
      <c r="H78" s="102">
        <v>67.209999999999994</v>
      </c>
    </row>
    <row r="79" spans="1:8" ht="78.75" x14ac:dyDescent="0.25">
      <c r="A79" s="99" t="s">
        <v>48</v>
      </c>
      <c r="B79" s="100">
        <v>9</v>
      </c>
      <c r="C79" s="100">
        <v>2</v>
      </c>
      <c r="D79" s="101"/>
      <c r="E79" s="101"/>
      <c r="F79" s="100">
        <v>11</v>
      </c>
      <c r="G79" s="102">
        <v>81.819999999999993</v>
      </c>
      <c r="H79" s="102">
        <v>81.819999999999993</v>
      </c>
    </row>
    <row r="80" spans="1:8" ht="78.75" x14ac:dyDescent="0.25">
      <c r="A80" s="99" t="s">
        <v>49</v>
      </c>
      <c r="B80" s="100">
        <v>25</v>
      </c>
      <c r="C80" s="100">
        <v>8</v>
      </c>
      <c r="D80" s="101"/>
      <c r="E80" s="101"/>
      <c r="F80" s="100">
        <v>33</v>
      </c>
      <c r="G80" s="102">
        <v>75.760000000000005</v>
      </c>
      <c r="H80" s="102">
        <v>75.760000000000005</v>
      </c>
    </row>
    <row r="81" spans="1:8" ht="67.5" x14ac:dyDescent="0.25">
      <c r="A81" s="99" t="s">
        <v>50</v>
      </c>
      <c r="B81" s="100">
        <v>1</v>
      </c>
      <c r="C81" s="101"/>
      <c r="D81" s="101"/>
      <c r="E81" s="101"/>
      <c r="F81" s="100">
        <v>1</v>
      </c>
      <c r="G81" s="102">
        <v>100</v>
      </c>
      <c r="H81" s="102">
        <v>100</v>
      </c>
    </row>
    <row r="82" spans="1:8" ht="67.5" x14ac:dyDescent="0.25">
      <c r="A82" s="99" t="s">
        <v>51</v>
      </c>
      <c r="B82" s="100">
        <v>10</v>
      </c>
      <c r="C82" s="100">
        <v>6</v>
      </c>
      <c r="D82" s="101"/>
      <c r="E82" s="101"/>
      <c r="F82" s="100">
        <v>16</v>
      </c>
      <c r="G82" s="102">
        <v>62.5</v>
      </c>
      <c r="H82" s="102">
        <v>62.5</v>
      </c>
    </row>
    <row r="83" spans="1:8" ht="67.5" x14ac:dyDescent="0.25">
      <c r="A83" s="99" t="s">
        <v>52</v>
      </c>
      <c r="B83" s="100">
        <v>8</v>
      </c>
      <c r="C83" s="100">
        <v>1</v>
      </c>
      <c r="D83" s="101"/>
      <c r="E83" s="101"/>
      <c r="F83" s="100">
        <v>9</v>
      </c>
      <c r="G83" s="102">
        <v>88.89</v>
      </c>
      <c r="H83" s="102">
        <v>88.89</v>
      </c>
    </row>
    <row r="84" spans="1:8" ht="67.5" x14ac:dyDescent="0.25">
      <c r="A84" s="99" t="s">
        <v>53</v>
      </c>
      <c r="B84" s="100">
        <v>25</v>
      </c>
      <c r="C84" s="100">
        <v>12</v>
      </c>
      <c r="D84" s="101"/>
      <c r="E84" s="100">
        <v>1</v>
      </c>
      <c r="F84" s="100">
        <v>38</v>
      </c>
      <c r="G84" s="102">
        <v>67.569999999999993</v>
      </c>
      <c r="H84" s="102">
        <v>65.790000000000006</v>
      </c>
    </row>
    <row r="85" spans="1:8" ht="67.5" x14ac:dyDescent="0.25">
      <c r="A85" s="99" t="s">
        <v>55</v>
      </c>
      <c r="B85" s="100">
        <v>32</v>
      </c>
      <c r="C85" s="100">
        <v>23</v>
      </c>
      <c r="D85" s="101"/>
      <c r="E85" s="101"/>
      <c r="F85" s="100">
        <v>55</v>
      </c>
      <c r="G85" s="102">
        <v>58.18</v>
      </c>
      <c r="H85" s="102">
        <v>58.18</v>
      </c>
    </row>
    <row r="86" spans="1:8" ht="67.5" x14ac:dyDescent="0.25">
      <c r="A86" s="99" t="s">
        <v>56</v>
      </c>
      <c r="B86" s="100">
        <v>81</v>
      </c>
      <c r="C86" s="100">
        <v>34</v>
      </c>
      <c r="D86" s="101"/>
      <c r="E86" s="100">
        <v>3</v>
      </c>
      <c r="F86" s="100">
        <v>118</v>
      </c>
      <c r="G86" s="102">
        <v>70.430000000000007</v>
      </c>
      <c r="H86" s="102">
        <v>68.64</v>
      </c>
    </row>
    <row r="87" spans="1:8" ht="90" x14ac:dyDescent="0.25">
      <c r="A87" s="99" t="s">
        <v>57</v>
      </c>
      <c r="B87" s="100">
        <v>49</v>
      </c>
      <c r="C87" s="100">
        <v>33</v>
      </c>
      <c r="D87" s="101"/>
      <c r="E87" s="100">
        <v>1</v>
      </c>
      <c r="F87" s="100">
        <v>83</v>
      </c>
      <c r="G87" s="102">
        <v>59.76</v>
      </c>
      <c r="H87" s="102">
        <v>59.04</v>
      </c>
    </row>
    <row r="88" spans="1:8" ht="90" x14ac:dyDescent="0.25">
      <c r="A88" s="99" t="s">
        <v>58</v>
      </c>
      <c r="B88" s="100">
        <v>8</v>
      </c>
      <c r="C88" s="101"/>
      <c r="D88" s="101"/>
      <c r="E88" s="101"/>
      <c r="F88" s="100">
        <v>8</v>
      </c>
      <c r="G88" s="102">
        <v>100</v>
      </c>
      <c r="H88" s="102">
        <v>100</v>
      </c>
    </row>
    <row r="89" spans="1:8" ht="90" x14ac:dyDescent="0.25">
      <c r="A89" s="99" t="s">
        <v>59</v>
      </c>
      <c r="B89" s="100">
        <v>36</v>
      </c>
      <c r="C89" s="100">
        <v>16</v>
      </c>
      <c r="D89" s="101"/>
      <c r="E89" s="101"/>
      <c r="F89" s="100">
        <v>52</v>
      </c>
      <c r="G89" s="102">
        <v>69.23</v>
      </c>
      <c r="H89" s="102">
        <v>69.23</v>
      </c>
    </row>
    <row r="90" spans="1:8" ht="90" x14ac:dyDescent="0.25">
      <c r="A90" s="99" t="s">
        <v>60</v>
      </c>
      <c r="B90" s="100">
        <v>4</v>
      </c>
      <c r="C90" s="100">
        <v>2</v>
      </c>
      <c r="D90" s="101"/>
      <c r="E90" s="101"/>
      <c r="F90" s="100">
        <v>6</v>
      </c>
      <c r="G90" s="102">
        <v>66.67</v>
      </c>
      <c r="H90" s="102">
        <v>66.67</v>
      </c>
    </row>
    <row r="91" spans="1:8" ht="78.75" x14ac:dyDescent="0.25">
      <c r="A91" s="99" t="s">
        <v>61</v>
      </c>
      <c r="B91" s="100">
        <v>6</v>
      </c>
      <c r="C91" s="100">
        <v>4</v>
      </c>
      <c r="D91" s="101"/>
      <c r="E91" s="101"/>
      <c r="F91" s="100">
        <v>10</v>
      </c>
      <c r="G91" s="102">
        <v>60</v>
      </c>
      <c r="H91" s="102">
        <v>60</v>
      </c>
    </row>
    <row r="92" spans="1:8" ht="90" x14ac:dyDescent="0.25">
      <c r="A92" s="99" t="s">
        <v>62</v>
      </c>
      <c r="B92" s="100">
        <v>1</v>
      </c>
      <c r="C92" s="100">
        <v>8</v>
      </c>
      <c r="D92" s="101"/>
      <c r="E92" s="101"/>
      <c r="F92" s="100">
        <v>9</v>
      </c>
      <c r="G92" s="102">
        <v>11.11</v>
      </c>
      <c r="H92" s="102">
        <v>11.11</v>
      </c>
    </row>
    <row r="93" spans="1:8" ht="78.75" x14ac:dyDescent="0.25">
      <c r="A93" s="99" t="s">
        <v>63</v>
      </c>
      <c r="B93" s="100">
        <v>34</v>
      </c>
      <c r="C93" s="100">
        <v>18</v>
      </c>
      <c r="D93" s="101"/>
      <c r="E93" s="100">
        <v>1</v>
      </c>
      <c r="F93" s="100">
        <v>53</v>
      </c>
      <c r="G93" s="102">
        <v>65.38</v>
      </c>
      <c r="H93" s="102">
        <v>64.150000000000006</v>
      </c>
    </row>
    <row r="94" spans="1:8" ht="90" x14ac:dyDescent="0.25">
      <c r="A94" s="99" t="s">
        <v>64</v>
      </c>
      <c r="B94" s="100">
        <v>17</v>
      </c>
      <c r="C94" s="100">
        <v>13</v>
      </c>
      <c r="D94" s="100">
        <v>3</v>
      </c>
      <c r="E94" s="101"/>
      <c r="F94" s="100">
        <v>33</v>
      </c>
      <c r="G94" s="102">
        <v>51.52</v>
      </c>
      <c r="H94" s="102">
        <v>51.52</v>
      </c>
    </row>
    <row r="95" spans="1:8" ht="90" x14ac:dyDescent="0.25">
      <c r="A95" s="99" t="s">
        <v>66</v>
      </c>
      <c r="B95" s="100">
        <v>61</v>
      </c>
      <c r="C95" s="100">
        <v>40</v>
      </c>
      <c r="D95" s="101"/>
      <c r="E95" s="100">
        <v>1</v>
      </c>
      <c r="F95" s="100">
        <v>102</v>
      </c>
      <c r="G95" s="102">
        <v>60.4</v>
      </c>
      <c r="H95" s="102">
        <v>59.8</v>
      </c>
    </row>
    <row r="96" spans="1:8" ht="90" x14ac:dyDescent="0.25">
      <c r="A96" s="99" t="s">
        <v>67</v>
      </c>
      <c r="B96" s="100">
        <v>19</v>
      </c>
      <c r="C96" s="100">
        <v>8</v>
      </c>
      <c r="D96" s="101"/>
      <c r="E96" s="101"/>
      <c r="F96" s="100">
        <v>27</v>
      </c>
      <c r="G96" s="102">
        <v>70.37</v>
      </c>
      <c r="H96" s="102">
        <v>70.37</v>
      </c>
    </row>
    <row r="97" spans="1:8" ht="90" x14ac:dyDescent="0.25">
      <c r="A97" s="99" t="s">
        <v>69</v>
      </c>
      <c r="B97" s="100">
        <v>45</v>
      </c>
      <c r="C97" s="100">
        <v>34</v>
      </c>
      <c r="D97" s="100">
        <v>1</v>
      </c>
      <c r="E97" s="101"/>
      <c r="F97" s="100">
        <v>80</v>
      </c>
      <c r="G97" s="102">
        <v>56.25</v>
      </c>
      <c r="H97" s="102">
        <v>56.25</v>
      </c>
    </row>
    <row r="98" spans="1:8" ht="90" x14ac:dyDescent="0.25">
      <c r="A98" s="99" t="s">
        <v>70</v>
      </c>
      <c r="B98" s="100">
        <v>92</v>
      </c>
      <c r="C98" s="100">
        <v>25</v>
      </c>
      <c r="D98" s="100">
        <v>2</v>
      </c>
      <c r="E98" s="101"/>
      <c r="F98" s="100">
        <v>119</v>
      </c>
      <c r="G98" s="102">
        <v>77.31</v>
      </c>
      <c r="H98" s="102">
        <v>77.31</v>
      </c>
    </row>
    <row r="99" spans="1:8" ht="78.75" x14ac:dyDescent="0.25">
      <c r="A99" s="99" t="s">
        <v>71</v>
      </c>
      <c r="B99" s="100">
        <v>5</v>
      </c>
      <c r="C99" s="100">
        <v>11</v>
      </c>
      <c r="D99" s="101"/>
      <c r="E99" s="101"/>
      <c r="F99" s="100">
        <v>16</v>
      </c>
      <c r="G99" s="102">
        <v>31.25</v>
      </c>
      <c r="H99" s="102">
        <v>31.25</v>
      </c>
    </row>
    <row r="100" spans="1:8" ht="90" x14ac:dyDescent="0.25">
      <c r="A100" s="99" t="s">
        <v>72</v>
      </c>
      <c r="B100" s="100">
        <v>13</v>
      </c>
      <c r="C100" s="100">
        <v>6</v>
      </c>
      <c r="D100" s="101"/>
      <c r="E100" s="100">
        <v>1</v>
      </c>
      <c r="F100" s="100">
        <v>20</v>
      </c>
      <c r="G100" s="102">
        <v>68.42</v>
      </c>
      <c r="H100" s="102">
        <v>65</v>
      </c>
    </row>
    <row r="101" spans="1:8" ht="78.75" x14ac:dyDescent="0.25">
      <c r="A101" s="99" t="s">
        <v>73</v>
      </c>
      <c r="B101" s="100">
        <v>15</v>
      </c>
      <c r="C101" s="100">
        <v>5</v>
      </c>
      <c r="D101" s="101"/>
      <c r="E101" s="101"/>
      <c r="F101" s="100">
        <v>20</v>
      </c>
      <c r="G101" s="102">
        <v>75</v>
      </c>
      <c r="H101" s="102">
        <v>75</v>
      </c>
    </row>
    <row r="102" spans="1:8" ht="90" x14ac:dyDescent="0.25">
      <c r="A102" s="99" t="s">
        <v>74</v>
      </c>
      <c r="B102" s="100">
        <v>11</v>
      </c>
      <c r="C102" s="100">
        <v>2</v>
      </c>
      <c r="D102" s="100">
        <v>1</v>
      </c>
      <c r="E102" s="100">
        <v>1</v>
      </c>
      <c r="F102" s="100">
        <v>15</v>
      </c>
      <c r="G102" s="102">
        <v>78.569999999999993</v>
      </c>
      <c r="H102" s="102">
        <v>73.33</v>
      </c>
    </row>
    <row r="103" spans="1:8" ht="112.5" x14ac:dyDescent="0.25">
      <c r="A103" s="99" t="s">
        <v>75</v>
      </c>
      <c r="B103" s="100">
        <v>27</v>
      </c>
      <c r="C103" s="100">
        <v>14</v>
      </c>
      <c r="D103" s="100">
        <v>1</v>
      </c>
      <c r="E103" s="100">
        <v>1</v>
      </c>
      <c r="F103" s="100">
        <v>43</v>
      </c>
      <c r="G103" s="102">
        <v>64.290000000000006</v>
      </c>
      <c r="H103" s="102">
        <v>62.79</v>
      </c>
    </row>
    <row r="104" spans="1:8" ht="78.75" x14ac:dyDescent="0.25">
      <c r="A104" s="99" t="s">
        <v>77</v>
      </c>
      <c r="B104" s="100">
        <v>31</v>
      </c>
      <c r="C104" s="100">
        <v>12</v>
      </c>
      <c r="D104" s="101"/>
      <c r="E104" s="101"/>
      <c r="F104" s="100">
        <v>43</v>
      </c>
      <c r="G104" s="102">
        <v>72.09</v>
      </c>
      <c r="H104" s="102">
        <v>72.09</v>
      </c>
    </row>
    <row r="105" spans="1:8" ht="78.75" x14ac:dyDescent="0.25">
      <c r="A105" s="99" t="s">
        <v>78</v>
      </c>
      <c r="B105" s="100">
        <v>24</v>
      </c>
      <c r="C105" s="100">
        <v>8</v>
      </c>
      <c r="D105" s="101"/>
      <c r="E105" s="101"/>
      <c r="F105" s="100">
        <v>32</v>
      </c>
      <c r="G105" s="102">
        <v>75</v>
      </c>
      <c r="H105" s="102">
        <v>75</v>
      </c>
    </row>
    <row r="106" spans="1:8" ht="78.75" x14ac:dyDescent="0.25">
      <c r="A106" s="99" t="s">
        <v>79</v>
      </c>
      <c r="B106" s="100">
        <v>14</v>
      </c>
      <c r="C106" s="100">
        <v>1</v>
      </c>
      <c r="D106" s="101"/>
      <c r="E106" s="101"/>
      <c r="F106" s="100">
        <v>15</v>
      </c>
      <c r="G106" s="102">
        <v>93.33</v>
      </c>
      <c r="H106" s="102">
        <v>93.33</v>
      </c>
    </row>
    <row r="107" spans="1:8" ht="78.75" x14ac:dyDescent="0.25">
      <c r="A107" s="99" t="s">
        <v>80</v>
      </c>
      <c r="B107" s="100">
        <v>25</v>
      </c>
      <c r="C107" s="100">
        <v>3</v>
      </c>
      <c r="D107" s="101"/>
      <c r="E107" s="101"/>
      <c r="F107" s="100">
        <v>28</v>
      </c>
      <c r="G107" s="102">
        <v>89.29</v>
      </c>
      <c r="H107" s="102">
        <v>89.29</v>
      </c>
    </row>
    <row r="108" spans="1:8" ht="67.5" x14ac:dyDescent="0.25">
      <c r="A108" s="99" t="s">
        <v>82</v>
      </c>
      <c r="B108" s="100">
        <v>36</v>
      </c>
      <c r="C108" s="100">
        <v>10</v>
      </c>
      <c r="D108" s="101"/>
      <c r="E108" s="100">
        <v>1</v>
      </c>
      <c r="F108" s="100">
        <v>47</v>
      </c>
      <c r="G108" s="102">
        <v>78.260000000000005</v>
      </c>
      <c r="H108" s="102">
        <v>76.599999999999994</v>
      </c>
    </row>
    <row r="109" spans="1:8" ht="67.5" x14ac:dyDescent="0.25">
      <c r="A109" s="99" t="s">
        <v>83</v>
      </c>
      <c r="B109" s="100">
        <v>27</v>
      </c>
      <c r="C109" s="100">
        <v>2</v>
      </c>
      <c r="D109" s="101"/>
      <c r="E109" s="101"/>
      <c r="F109" s="100">
        <v>29</v>
      </c>
      <c r="G109" s="102">
        <v>93.1</v>
      </c>
      <c r="H109" s="102">
        <v>93.1</v>
      </c>
    </row>
    <row r="110" spans="1:8" ht="67.5" x14ac:dyDescent="0.25">
      <c r="A110" s="99" t="s">
        <v>84</v>
      </c>
      <c r="B110" s="100">
        <v>5</v>
      </c>
      <c r="C110" s="101"/>
      <c r="D110" s="101"/>
      <c r="E110" s="100">
        <v>2</v>
      </c>
      <c r="F110" s="100">
        <v>7</v>
      </c>
      <c r="G110" s="102">
        <v>100</v>
      </c>
      <c r="H110" s="102">
        <v>71.430000000000007</v>
      </c>
    </row>
    <row r="111" spans="1:8" ht="67.5" x14ac:dyDescent="0.25">
      <c r="A111" s="99" t="s">
        <v>85</v>
      </c>
      <c r="B111" s="100">
        <v>1</v>
      </c>
      <c r="C111" s="101"/>
      <c r="D111" s="101"/>
      <c r="E111" s="101"/>
      <c r="F111" s="100">
        <v>1</v>
      </c>
      <c r="G111" s="102">
        <v>100</v>
      </c>
      <c r="H111" s="102">
        <v>100</v>
      </c>
    </row>
    <row r="112" spans="1:8" ht="67.5" x14ac:dyDescent="0.25">
      <c r="A112" s="99" t="s">
        <v>86</v>
      </c>
      <c r="B112" s="100">
        <v>51</v>
      </c>
      <c r="C112" s="100">
        <v>18</v>
      </c>
      <c r="D112" s="100">
        <v>2</v>
      </c>
      <c r="E112" s="100">
        <v>1</v>
      </c>
      <c r="F112" s="100">
        <v>72</v>
      </c>
      <c r="G112" s="102">
        <v>71.83</v>
      </c>
      <c r="H112" s="102">
        <v>70.83</v>
      </c>
    </row>
    <row r="113" spans="1:8" ht="67.5" x14ac:dyDescent="0.25">
      <c r="A113" s="99" t="s">
        <v>87</v>
      </c>
      <c r="B113" s="100">
        <v>4</v>
      </c>
      <c r="C113" s="100">
        <v>7</v>
      </c>
      <c r="D113" s="100">
        <v>2</v>
      </c>
      <c r="E113" s="101"/>
      <c r="F113" s="100">
        <v>13</v>
      </c>
      <c r="G113" s="102">
        <v>30.77</v>
      </c>
      <c r="H113" s="102">
        <v>30.77</v>
      </c>
    </row>
    <row r="114" spans="1:8" ht="67.5" x14ac:dyDescent="0.25">
      <c r="A114" s="99" t="s">
        <v>88</v>
      </c>
      <c r="B114" s="100">
        <v>2</v>
      </c>
      <c r="C114" s="100">
        <v>2</v>
      </c>
      <c r="D114" s="101"/>
      <c r="E114" s="101"/>
      <c r="F114" s="100">
        <v>4</v>
      </c>
      <c r="G114" s="102">
        <v>50</v>
      </c>
      <c r="H114" s="102">
        <v>50</v>
      </c>
    </row>
    <row r="115" spans="1:8" ht="67.5" x14ac:dyDescent="0.25">
      <c r="A115" s="99" t="s">
        <v>89</v>
      </c>
      <c r="B115" s="100">
        <v>23</v>
      </c>
      <c r="C115" s="100">
        <v>13</v>
      </c>
      <c r="D115" s="101"/>
      <c r="E115" s="101"/>
      <c r="F115" s="100">
        <v>36</v>
      </c>
      <c r="G115" s="102">
        <v>63.89</v>
      </c>
      <c r="H115" s="102">
        <v>63.89</v>
      </c>
    </row>
    <row r="116" spans="1:8" ht="67.5" x14ac:dyDescent="0.25">
      <c r="A116" s="99" t="s">
        <v>90</v>
      </c>
      <c r="B116" s="100">
        <v>46</v>
      </c>
      <c r="C116" s="100">
        <v>30</v>
      </c>
      <c r="D116" s="101"/>
      <c r="E116" s="100">
        <v>2</v>
      </c>
      <c r="F116" s="100">
        <v>78</v>
      </c>
      <c r="G116" s="102">
        <v>60.53</v>
      </c>
      <c r="H116" s="102">
        <v>58.97</v>
      </c>
    </row>
    <row r="117" spans="1:8" ht="67.5" x14ac:dyDescent="0.25">
      <c r="A117" s="99" t="s">
        <v>91</v>
      </c>
      <c r="B117" s="100">
        <v>4</v>
      </c>
      <c r="C117" s="100">
        <v>8</v>
      </c>
      <c r="D117" s="101"/>
      <c r="E117" s="100">
        <v>1</v>
      </c>
      <c r="F117" s="100">
        <v>13</v>
      </c>
      <c r="G117" s="102">
        <v>33.33</v>
      </c>
      <c r="H117" s="102">
        <v>30.77</v>
      </c>
    </row>
    <row r="118" spans="1:8" ht="67.5" x14ac:dyDescent="0.25">
      <c r="A118" s="99" t="s">
        <v>92</v>
      </c>
      <c r="B118" s="100">
        <v>3</v>
      </c>
      <c r="C118" s="100">
        <v>2</v>
      </c>
      <c r="D118" s="101"/>
      <c r="E118" s="101"/>
      <c r="F118" s="100">
        <v>5</v>
      </c>
      <c r="G118" s="102">
        <v>60</v>
      </c>
      <c r="H118" s="102">
        <v>60</v>
      </c>
    </row>
    <row r="119" spans="1:8" ht="67.5" x14ac:dyDescent="0.25">
      <c r="A119" s="99" t="s">
        <v>93</v>
      </c>
      <c r="B119" s="100">
        <v>38</v>
      </c>
      <c r="C119" s="100">
        <v>24</v>
      </c>
      <c r="D119" s="101"/>
      <c r="E119" s="101"/>
      <c r="F119" s="100">
        <v>62</v>
      </c>
      <c r="G119" s="102">
        <v>61.29</v>
      </c>
      <c r="H119" s="102">
        <v>61.29</v>
      </c>
    </row>
    <row r="120" spans="1:8" ht="67.5" x14ac:dyDescent="0.25">
      <c r="A120" s="99" t="s">
        <v>94</v>
      </c>
      <c r="B120" s="100">
        <v>4</v>
      </c>
      <c r="C120" s="100">
        <v>1</v>
      </c>
      <c r="D120" s="101"/>
      <c r="E120" s="100">
        <v>1</v>
      </c>
      <c r="F120" s="100">
        <v>6</v>
      </c>
      <c r="G120" s="102">
        <v>80</v>
      </c>
      <c r="H120" s="102">
        <v>66.67</v>
      </c>
    </row>
    <row r="121" spans="1:8" ht="67.5" x14ac:dyDescent="0.25">
      <c r="A121" s="99" t="s">
        <v>95</v>
      </c>
      <c r="B121" s="100">
        <v>4</v>
      </c>
      <c r="C121" s="100">
        <v>3</v>
      </c>
      <c r="D121" s="101"/>
      <c r="E121" s="100">
        <v>1</v>
      </c>
      <c r="F121" s="100">
        <v>8</v>
      </c>
      <c r="G121" s="102">
        <v>57.14</v>
      </c>
      <c r="H121" s="102">
        <v>50</v>
      </c>
    </row>
    <row r="122" spans="1:8" ht="67.5" x14ac:dyDescent="0.25">
      <c r="A122" s="99" t="s">
        <v>96</v>
      </c>
      <c r="B122" s="100">
        <v>3</v>
      </c>
      <c r="C122" s="100">
        <v>1</v>
      </c>
      <c r="D122" s="101"/>
      <c r="E122" s="101"/>
      <c r="F122" s="100">
        <v>4</v>
      </c>
      <c r="G122" s="102">
        <v>75</v>
      </c>
      <c r="H122" s="102">
        <v>75</v>
      </c>
    </row>
    <row r="123" spans="1:8" ht="78.75" x14ac:dyDescent="0.25">
      <c r="A123" s="99" t="s">
        <v>97</v>
      </c>
      <c r="B123" s="100">
        <v>1</v>
      </c>
      <c r="C123" s="100">
        <v>1</v>
      </c>
      <c r="D123" s="101"/>
      <c r="E123" s="101"/>
      <c r="F123" s="100">
        <v>2</v>
      </c>
      <c r="G123" s="102">
        <v>50</v>
      </c>
      <c r="H123" s="102">
        <v>50</v>
      </c>
    </row>
    <row r="124" spans="1:8" ht="78.75" x14ac:dyDescent="0.25">
      <c r="A124" s="99" t="s">
        <v>98</v>
      </c>
      <c r="B124" s="100">
        <v>13</v>
      </c>
      <c r="C124" s="100">
        <v>7</v>
      </c>
      <c r="D124" s="101"/>
      <c r="E124" s="101"/>
      <c r="F124" s="100">
        <v>20</v>
      </c>
      <c r="G124" s="102">
        <v>65</v>
      </c>
      <c r="H124" s="102">
        <v>65</v>
      </c>
    </row>
    <row r="125" spans="1:8" ht="78.75" x14ac:dyDescent="0.25">
      <c r="A125" s="99" t="s">
        <v>99</v>
      </c>
      <c r="B125" s="100">
        <v>6</v>
      </c>
      <c r="C125" s="100">
        <v>10</v>
      </c>
      <c r="D125" s="101"/>
      <c r="E125" s="101"/>
      <c r="F125" s="100">
        <v>16</v>
      </c>
      <c r="G125" s="102">
        <v>37.5</v>
      </c>
      <c r="H125" s="102">
        <v>37.5</v>
      </c>
    </row>
    <row r="126" spans="1:8" ht="78.75" x14ac:dyDescent="0.25">
      <c r="A126" s="99" t="s">
        <v>100</v>
      </c>
      <c r="B126" s="100">
        <v>12</v>
      </c>
      <c r="C126" s="100">
        <v>4</v>
      </c>
      <c r="D126" s="101"/>
      <c r="E126" s="101"/>
      <c r="F126" s="100">
        <v>16</v>
      </c>
      <c r="G126" s="102">
        <v>75</v>
      </c>
      <c r="H126" s="102">
        <v>75</v>
      </c>
    </row>
    <row r="127" spans="1:8" ht="78.75" x14ac:dyDescent="0.25">
      <c r="A127" s="99" t="s">
        <v>101</v>
      </c>
      <c r="B127" s="100">
        <v>18</v>
      </c>
      <c r="C127" s="100">
        <v>5</v>
      </c>
      <c r="D127" s="101"/>
      <c r="E127" s="101"/>
      <c r="F127" s="100">
        <v>23</v>
      </c>
      <c r="G127" s="102">
        <v>78.260000000000005</v>
      </c>
      <c r="H127" s="102">
        <v>78.260000000000005</v>
      </c>
    </row>
    <row r="128" spans="1:8" ht="78.75" x14ac:dyDescent="0.25">
      <c r="A128" s="99" t="s">
        <v>102</v>
      </c>
      <c r="B128" s="100">
        <v>22</v>
      </c>
      <c r="C128" s="100">
        <v>5</v>
      </c>
      <c r="D128" s="101"/>
      <c r="E128" s="101"/>
      <c r="F128" s="100">
        <v>27</v>
      </c>
      <c r="G128" s="102">
        <v>81.48</v>
      </c>
      <c r="H128" s="102">
        <v>81.48</v>
      </c>
    </row>
    <row r="129" spans="1:8" ht="78.75" x14ac:dyDescent="0.25">
      <c r="A129" s="99" t="s">
        <v>103</v>
      </c>
      <c r="B129" s="100">
        <v>23</v>
      </c>
      <c r="C129" s="100">
        <v>7</v>
      </c>
      <c r="D129" s="101"/>
      <c r="E129" s="101"/>
      <c r="F129" s="100">
        <v>30</v>
      </c>
      <c r="G129" s="102">
        <v>76.67</v>
      </c>
      <c r="H129" s="102">
        <v>76.67</v>
      </c>
    </row>
    <row r="130" spans="1:8" ht="78.75" x14ac:dyDescent="0.25">
      <c r="A130" s="99" t="s">
        <v>104</v>
      </c>
      <c r="B130" s="100">
        <v>43</v>
      </c>
      <c r="C130" s="100">
        <v>26</v>
      </c>
      <c r="D130" s="100">
        <v>1</v>
      </c>
      <c r="E130" s="100">
        <v>1</v>
      </c>
      <c r="F130" s="100">
        <v>71</v>
      </c>
      <c r="G130" s="102">
        <v>61.43</v>
      </c>
      <c r="H130" s="102">
        <v>60.56</v>
      </c>
    </row>
    <row r="131" spans="1:8" ht="101.25" x14ac:dyDescent="0.25">
      <c r="A131" s="99" t="s">
        <v>105</v>
      </c>
      <c r="B131" s="100">
        <v>14</v>
      </c>
      <c r="C131" s="100">
        <v>11</v>
      </c>
      <c r="D131" s="101"/>
      <c r="E131" s="101"/>
      <c r="F131" s="100">
        <v>25</v>
      </c>
      <c r="G131" s="102">
        <v>56</v>
      </c>
      <c r="H131" s="102">
        <v>56</v>
      </c>
    </row>
    <row r="132" spans="1:8" ht="78.75" x14ac:dyDescent="0.25">
      <c r="A132" s="99" t="s">
        <v>106</v>
      </c>
      <c r="B132" s="100">
        <v>51</v>
      </c>
      <c r="C132" s="100">
        <v>17</v>
      </c>
      <c r="D132" s="101"/>
      <c r="E132" s="100">
        <v>2</v>
      </c>
      <c r="F132" s="100">
        <v>70</v>
      </c>
      <c r="G132" s="102">
        <v>75</v>
      </c>
      <c r="H132" s="102">
        <v>72.86</v>
      </c>
    </row>
    <row r="133" spans="1:8" ht="67.5" x14ac:dyDescent="0.25">
      <c r="A133" s="99" t="s">
        <v>112</v>
      </c>
      <c r="B133" s="100">
        <v>1</v>
      </c>
      <c r="C133" s="100">
        <v>3</v>
      </c>
      <c r="D133" s="101"/>
      <c r="E133" s="101"/>
      <c r="F133" s="100">
        <v>4</v>
      </c>
      <c r="G133" s="102">
        <v>25</v>
      </c>
      <c r="H133" s="102">
        <v>25</v>
      </c>
    </row>
    <row r="134" spans="1:8" ht="67.5" x14ac:dyDescent="0.25">
      <c r="A134" s="99" t="s">
        <v>113</v>
      </c>
      <c r="B134" s="100">
        <v>0</v>
      </c>
      <c r="C134" s="100">
        <v>1</v>
      </c>
      <c r="D134" s="100">
        <v>1</v>
      </c>
      <c r="E134" s="100">
        <v>1</v>
      </c>
      <c r="F134" s="100">
        <v>3</v>
      </c>
      <c r="G134" s="101"/>
      <c r="H134" s="102">
        <v>0</v>
      </c>
    </row>
    <row r="135" spans="1:8" ht="67.5" x14ac:dyDescent="0.25">
      <c r="A135" s="99" t="s">
        <v>114</v>
      </c>
      <c r="B135" s="100">
        <v>16</v>
      </c>
      <c r="C135" s="100">
        <v>1</v>
      </c>
      <c r="D135" s="101"/>
      <c r="E135" s="101"/>
      <c r="F135" s="100">
        <v>17</v>
      </c>
      <c r="G135" s="102">
        <v>94.12</v>
      </c>
      <c r="H135" s="102">
        <v>94.12</v>
      </c>
    </row>
    <row r="136" spans="1:8" ht="67.5" x14ac:dyDescent="0.25">
      <c r="A136" s="99" t="s">
        <v>116</v>
      </c>
      <c r="B136" s="100">
        <v>2</v>
      </c>
      <c r="C136" s="100">
        <v>3</v>
      </c>
      <c r="D136" s="101"/>
      <c r="E136" s="101"/>
      <c r="F136" s="100">
        <v>5</v>
      </c>
      <c r="G136" s="102">
        <v>40</v>
      </c>
      <c r="H136" s="102">
        <v>40</v>
      </c>
    </row>
    <row r="137" spans="1:8" ht="67.5" x14ac:dyDescent="0.25">
      <c r="A137" s="99" t="s">
        <v>117</v>
      </c>
      <c r="B137" s="100">
        <v>0</v>
      </c>
      <c r="C137" s="100">
        <v>1</v>
      </c>
      <c r="D137" s="101"/>
      <c r="E137" s="101"/>
      <c r="F137" s="100">
        <v>1</v>
      </c>
      <c r="G137" s="101"/>
      <c r="H137" s="102">
        <v>0</v>
      </c>
    </row>
    <row r="138" spans="1:8" ht="67.5" x14ac:dyDescent="0.25">
      <c r="A138" s="99" t="s">
        <v>120</v>
      </c>
      <c r="B138" s="100">
        <v>1</v>
      </c>
      <c r="C138" s="101"/>
      <c r="D138" s="101"/>
      <c r="E138" s="101"/>
      <c r="F138" s="100">
        <v>1</v>
      </c>
      <c r="G138" s="102">
        <v>100</v>
      </c>
      <c r="H138" s="102">
        <v>100</v>
      </c>
    </row>
    <row r="139" spans="1:8" ht="56.25" x14ac:dyDescent="0.25">
      <c r="A139" s="99" t="s">
        <v>208</v>
      </c>
      <c r="B139" s="100">
        <v>1</v>
      </c>
      <c r="C139" s="100">
        <v>1</v>
      </c>
      <c r="D139" s="101"/>
      <c r="E139" s="101"/>
      <c r="F139" s="100">
        <v>2</v>
      </c>
      <c r="G139" s="102">
        <v>50</v>
      </c>
      <c r="H139" s="102">
        <v>50</v>
      </c>
    </row>
    <row r="140" spans="1:8" ht="56.25" x14ac:dyDescent="0.25">
      <c r="A140" s="99" t="s">
        <v>209</v>
      </c>
      <c r="B140" s="100">
        <v>14</v>
      </c>
      <c r="C140" s="100">
        <v>2</v>
      </c>
      <c r="D140" s="101"/>
      <c r="E140" s="100">
        <v>3</v>
      </c>
      <c r="F140" s="100">
        <v>19</v>
      </c>
      <c r="G140" s="102">
        <v>87.5</v>
      </c>
      <c r="H140" s="102">
        <v>73.680000000000007</v>
      </c>
    </row>
    <row r="141" spans="1:8" ht="67.5" x14ac:dyDescent="0.25">
      <c r="A141" s="99" t="s">
        <v>211</v>
      </c>
      <c r="B141" s="100">
        <v>1</v>
      </c>
      <c r="C141" s="101"/>
      <c r="D141" s="101"/>
      <c r="E141" s="101"/>
      <c r="F141" s="100">
        <v>1</v>
      </c>
      <c r="G141" s="102">
        <v>100</v>
      </c>
      <c r="H141" s="102">
        <v>100</v>
      </c>
    </row>
    <row r="142" spans="1:8" ht="67.5" x14ac:dyDescent="0.25">
      <c r="A142" s="99" t="s">
        <v>210</v>
      </c>
      <c r="B142" s="100">
        <v>0</v>
      </c>
      <c r="C142" s="100">
        <v>1</v>
      </c>
      <c r="D142" s="101"/>
      <c r="E142" s="101"/>
      <c r="F142" s="100">
        <v>1</v>
      </c>
      <c r="G142" s="101"/>
      <c r="H142" s="102">
        <v>0</v>
      </c>
    </row>
    <row r="143" spans="1:8" x14ac:dyDescent="0.25">
      <c r="A143" s="103" t="s">
        <v>1</v>
      </c>
      <c r="B143" s="104">
        <v>2567</v>
      </c>
      <c r="C143" s="104">
        <v>1027</v>
      </c>
      <c r="D143" s="105">
        <v>24</v>
      </c>
      <c r="E143" s="105">
        <v>64</v>
      </c>
      <c r="F143" s="104">
        <v>3682</v>
      </c>
      <c r="G143" s="106">
        <v>70.95</v>
      </c>
      <c r="H143" s="106">
        <v>69.72</v>
      </c>
    </row>
    <row r="144" spans="1:8" x14ac:dyDescent="0.25">
      <c r="A144" s="107"/>
      <c r="B144" s="107"/>
      <c r="C144" s="107"/>
      <c r="D144" s="107"/>
      <c r="E144" s="107"/>
      <c r="F144" s="107"/>
      <c r="G144" s="107"/>
      <c r="H144" s="107"/>
    </row>
    <row r="145" spans="1:8" x14ac:dyDescent="0.25">
      <c r="A145" s="107"/>
      <c r="B145" s="107"/>
      <c r="C145" s="107"/>
      <c r="D145" s="107"/>
      <c r="E145" s="107"/>
      <c r="F145" s="107"/>
      <c r="G145" s="107"/>
      <c r="H145" s="107"/>
    </row>
    <row r="146" spans="1:8" x14ac:dyDescent="0.25">
      <c r="A146" s="107"/>
      <c r="B146" s="107"/>
      <c r="C146" s="107"/>
      <c r="D146" s="107"/>
      <c r="E146" s="107"/>
      <c r="F146" s="107"/>
      <c r="G146" s="107"/>
      <c r="H146" s="107"/>
    </row>
    <row r="147" spans="1:8" x14ac:dyDescent="0.25">
      <c r="A147" s="107"/>
      <c r="B147" s="107"/>
      <c r="C147" s="107"/>
      <c r="D147" s="107"/>
      <c r="E147" s="107"/>
      <c r="F147" s="107"/>
      <c r="G147" s="107"/>
      <c r="H147" s="107"/>
    </row>
    <row r="148" spans="1:8" x14ac:dyDescent="0.25">
      <c r="A148" s="107"/>
      <c r="B148" s="107"/>
      <c r="C148" s="107"/>
      <c r="D148" s="107"/>
      <c r="E148" s="107"/>
      <c r="F148" s="107"/>
      <c r="G148" s="107"/>
      <c r="H148" s="107"/>
    </row>
    <row r="149" spans="1:8" x14ac:dyDescent="0.25">
      <c r="A149" s="107"/>
      <c r="B149" s="107"/>
      <c r="C149" s="107"/>
      <c r="D149" s="107"/>
      <c r="E149" s="107"/>
      <c r="F149" s="107"/>
      <c r="G149" s="107"/>
      <c r="H149" s="107"/>
    </row>
    <row r="150" spans="1:8" x14ac:dyDescent="0.25">
      <c r="A150" s="107"/>
      <c r="B150" s="107"/>
      <c r="C150" s="107"/>
      <c r="D150" s="107"/>
      <c r="E150" s="107"/>
      <c r="F150" s="107"/>
      <c r="G150" s="107"/>
      <c r="H150" s="107"/>
    </row>
    <row r="151" spans="1:8" x14ac:dyDescent="0.25">
      <c r="A151" s="107"/>
      <c r="B151" s="107"/>
      <c r="C151" s="107"/>
      <c r="D151" s="107"/>
      <c r="E151" s="107"/>
      <c r="F151" s="107"/>
      <c r="G151" s="107"/>
      <c r="H151" s="107"/>
    </row>
    <row r="152" spans="1:8" x14ac:dyDescent="0.25">
      <c r="A152" s="107"/>
      <c r="B152" s="107"/>
      <c r="C152" s="107"/>
      <c r="D152" s="107"/>
      <c r="E152" s="107"/>
      <c r="F152" s="107"/>
      <c r="G152" s="107"/>
      <c r="H152" s="107"/>
    </row>
    <row r="153" spans="1:8" x14ac:dyDescent="0.25">
      <c r="A153" s="107"/>
      <c r="B153" s="107"/>
      <c r="C153" s="107"/>
      <c r="D153" s="107"/>
      <c r="E153" s="107"/>
      <c r="F153" s="107"/>
      <c r="G153" s="107"/>
      <c r="H153" s="107"/>
    </row>
    <row r="154" spans="1:8" x14ac:dyDescent="0.25">
      <c r="A154" s="107"/>
      <c r="B154" s="107"/>
      <c r="C154" s="107"/>
      <c r="D154" s="107"/>
      <c r="E154" s="107"/>
      <c r="F154" s="107"/>
      <c r="G154" s="107"/>
      <c r="H154" s="107"/>
    </row>
    <row r="155" spans="1:8" x14ac:dyDescent="0.25">
      <c r="A155" s="107"/>
      <c r="B155" s="107"/>
      <c r="C155" s="107"/>
      <c r="D155" s="107"/>
      <c r="E155" s="107"/>
      <c r="F155" s="107"/>
      <c r="G155" s="107"/>
      <c r="H155" s="107"/>
    </row>
    <row r="156" spans="1:8" x14ac:dyDescent="0.25">
      <c r="A156" s="107"/>
      <c r="B156" s="107"/>
      <c r="C156" s="107"/>
      <c r="D156" s="107"/>
      <c r="E156" s="107"/>
      <c r="F156" s="107"/>
      <c r="G156" s="107"/>
      <c r="H156" s="107"/>
    </row>
    <row r="157" spans="1:8" x14ac:dyDescent="0.25">
      <c r="A157" s="107"/>
      <c r="B157" s="107"/>
      <c r="C157" s="107"/>
      <c r="D157" s="107"/>
      <c r="E157" s="107"/>
      <c r="F157" s="107"/>
      <c r="G157" s="107"/>
      <c r="H157" s="107"/>
    </row>
    <row r="158" spans="1:8" x14ac:dyDescent="0.25">
      <c r="A158" s="107"/>
      <c r="B158" s="107"/>
      <c r="C158" s="107"/>
      <c r="D158" s="107"/>
      <c r="E158" s="107"/>
      <c r="F158" s="107"/>
      <c r="G158" s="107"/>
      <c r="H158" s="107"/>
    </row>
    <row r="159" spans="1:8" x14ac:dyDescent="0.25">
      <c r="A159" s="107"/>
      <c r="B159" s="107"/>
      <c r="C159" s="107"/>
      <c r="D159" s="107"/>
      <c r="E159" s="107"/>
      <c r="F159" s="107"/>
      <c r="G159" s="107"/>
      <c r="H159" s="107"/>
    </row>
    <row r="160" spans="1:8" x14ac:dyDescent="0.25">
      <c r="A160" s="107"/>
      <c r="B160" s="107"/>
      <c r="C160" s="107"/>
      <c r="D160" s="107"/>
      <c r="E160" s="107"/>
      <c r="F160" s="107"/>
      <c r="G160" s="107"/>
      <c r="H160" s="107"/>
    </row>
    <row r="161" spans="1:8" x14ac:dyDescent="0.25">
      <c r="A161" s="107"/>
      <c r="B161" s="107"/>
      <c r="C161" s="107"/>
      <c r="D161" s="107"/>
      <c r="E161" s="107"/>
      <c r="F161" s="107"/>
      <c r="G161" s="107"/>
      <c r="H161" s="107"/>
    </row>
    <row r="162" spans="1:8" x14ac:dyDescent="0.25">
      <c r="A162" s="107"/>
      <c r="B162" s="107"/>
      <c r="C162" s="107"/>
      <c r="D162" s="107"/>
      <c r="E162" s="107"/>
      <c r="F162" s="107"/>
      <c r="G162" s="107"/>
      <c r="H162" s="107"/>
    </row>
    <row r="163" spans="1:8" x14ac:dyDescent="0.25">
      <c r="A163" s="107"/>
      <c r="B163" s="107"/>
      <c r="C163" s="107"/>
      <c r="D163" s="107"/>
      <c r="E163" s="107"/>
      <c r="F163" s="107"/>
      <c r="G163" s="107"/>
      <c r="H163" s="107"/>
    </row>
    <row r="164" spans="1:8" x14ac:dyDescent="0.25">
      <c r="A164" s="107"/>
      <c r="B164" s="107"/>
      <c r="C164" s="107"/>
      <c r="D164" s="107"/>
      <c r="E164" s="107"/>
      <c r="F164" s="107"/>
      <c r="G164" s="107"/>
      <c r="H164" s="107"/>
    </row>
    <row r="165" spans="1:8" x14ac:dyDescent="0.25">
      <c r="A165" s="107"/>
      <c r="B165" s="107"/>
      <c r="C165" s="107"/>
      <c r="D165" s="107"/>
      <c r="E165" s="107"/>
      <c r="F165" s="107"/>
      <c r="G165" s="107"/>
      <c r="H165" s="107"/>
    </row>
    <row r="166" spans="1:8" x14ac:dyDescent="0.25">
      <c r="A166" s="107"/>
      <c r="B166" s="107"/>
      <c r="C166" s="107"/>
      <c r="D166" s="107"/>
      <c r="E166" s="107"/>
      <c r="F166" s="107"/>
      <c r="G166" s="107"/>
      <c r="H166" s="107"/>
    </row>
    <row r="167" spans="1:8" x14ac:dyDescent="0.25">
      <c r="A167" s="107"/>
      <c r="B167" s="107"/>
      <c r="C167" s="107"/>
      <c r="D167" s="107"/>
      <c r="E167" s="107"/>
      <c r="F167" s="107"/>
      <c r="G167" s="107"/>
      <c r="H167" s="107"/>
    </row>
    <row r="168" spans="1:8" x14ac:dyDescent="0.25">
      <c r="A168" s="107"/>
      <c r="B168" s="107"/>
      <c r="C168" s="107"/>
      <c r="D168" s="107"/>
      <c r="E168" s="107"/>
      <c r="F168" s="107"/>
      <c r="G168" s="107"/>
      <c r="H168" s="107"/>
    </row>
    <row r="169" spans="1:8" x14ac:dyDescent="0.25">
      <c r="A169" s="107"/>
      <c r="B169" s="107"/>
      <c r="C169" s="107"/>
      <c r="D169" s="107"/>
      <c r="E169" s="107"/>
      <c r="F169" s="107"/>
      <c r="G169" s="107"/>
      <c r="H169" s="107"/>
    </row>
    <row r="170" spans="1:8" x14ac:dyDescent="0.25">
      <c r="A170" s="107"/>
      <c r="B170" s="107"/>
      <c r="C170" s="107"/>
      <c r="D170" s="107"/>
      <c r="E170" s="107"/>
      <c r="F170" s="107"/>
      <c r="G170" s="107"/>
      <c r="H170" s="107"/>
    </row>
    <row r="171" spans="1:8" x14ac:dyDescent="0.25">
      <c r="A171" s="107"/>
      <c r="B171" s="107"/>
      <c r="C171" s="107"/>
      <c r="D171" s="107"/>
      <c r="E171" s="107"/>
      <c r="F171" s="107"/>
      <c r="G171" s="107"/>
      <c r="H171" s="107"/>
    </row>
    <row r="172" spans="1:8" x14ac:dyDescent="0.25">
      <c r="A172" s="107"/>
      <c r="B172" s="107"/>
      <c r="C172" s="107"/>
      <c r="D172" s="107"/>
      <c r="E172" s="107"/>
      <c r="F172" s="107"/>
      <c r="G172" s="107"/>
      <c r="H172" s="107"/>
    </row>
    <row r="173" spans="1:8" x14ac:dyDescent="0.25">
      <c r="A173" s="107"/>
      <c r="B173" s="107"/>
      <c r="C173" s="107"/>
      <c r="D173" s="107"/>
      <c r="E173" s="107"/>
      <c r="F173" s="107"/>
      <c r="G173" s="107"/>
      <c r="H173" s="107"/>
    </row>
  </sheetData>
  <mergeCells count="2">
    <mergeCell ref="A1:A2"/>
    <mergeCell ref="B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2"/>
  <sheetViews>
    <sheetView workbookViewId="0">
      <selection sqref="A1:H175"/>
    </sheetView>
  </sheetViews>
  <sheetFormatPr defaultRowHeight="15" x14ac:dyDescent="0.25"/>
  <sheetData>
    <row r="1" spans="1:8" x14ac:dyDescent="0.25">
      <c r="A1" s="143" t="s">
        <v>0</v>
      </c>
      <c r="B1" s="144" t="s">
        <v>1</v>
      </c>
      <c r="C1" s="144"/>
      <c r="D1" s="144"/>
      <c r="E1" s="144"/>
      <c r="F1" s="144"/>
      <c r="G1" s="144"/>
      <c r="H1" s="144"/>
    </row>
    <row r="2" spans="1:8" ht="38.25" x14ac:dyDescent="0.25">
      <c r="A2" s="143"/>
      <c r="B2" s="108" t="s">
        <v>2</v>
      </c>
      <c r="C2" s="108" t="s">
        <v>3</v>
      </c>
      <c r="D2" s="108" t="s">
        <v>160</v>
      </c>
      <c r="E2" s="108" t="s">
        <v>161</v>
      </c>
      <c r="F2" s="108" t="s">
        <v>4</v>
      </c>
      <c r="G2" s="108" t="s">
        <v>162</v>
      </c>
      <c r="H2" s="108" t="s">
        <v>5</v>
      </c>
    </row>
    <row r="3" spans="1:8" ht="67.5" x14ac:dyDescent="0.25">
      <c r="A3" s="109" t="s">
        <v>186</v>
      </c>
      <c r="B3" s="110">
        <v>12</v>
      </c>
      <c r="C3" s="110">
        <v>3</v>
      </c>
      <c r="D3" s="111"/>
      <c r="E3" s="110">
        <v>1</v>
      </c>
      <c r="F3" s="110">
        <v>16</v>
      </c>
      <c r="G3" s="112">
        <v>80</v>
      </c>
      <c r="H3" s="112">
        <v>75</v>
      </c>
    </row>
    <row r="4" spans="1:8" ht="67.5" x14ac:dyDescent="0.25">
      <c r="A4" s="109" t="s">
        <v>177</v>
      </c>
      <c r="B4" s="110">
        <v>0</v>
      </c>
      <c r="C4" s="110">
        <v>1</v>
      </c>
      <c r="D4" s="111"/>
      <c r="E4" s="111"/>
      <c r="F4" s="110">
        <v>1</v>
      </c>
      <c r="G4" s="111"/>
      <c r="H4" s="112">
        <v>0</v>
      </c>
    </row>
    <row r="5" spans="1:8" ht="78.75" x14ac:dyDescent="0.25">
      <c r="A5" s="109" t="s">
        <v>187</v>
      </c>
      <c r="B5" s="110">
        <v>7</v>
      </c>
      <c r="C5" s="110">
        <v>5</v>
      </c>
      <c r="D5" s="111"/>
      <c r="E5" s="110">
        <v>1</v>
      </c>
      <c r="F5" s="110">
        <v>13</v>
      </c>
      <c r="G5" s="112">
        <v>58.33</v>
      </c>
      <c r="H5" s="112">
        <v>53.85</v>
      </c>
    </row>
    <row r="6" spans="1:8" ht="67.5" x14ac:dyDescent="0.25">
      <c r="A6" s="109" t="s">
        <v>178</v>
      </c>
      <c r="B6" s="110">
        <v>5</v>
      </c>
      <c r="C6" s="110">
        <v>1</v>
      </c>
      <c r="D6" s="111"/>
      <c r="E6" s="111"/>
      <c r="F6" s="110">
        <v>6</v>
      </c>
      <c r="G6" s="112">
        <v>83.33</v>
      </c>
      <c r="H6" s="112">
        <v>83.33</v>
      </c>
    </row>
    <row r="7" spans="1:8" ht="67.5" x14ac:dyDescent="0.25">
      <c r="A7" s="109" t="s">
        <v>179</v>
      </c>
      <c r="B7" s="110">
        <v>1</v>
      </c>
      <c r="C7" s="110">
        <v>1</v>
      </c>
      <c r="D7" s="111"/>
      <c r="E7" s="111"/>
      <c r="F7" s="110">
        <v>2</v>
      </c>
      <c r="G7" s="112">
        <v>50</v>
      </c>
      <c r="H7" s="112">
        <v>50</v>
      </c>
    </row>
    <row r="8" spans="1:8" ht="78.75" x14ac:dyDescent="0.25">
      <c r="A8" s="109" t="s">
        <v>188</v>
      </c>
      <c r="B8" s="110">
        <v>0</v>
      </c>
      <c r="C8" s="110">
        <v>1</v>
      </c>
      <c r="D8" s="111"/>
      <c r="E8" s="111"/>
      <c r="F8" s="110">
        <v>1</v>
      </c>
      <c r="G8" s="111"/>
      <c r="H8" s="112">
        <v>0</v>
      </c>
    </row>
    <row r="9" spans="1:8" ht="78.75" x14ac:dyDescent="0.25">
      <c r="A9" s="109" t="s">
        <v>189</v>
      </c>
      <c r="B9" s="110">
        <v>5</v>
      </c>
      <c r="C9" s="110">
        <v>1</v>
      </c>
      <c r="D9" s="111"/>
      <c r="E9" s="110">
        <v>1</v>
      </c>
      <c r="F9" s="110">
        <v>7</v>
      </c>
      <c r="G9" s="112">
        <v>83.33</v>
      </c>
      <c r="H9" s="112">
        <v>71.430000000000007</v>
      </c>
    </row>
    <row r="10" spans="1:8" ht="67.5" x14ac:dyDescent="0.25">
      <c r="A10" s="109" t="s">
        <v>180</v>
      </c>
      <c r="B10" s="110">
        <v>1</v>
      </c>
      <c r="C10" s="110">
        <v>1</v>
      </c>
      <c r="D10" s="111"/>
      <c r="E10" s="111"/>
      <c r="F10" s="110">
        <v>2</v>
      </c>
      <c r="G10" s="112">
        <v>50</v>
      </c>
      <c r="H10" s="112">
        <v>50</v>
      </c>
    </row>
    <row r="11" spans="1:8" ht="67.5" x14ac:dyDescent="0.25">
      <c r="A11" s="109" t="s">
        <v>181</v>
      </c>
      <c r="B11" s="110">
        <v>5</v>
      </c>
      <c r="C11" s="110">
        <v>2</v>
      </c>
      <c r="D11" s="111"/>
      <c r="E11" s="111"/>
      <c r="F11" s="110">
        <v>7</v>
      </c>
      <c r="G11" s="112">
        <v>71.430000000000007</v>
      </c>
      <c r="H11" s="112">
        <v>71.430000000000007</v>
      </c>
    </row>
    <row r="12" spans="1:8" ht="78.75" x14ac:dyDescent="0.25">
      <c r="A12" s="109" t="s">
        <v>182</v>
      </c>
      <c r="B12" s="110">
        <v>4</v>
      </c>
      <c r="C12" s="110">
        <v>2</v>
      </c>
      <c r="D12" s="111"/>
      <c r="E12" s="111"/>
      <c r="F12" s="110">
        <v>6</v>
      </c>
      <c r="G12" s="112">
        <v>66.67</v>
      </c>
      <c r="H12" s="112">
        <v>66.67</v>
      </c>
    </row>
    <row r="13" spans="1:8" ht="56.25" x14ac:dyDescent="0.25">
      <c r="A13" s="109" t="s">
        <v>213</v>
      </c>
      <c r="B13" s="110">
        <v>6</v>
      </c>
      <c r="C13" s="110">
        <v>1</v>
      </c>
      <c r="D13" s="111"/>
      <c r="E13" s="110">
        <v>2</v>
      </c>
      <c r="F13" s="110">
        <v>9</v>
      </c>
      <c r="G13" s="112">
        <v>85.71</v>
      </c>
      <c r="H13" s="112">
        <v>66.67</v>
      </c>
    </row>
    <row r="14" spans="1:8" ht="56.25" x14ac:dyDescent="0.25">
      <c r="A14" s="109" t="s">
        <v>214</v>
      </c>
      <c r="B14" s="110">
        <v>2</v>
      </c>
      <c r="C14" s="111"/>
      <c r="D14" s="111"/>
      <c r="E14" s="110">
        <v>1</v>
      </c>
      <c r="F14" s="110">
        <v>3</v>
      </c>
      <c r="G14" s="112">
        <v>100</v>
      </c>
      <c r="H14" s="112">
        <v>66.67</v>
      </c>
    </row>
    <row r="15" spans="1:8" ht="67.5" x14ac:dyDescent="0.25">
      <c r="A15" s="109" t="s">
        <v>190</v>
      </c>
      <c r="B15" s="110">
        <v>1</v>
      </c>
      <c r="C15" s="110">
        <v>1</v>
      </c>
      <c r="D15" s="111"/>
      <c r="E15" s="111"/>
      <c r="F15" s="110">
        <v>2</v>
      </c>
      <c r="G15" s="112">
        <v>50</v>
      </c>
      <c r="H15" s="112">
        <v>50</v>
      </c>
    </row>
    <row r="16" spans="1:8" ht="67.5" x14ac:dyDescent="0.25">
      <c r="A16" s="109" t="s">
        <v>184</v>
      </c>
      <c r="B16" s="110">
        <v>2</v>
      </c>
      <c r="C16" s="110">
        <v>1</v>
      </c>
      <c r="D16" s="111"/>
      <c r="E16" s="111"/>
      <c r="F16" s="110">
        <v>3</v>
      </c>
      <c r="G16" s="112">
        <v>66.67</v>
      </c>
      <c r="H16" s="112">
        <v>66.67</v>
      </c>
    </row>
    <row r="17" spans="1:8" ht="67.5" x14ac:dyDescent="0.25">
      <c r="A17" s="109" t="s">
        <v>183</v>
      </c>
      <c r="B17" s="110">
        <v>1</v>
      </c>
      <c r="C17" s="111"/>
      <c r="D17" s="111"/>
      <c r="E17" s="111"/>
      <c r="F17" s="110">
        <v>1</v>
      </c>
      <c r="G17" s="112">
        <v>100</v>
      </c>
      <c r="H17" s="112">
        <v>100</v>
      </c>
    </row>
    <row r="18" spans="1:8" ht="67.5" x14ac:dyDescent="0.25">
      <c r="A18" s="109" t="s">
        <v>215</v>
      </c>
      <c r="B18" s="110">
        <v>2</v>
      </c>
      <c r="C18" s="110">
        <v>3</v>
      </c>
      <c r="D18" s="111"/>
      <c r="E18" s="111"/>
      <c r="F18" s="110">
        <v>5</v>
      </c>
      <c r="G18" s="112">
        <v>40</v>
      </c>
      <c r="H18" s="112">
        <v>40</v>
      </c>
    </row>
    <row r="19" spans="1:8" ht="67.5" x14ac:dyDescent="0.25">
      <c r="A19" s="109" t="s">
        <v>216</v>
      </c>
      <c r="B19" s="110">
        <v>1</v>
      </c>
      <c r="C19" s="110">
        <v>3</v>
      </c>
      <c r="D19" s="111"/>
      <c r="E19" s="110">
        <v>1</v>
      </c>
      <c r="F19" s="110">
        <v>5</v>
      </c>
      <c r="G19" s="112">
        <v>25</v>
      </c>
      <c r="H19" s="112">
        <v>20</v>
      </c>
    </row>
    <row r="20" spans="1:8" ht="67.5" x14ac:dyDescent="0.25">
      <c r="A20" s="109" t="s">
        <v>217</v>
      </c>
      <c r="B20" s="110">
        <v>0</v>
      </c>
      <c r="C20" s="111"/>
      <c r="D20" s="111"/>
      <c r="E20" s="110">
        <v>1</v>
      </c>
      <c r="F20" s="110">
        <v>1</v>
      </c>
      <c r="G20" s="111"/>
      <c r="H20" s="112">
        <v>0</v>
      </c>
    </row>
    <row r="21" spans="1:8" ht="67.5" x14ac:dyDescent="0.25">
      <c r="A21" s="109" t="s">
        <v>218</v>
      </c>
      <c r="B21" s="110">
        <v>1</v>
      </c>
      <c r="C21" s="110">
        <v>1</v>
      </c>
      <c r="D21" s="111"/>
      <c r="E21" s="111"/>
      <c r="F21" s="110">
        <v>2</v>
      </c>
      <c r="G21" s="112">
        <v>50</v>
      </c>
      <c r="H21" s="112">
        <v>50</v>
      </c>
    </row>
    <row r="22" spans="1:8" ht="67.5" x14ac:dyDescent="0.25">
      <c r="A22" s="109" t="s">
        <v>219</v>
      </c>
      <c r="B22" s="110">
        <v>1</v>
      </c>
      <c r="C22" s="111"/>
      <c r="D22" s="111"/>
      <c r="E22" s="111"/>
      <c r="F22" s="110">
        <v>1</v>
      </c>
      <c r="G22" s="112">
        <v>100</v>
      </c>
      <c r="H22" s="112">
        <v>100</v>
      </c>
    </row>
    <row r="23" spans="1:8" ht="90" x14ac:dyDescent="0.25">
      <c r="A23" s="109" t="s">
        <v>191</v>
      </c>
      <c r="B23" s="110">
        <v>80</v>
      </c>
      <c r="C23" s="110">
        <v>21</v>
      </c>
      <c r="D23" s="111"/>
      <c r="E23" s="110">
        <v>1</v>
      </c>
      <c r="F23" s="110">
        <v>102</v>
      </c>
      <c r="G23" s="112">
        <v>79.209999999999994</v>
      </c>
      <c r="H23" s="112">
        <v>78.430000000000007</v>
      </c>
    </row>
    <row r="24" spans="1:8" ht="90" x14ac:dyDescent="0.25">
      <c r="A24" s="109" t="s">
        <v>192</v>
      </c>
      <c r="B24" s="110">
        <v>17</v>
      </c>
      <c r="C24" s="110">
        <v>5</v>
      </c>
      <c r="D24" s="111"/>
      <c r="E24" s="110">
        <v>1</v>
      </c>
      <c r="F24" s="110">
        <v>23</v>
      </c>
      <c r="G24" s="112">
        <v>77.27</v>
      </c>
      <c r="H24" s="112">
        <v>73.91</v>
      </c>
    </row>
    <row r="25" spans="1:8" ht="90" x14ac:dyDescent="0.25">
      <c r="A25" s="109" t="s">
        <v>193</v>
      </c>
      <c r="B25" s="110">
        <v>2</v>
      </c>
      <c r="C25" s="110">
        <v>2</v>
      </c>
      <c r="D25" s="111"/>
      <c r="E25" s="110">
        <v>1</v>
      </c>
      <c r="F25" s="110">
        <v>5</v>
      </c>
      <c r="G25" s="112">
        <v>50</v>
      </c>
      <c r="H25" s="112">
        <v>40</v>
      </c>
    </row>
    <row r="26" spans="1:8" ht="90" x14ac:dyDescent="0.25">
      <c r="A26" s="109" t="s">
        <v>194</v>
      </c>
      <c r="B26" s="110">
        <v>0</v>
      </c>
      <c r="C26" s="110">
        <v>3</v>
      </c>
      <c r="D26" s="111"/>
      <c r="E26" s="110">
        <v>1</v>
      </c>
      <c r="F26" s="110">
        <v>4</v>
      </c>
      <c r="G26" s="111"/>
      <c r="H26" s="112">
        <v>0</v>
      </c>
    </row>
    <row r="27" spans="1:8" ht="67.5" x14ac:dyDescent="0.25">
      <c r="A27" s="109" t="s">
        <v>195</v>
      </c>
      <c r="B27" s="110">
        <v>2</v>
      </c>
      <c r="C27" s="111"/>
      <c r="D27" s="111"/>
      <c r="E27" s="111"/>
      <c r="F27" s="110">
        <v>2</v>
      </c>
      <c r="G27" s="112">
        <v>100</v>
      </c>
      <c r="H27" s="112">
        <v>100</v>
      </c>
    </row>
    <row r="28" spans="1:8" ht="67.5" x14ac:dyDescent="0.25">
      <c r="A28" s="109" t="s">
        <v>196</v>
      </c>
      <c r="B28" s="110">
        <v>1</v>
      </c>
      <c r="C28" s="111"/>
      <c r="D28" s="111"/>
      <c r="E28" s="111"/>
      <c r="F28" s="110">
        <v>1</v>
      </c>
      <c r="G28" s="112">
        <v>100</v>
      </c>
      <c r="H28" s="112">
        <v>100</v>
      </c>
    </row>
    <row r="29" spans="1:8" ht="67.5" x14ac:dyDescent="0.25">
      <c r="A29" s="109" t="s">
        <v>197</v>
      </c>
      <c r="B29" s="110">
        <v>2</v>
      </c>
      <c r="C29" s="110">
        <v>1</v>
      </c>
      <c r="D29" s="111"/>
      <c r="E29" s="111"/>
      <c r="F29" s="110">
        <v>3</v>
      </c>
      <c r="G29" s="112">
        <v>66.67</v>
      </c>
      <c r="H29" s="112">
        <v>66.67</v>
      </c>
    </row>
    <row r="30" spans="1:8" ht="67.5" x14ac:dyDescent="0.25">
      <c r="A30" s="109" t="s">
        <v>198</v>
      </c>
      <c r="B30" s="110">
        <v>0</v>
      </c>
      <c r="C30" s="110">
        <v>2</v>
      </c>
      <c r="D30" s="111"/>
      <c r="E30" s="111"/>
      <c r="F30" s="110">
        <v>2</v>
      </c>
      <c r="G30" s="111"/>
      <c r="H30" s="112">
        <v>0</v>
      </c>
    </row>
    <row r="31" spans="1:8" ht="90" x14ac:dyDescent="0.25">
      <c r="A31" s="109" t="s">
        <v>199</v>
      </c>
      <c r="B31" s="110">
        <v>1</v>
      </c>
      <c r="C31" s="111"/>
      <c r="D31" s="111"/>
      <c r="E31" s="110">
        <v>1</v>
      </c>
      <c r="F31" s="110">
        <v>2</v>
      </c>
      <c r="G31" s="112">
        <v>100</v>
      </c>
      <c r="H31" s="112">
        <v>50</v>
      </c>
    </row>
    <row r="32" spans="1:8" ht="90" x14ac:dyDescent="0.25">
      <c r="A32" s="109" t="s">
        <v>200</v>
      </c>
      <c r="B32" s="110">
        <v>1</v>
      </c>
      <c r="C32" s="110">
        <v>1</v>
      </c>
      <c r="D32" s="111"/>
      <c r="E32" s="111"/>
      <c r="F32" s="110">
        <v>2</v>
      </c>
      <c r="G32" s="112">
        <v>50</v>
      </c>
      <c r="H32" s="112">
        <v>50</v>
      </c>
    </row>
    <row r="33" spans="1:8" ht="67.5" x14ac:dyDescent="0.25">
      <c r="A33" s="109" t="s">
        <v>201</v>
      </c>
      <c r="B33" s="110">
        <v>6</v>
      </c>
      <c r="C33" s="110">
        <v>3</v>
      </c>
      <c r="D33" s="111"/>
      <c r="E33" s="111"/>
      <c r="F33" s="110">
        <v>9</v>
      </c>
      <c r="G33" s="112">
        <v>66.67</v>
      </c>
      <c r="H33" s="112">
        <v>66.67</v>
      </c>
    </row>
    <row r="34" spans="1:8" ht="67.5" x14ac:dyDescent="0.25">
      <c r="A34" s="109" t="s">
        <v>202</v>
      </c>
      <c r="B34" s="110">
        <v>1</v>
      </c>
      <c r="C34" s="111"/>
      <c r="D34" s="111"/>
      <c r="E34" s="111"/>
      <c r="F34" s="110">
        <v>1</v>
      </c>
      <c r="G34" s="112">
        <v>100</v>
      </c>
      <c r="H34" s="112">
        <v>100</v>
      </c>
    </row>
    <row r="35" spans="1:8" ht="67.5" x14ac:dyDescent="0.25">
      <c r="A35" s="109" t="s">
        <v>203</v>
      </c>
      <c r="B35" s="110">
        <v>0</v>
      </c>
      <c r="C35" s="110">
        <v>1</v>
      </c>
      <c r="D35" s="111"/>
      <c r="E35" s="111"/>
      <c r="F35" s="110">
        <v>1</v>
      </c>
      <c r="G35" s="111"/>
      <c r="H35" s="112">
        <v>0</v>
      </c>
    </row>
    <row r="36" spans="1:8" ht="78.75" x14ac:dyDescent="0.25">
      <c r="A36" s="109" t="s">
        <v>207</v>
      </c>
      <c r="B36" s="110">
        <v>5</v>
      </c>
      <c r="C36" s="111"/>
      <c r="D36" s="111"/>
      <c r="E36" s="111"/>
      <c r="F36" s="110">
        <v>5</v>
      </c>
      <c r="G36" s="112">
        <v>100</v>
      </c>
      <c r="H36" s="112">
        <v>100</v>
      </c>
    </row>
    <row r="37" spans="1:8" ht="67.5" x14ac:dyDescent="0.25">
      <c r="A37" s="109" t="s">
        <v>6</v>
      </c>
      <c r="B37" s="110">
        <v>16</v>
      </c>
      <c r="C37" s="110">
        <v>1</v>
      </c>
      <c r="D37" s="111"/>
      <c r="E37" s="111"/>
      <c r="F37" s="110">
        <v>17</v>
      </c>
      <c r="G37" s="112">
        <v>94.12</v>
      </c>
      <c r="H37" s="112">
        <v>94.12</v>
      </c>
    </row>
    <row r="38" spans="1:8" ht="67.5" x14ac:dyDescent="0.25">
      <c r="A38" s="109" t="s">
        <v>7</v>
      </c>
      <c r="B38" s="110">
        <v>9</v>
      </c>
      <c r="C38" s="110">
        <v>4</v>
      </c>
      <c r="D38" s="111"/>
      <c r="E38" s="111"/>
      <c r="F38" s="110">
        <v>13</v>
      </c>
      <c r="G38" s="112">
        <v>69.23</v>
      </c>
      <c r="H38" s="112">
        <v>69.23</v>
      </c>
    </row>
    <row r="39" spans="1:8" ht="67.5" x14ac:dyDescent="0.25">
      <c r="A39" s="109" t="s">
        <v>8</v>
      </c>
      <c r="B39" s="110">
        <v>13</v>
      </c>
      <c r="C39" s="111"/>
      <c r="D39" s="111"/>
      <c r="E39" s="111"/>
      <c r="F39" s="110">
        <v>13</v>
      </c>
      <c r="G39" s="112">
        <v>100</v>
      </c>
      <c r="H39" s="112">
        <v>100</v>
      </c>
    </row>
    <row r="40" spans="1:8" ht="67.5" x14ac:dyDescent="0.25">
      <c r="A40" s="109" t="s">
        <v>9</v>
      </c>
      <c r="B40" s="110">
        <v>76</v>
      </c>
      <c r="C40" s="110">
        <v>10</v>
      </c>
      <c r="D40" s="111"/>
      <c r="E40" s="110">
        <v>1</v>
      </c>
      <c r="F40" s="110">
        <v>87</v>
      </c>
      <c r="G40" s="112">
        <v>88.37</v>
      </c>
      <c r="H40" s="112">
        <v>87.36</v>
      </c>
    </row>
    <row r="41" spans="1:8" ht="67.5" x14ac:dyDescent="0.25">
      <c r="A41" s="109" t="s">
        <v>10</v>
      </c>
      <c r="B41" s="110">
        <v>11</v>
      </c>
      <c r="C41" s="110">
        <v>3</v>
      </c>
      <c r="D41" s="111"/>
      <c r="E41" s="110">
        <v>1</v>
      </c>
      <c r="F41" s="110">
        <v>15</v>
      </c>
      <c r="G41" s="112">
        <v>78.569999999999993</v>
      </c>
      <c r="H41" s="112">
        <v>73.33</v>
      </c>
    </row>
    <row r="42" spans="1:8" ht="67.5" x14ac:dyDescent="0.25">
      <c r="A42" s="109" t="s">
        <v>11</v>
      </c>
      <c r="B42" s="110">
        <v>18</v>
      </c>
      <c r="C42" s="110">
        <v>6</v>
      </c>
      <c r="D42" s="111"/>
      <c r="E42" s="111"/>
      <c r="F42" s="110">
        <v>24</v>
      </c>
      <c r="G42" s="112">
        <v>75</v>
      </c>
      <c r="H42" s="112">
        <v>75</v>
      </c>
    </row>
    <row r="43" spans="1:8" ht="78.75" x14ac:dyDescent="0.25">
      <c r="A43" s="109" t="s">
        <v>12</v>
      </c>
      <c r="B43" s="110">
        <v>9</v>
      </c>
      <c r="C43" s="110">
        <v>7</v>
      </c>
      <c r="D43" s="111"/>
      <c r="E43" s="111"/>
      <c r="F43" s="110">
        <v>16</v>
      </c>
      <c r="G43" s="112">
        <v>56.25</v>
      </c>
      <c r="H43" s="112">
        <v>56.25</v>
      </c>
    </row>
    <row r="44" spans="1:8" ht="67.5" x14ac:dyDescent="0.25">
      <c r="A44" s="109" t="s">
        <v>13</v>
      </c>
      <c r="B44" s="110">
        <v>5</v>
      </c>
      <c r="C44" s="110">
        <v>1</v>
      </c>
      <c r="D44" s="111"/>
      <c r="E44" s="111"/>
      <c r="F44" s="110">
        <v>6</v>
      </c>
      <c r="G44" s="112">
        <v>83.33</v>
      </c>
      <c r="H44" s="112">
        <v>83.33</v>
      </c>
    </row>
    <row r="45" spans="1:8" ht="67.5" x14ac:dyDescent="0.25">
      <c r="A45" s="109" t="s">
        <v>14</v>
      </c>
      <c r="B45" s="110">
        <v>45</v>
      </c>
      <c r="C45" s="110">
        <v>21</v>
      </c>
      <c r="D45" s="111"/>
      <c r="E45" s="110">
        <v>3</v>
      </c>
      <c r="F45" s="110">
        <v>69</v>
      </c>
      <c r="G45" s="112">
        <v>68.180000000000007</v>
      </c>
      <c r="H45" s="112">
        <v>65.22</v>
      </c>
    </row>
    <row r="46" spans="1:8" ht="67.5" x14ac:dyDescent="0.25">
      <c r="A46" s="109" t="s">
        <v>15</v>
      </c>
      <c r="B46" s="110">
        <v>5</v>
      </c>
      <c r="C46" s="110">
        <v>7</v>
      </c>
      <c r="D46" s="111"/>
      <c r="E46" s="111"/>
      <c r="F46" s="110">
        <v>12</v>
      </c>
      <c r="G46" s="112">
        <v>41.67</v>
      </c>
      <c r="H46" s="112">
        <v>41.67</v>
      </c>
    </row>
    <row r="47" spans="1:8" ht="67.5" x14ac:dyDescent="0.25">
      <c r="A47" s="109" t="s">
        <v>16</v>
      </c>
      <c r="B47" s="110">
        <v>9</v>
      </c>
      <c r="C47" s="111"/>
      <c r="D47" s="111"/>
      <c r="E47" s="111"/>
      <c r="F47" s="110">
        <v>9</v>
      </c>
      <c r="G47" s="112">
        <v>100</v>
      </c>
      <c r="H47" s="112">
        <v>100</v>
      </c>
    </row>
    <row r="48" spans="1:8" ht="67.5" x14ac:dyDescent="0.25">
      <c r="A48" s="109" t="s">
        <v>17</v>
      </c>
      <c r="B48" s="110">
        <v>35</v>
      </c>
      <c r="C48" s="110">
        <v>16</v>
      </c>
      <c r="D48" s="111"/>
      <c r="E48" s="110">
        <v>2</v>
      </c>
      <c r="F48" s="110">
        <v>53</v>
      </c>
      <c r="G48" s="112">
        <v>68.63</v>
      </c>
      <c r="H48" s="112">
        <v>66.040000000000006</v>
      </c>
    </row>
    <row r="49" spans="1:8" ht="67.5" x14ac:dyDescent="0.25">
      <c r="A49" s="109" t="s">
        <v>18</v>
      </c>
      <c r="B49" s="110">
        <v>9</v>
      </c>
      <c r="C49" s="110">
        <v>3</v>
      </c>
      <c r="D49" s="111"/>
      <c r="E49" s="110">
        <v>1</v>
      </c>
      <c r="F49" s="110">
        <v>13</v>
      </c>
      <c r="G49" s="112">
        <v>75</v>
      </c>
      <c r="H49" s="112">
        <v>69.23</v>
      </c>
    </row>
    <row r="50" spans="1:8" ht="67.5" x14ac:dyDescent="0.25">
      <c r="A50" s="109" t="s">
        <v>19</v>
      </c>
      <c r="B50" s="110">
        <v>13</v>
      </c>
      <c r="C50" s="110">
        <v>7</v>
      </c>
      <c r="D50" s="111"/>
      <c r="E50" s="110">
        <v>2</v>
      </c>
      <c r="F50" s="110">
        <v>22</v>
      </c>
      <c r="G50" s="112">
        <v>65</v>
      </c>
      <c r="H50" s="112">
        <v>59.09</v>
      </c>
    </row>
    <row r="51" spans="1:8" ht="67.5" x14ac:dyDescent="0.25">
      <c r="A51" s="109" t="s">
        <v>20</v>
      </c>
      <c r="B51" s="110">
        <v>65</v>
      </c>
      <c r="C51" s="110">
        <v>5</v>
      </c>
      <c r="D51" s="111"/>
      <c r="E51" s="111"/>
      <c r="F51" s="110">
        <v>70</v>
      </c>
      <c r="G51" s="112">
        <v>92.86</v>
      </c>
      <c r="H51" s="112">
        <v>92.86</v>
      </c>
    </row>
    <row r="52" spans="1:8" ht="67.5" x14ac:dyDescent="0.25">
      <c r="A52" s="109" t="s">
        <v>21</v>
      </c>
      <c r="B52" s="110">
        <v>84</v>
      </c>
      <c r="C52" s="110">
        <v>29</v>
      </c>
      <c r="D52" s="111"/>
      <c r="E52" s="110">
        <v>1</v>
      </c>
      <c r="F52" s="110">
        <v>114</v>
      </c>
      <c r="G52" s="112">
        <v>74.34</v>
      </c>
      <c r="H52" s="112">
        <v>73.680000000000007</v>
      </c>
    </row>
    <row r="53" spans="1:8" ht="67.5" x14ac:dyDescent="0.25">
      <c r="A53" s="109" t="s">
        <v>23</v>
      </c>
      <c r="B53" s="110">
        <v>1</v>
      </c>
      <c r="C53" s="110">
        <v>4</v>
      </c>
      <c r="D53" s="111"/>
      <c r="E53" s="111"/>
      <c r="F53" s="110">
        <v>5</v>
      </c>
      <c r="G53" s="112">
        <v>20</v>
      </c>
      <c r="H53" s="112">
        <v>20</v>
      </c>
    </row>
    <row r="54" spans="1:8" ht="67.5" x14ac:dyDescent="0.25">
      <c r="A54" s="109" t="s">
        <v>24</v>
      </c>
      <c r="B54" s="110">
        <v>41</v>
      </c>
      <c r="C54" s="110">
        <v>9</v>
      </c>
      <c r="D54" s="111"/>
      <c r="E54" s="110">
        <v>1</v>
      </c>
      <c r="F54" s="110">
        <v>51</v>
      </c>
      <c r="G54" s="112">
        <v>82</v>
      </c>
      <c r="H54" s="112">
        <v>80.39</v>
      </c>
    </row>
    <row r="55" spans="1:8" ht="67.5" x14ac:dyDescent="0.25">
      <c r="A55" s="109" t="s">
        <v>25</v>
      </c>
      <c r="B55" s="110">
        <v>1</v>
      </c>
      <c r="C55" s="111"/>
      <c r="D55" s="111"/>
      <c r="E55" s="111"/>
      <c r="F55" s="110">
        <v>1</v>
      </c>
      <c r="G55" s="112">
        <v>100</v>
      </c>
      <c r="H55" s="112">
        <v>100</v>
      </c>
    </row>
    <row r="56" spans="1:8" ht="67.5" x14ac:dyDescent="0.25">
      <c r="A56" s="109" t="s">
        <v>26</v>
      </c>
      <c r="B56" s="110">
        <v>137</v>
      </c>
      <c r="C56" s="110">
        <v>39</v>
      </c>
      <c r="D56" s="110">
        <v>1</v>
      </c>
      <c r="E56" s="110">
        <v>2</v>
      </c>
      <c r="F56" s="110">
        <v>179</v>
      </c>
      <c r="G56" s="112">
        <v>77.400000000000006</v>
      </c>
      <c r="H56" s="112">
        <v>76.540000000000006</v>
      </c>
    </row>
    <row r="57" spans="1:8" ht="67.5" x14ac:dyDescent="0.25">
      <c r="A57" s="109" t="s">
        <v>27</v>
      </c>
      <c r="B57" s="110">
        <v>170</v>
      </c>
      <c r="C57" s="110">
        <v>38</v>
      </c>
      <c r="D57" s="111"/>
      <c r="E57" s="110">
        <v>3</v>
      </c>
      <c r="F57" s="110">
        <v>211</v>
      </c>
      <c r="G57" s="112">
        <v>81.73</v>
      </c>
      <c r="H57" s="112">
        <v>80.569999999999993</v>
      </c>
    </row>
    <row r="58" spans="1:8" ht="67.5" x14ac:dyDescent="0.25">
      <c r="A58" s="109" t="s">
        <v>28</v>
      </c>
      <c r="B58" s="110">
        <v>104</v>
      </c>
      <c r="C58" s="110">
        <v>33</v>
      </c>
      <c r="D58" s="111"/>
      <c r="E58" s="110">
        <v>2</v>
      </c>
      <c r="F58" s="110">
        <v>139</v>
      </c>
      <c r="G58" s="112">
        <v>75.91</v>
      </c>
      <c r="H58" s="112">
        <v>74.819999999999993</v>
      </c>
    </row>
    <row r="59" spans="1:8" ht="67.5" x14ac:dyDescent="0.25">
      <c r="A59" s="109" t="s">
        <v>29</v>
      </c>
      <c r="B59" s="110">
        <v>118</v>
      </c>
      <c r="C59" s="110">
        <v>18</v>
      </c>
      <c r="D59" s="111"/>
      <c r="E59" s="110">
        <v>4</v>
      </c>
      <c r="F59" s="110">
        <v>140</v>
      </c>
      <c r="G59" s="112">
        <v>86.76</v>
      </c>
      <c r="H59" s="112">
        <v>84.29</v>
      </c>
    </row>
    <row r="60" spans="1:8" ht="90" x14ac:dyDescent="0.25">
      <c r="A60" s="109" t="s">
        <v>185</v>
      </c>
      <c r="B60" s="110">
        <v>20</v>
      </c>
      <c r="C60" s="110">
        <v>2</v>
      </c>
      <c r="D60" s="111"/>
      <c r="E60" s="110">
        <v>1</v>
      </c>
      <c r="F60" s="110">
        <v>23</v>
      </c>
      <c r="G60" s="112">
        <v>90.91</v>
      </c>
      <c r="H60" s="112">
        <v>86.96</v>
      </c>
    </row>
    <row r="61" spans="1:8" ht="67.5" x14ac:dyDescent="0.25">
      <c r="A61" s="109" t="s">
        <v>30</v>
      </c>
      <c r="B61" s="110">
        <v>14</v>
      </c>
      <c r="C61" s="110">
        <v>9</v>
      </c>
      <c r="D61" s="111"/>
      <c r="E61" s="111"/>
      <c r="F61" s="110">
        <v>23</v>
      </c>
      <c r="G61" s="112">
        <v>60.87</v>
      </c>
      <c r="H61" s="112">
        <v>60.87</v>
      </c>
    </row>
    <row r="62" spans="1:8" ht="78.75" x14ac:dyDescent="0.25">
      <c r="A62" s="109" t="s">
        <v>31</v>
      </c>
      <c r="B62" s="110">
        <v>5</v>
      </c>
      <c r="C62" s="110">
        <v>8</v>
      </c>
      <c r="D62" s="111"/>
      <c r="E62" s="111"/>
      <c r="F62" s="110">
        <v>13</v>
      </c>
      <c r="G62" s="112">
        <v>38.46</v>
      </c>
      <c r="H62" s="112">
        <v>38.46</v>
      </c>
    </row>
    <row r="63" spans="1:8" ht="67.5" x14ac:dyDescent="0.25">
      <c r="A63" s="109" t="s">
        <v>32</v>
      </c>
      <c r="B63" s="110">
        <v>5</v>
      </c>
      <c r="C63" s="110">
        <v>2</v>
      </c>
      <c r="D63" s="111"/>
      <c r="E63" s="111"/>
      <c r="F63" s="110">
        <v>7</v>
      </c>
      <c r="G63" s="112">
        <v>71.430000000000007</v>
      </c>
      <c r="H63" s="112">
        <v>71.430000000000007</v>
      </c>
    </row>
    <row r="64" spans="1:8" ht="67.5" x14ac:dyDescent="0.25">
      <c r="A64" s="109" t="s">
        <v>33</v>
      </c>
      <c r="B64" s="110">
        <v>11</v>
      </c>
      <c r="C64" s="110">
        <v>4</v>
      </c>
      <c r="D64" s="111"/>
      <c r="E64" s="111"/>
      <c r="F64" s="110">
        <v>15</v>
      </c>
      <c r="G64" s="112">
        <v>73.33</v>
      </c>
      <c r="H64" s="112">
        <v>73.33</v>
      </c>
    </row>
    <row r="65" spans="1:8" ht="78.75" x14ac:dyDescent="0.25">
      <c r="A65" s="109" t="s">
        <v>34</v>
      </c>
      <c r="B65" s="110">
        <v>19</v>
      </c>
      <c r="C65" s="110">
        <v>9</v>
      </c>
      <c r="D65" s="111"/>
      <c r="E65" s="111"/>
      <c r="F65" s="110">
        <v>28</v>
      </c>
      <c r="G65" s="112">
        <v>67.86</v>
      </c>
      <c r="H65" s="112">
        <v>67.86</v>
      </c>
    </row>
    <row r="66" spans="1:8" ht="78.75" x14ac:dyDescent="0.25">
      <c r="A66" s="109" t="s">
        <v>35</v>
      </c>
      <c r="B66" s="110">
        <v>36</v>
      </c>
      <c r="C66" s="110">
        <v>11</v>
      </c>
      <c r="D66" s="111"/>
      <c r="E66" s="111"/>
      <c r="F66" s="110">
        <v>47</v>
      </c>
      <c r="G66" s="112">
        <v>76.599999999999994</v>
      </c>
      <c r="H66" s="112">
        <v>76.599999999999994</v>
      </c>
    </row>
    <row r="67" spans="1:8" ht="78.75" x14ac:dyDescent="0.25">
      <c r="A67" s="109" t="s">
        <v>36</v>
      </c>
      <c r="B67" s="110">
        <v>2</v>
      </c>
      <c r="C67" s="111"/>
      <c r="D67" s="111"/>
      <c r="E67" s="111"/>
      <c r="F67" s="110">
        <v>2</v>
      </c>
      <c r="G67" s="112">
        <v>100</v>
      </c>
      <c r="H67" s="112">
        <v>100</v>
      </c>
    </row>
    <row r="68" spans="1:8" ht="78.75" x14ac:dyDescent="0.25">
      <c r="A68" s="109" t="s">
        <v>37</v>
      </c>
      <c r="B68" s="110">
        <v>29</v>
      </c>
      <c r="C68" s="110">
        <v>8</v>
      </c>
      <c r="D68" s="111"/>
      <c r="E68" s="111"/>
      <c r="F68" s="110">
        <v>37</v>
      </c>
      <c r="G68" s="112">
        <v>78.38</v>
      </c>
      <c r="H68" s="112">
        <v>78.38</v>
      </c>
    </row>
    <row r="69" spans="1:8" ht="78.75" x14ac:dyDescent="0.25">
      <c r="A69" s="109" t="s">
        <v>38</v>
      </c>
      <c r="B69" s="110">
        <v>23</v>
      </c>
      <c r="C69" s="110">
        <v>4</v>
      </c>
      <c r="D69" s="111"/>
      <c r="E69" s="111"/>
      <c r="F69" s="110">
        <v>27</v>
      </c>
      <c r="G69" s="112">
        <v>85.19</v>
      </c>
      <c r="H69" s="112">
        <v>85.19</v>
      </c>
    </row>
    <row r="70" spans="1:8" ht="78.75" x14ac:dyDescent="0.25">
      <c r="A70" s="109" t="s">
        <v>39</v>
      </c>
      <c r="B70" s="110">
        <v>3</v>
      </c>
      <c r="C70" s="110">
        <v>4</v>
      </c>
      <c r="D70" s="111"/>
      <c r="E70" s="111"/>
      <c r="F70" s="110">
        <v>7</v>
      </c>
      <c r="G70" s="112">
        <v>42.86</v>
      </c>
      <c r="H70" s="112">
        <v>42.86</v>
      </c>
    </row>
    <row r="71" spans="1:8" ht="78.75" x14ac:dyDescent="0.25">
      <c r="A71" s="109" t="s">
        <v>40</v>
      </c>
      <c r="B71" s="110">
        <v>12</v>
      </c>
      <c r="C71" s="110">
        <v>15</v>
      </c>
      <c r="D71" s="111"/>
      <c r="E71" s="111"/>
      <c r="F71" s="110">
        <v>27</v>
      </c>
      <c r="G71" s="112">
        <v>44.44</v>
      </c>
      <c r="H71" s="112">
        <v>44.44</v>
      </c>
    </row>
    <row r="72" spans="1:8" ht="67.5" x14ac:dyDescent="0.25">
      <c r="A72" s="109" t="s">
        <v>42</v>
      </c>
      <c r="B72" s="110">
        <v>5</v>
      </c>
      <c r="C72" s="110">
        <v>2</v>
      </c>
      <c r="D72" s="111"/>
      <c r="E72" s="110">
        <v>1</v>
      </c>
      <c r="F72" s="110">
        <v>8</v>
      </c>
      <c r="G72" s="112">
        <v>71.430000000000007</v>
      </c>
      <c r="H72" s="112">
        <v>62.5</v>
      </c>
    </row>
    <row r="73" spans="1:8" ht="67.5" x14ac:dyDescent="0.25">
      <c r="A73" s="109" t="s">
        <v>43</v>
      </c>
      <c r="B73" s="110">
        <v>11</v>
      </c>
      <c r="C73" s="110">
        <v>5</v>
      </c>
      <c r="D73" s="111"/>
      <c r="E73" s="111"/>
      <c r="F73" s="110">
        <v>16</v>
      </c>
      <c r="G73" s="112">
        <v>68.75</v>
      </c>
      <c r="H73" s="112">
        <v>68.75</v>
      </c>
    </row>
    <row r="74" spans="1:8" ht="78.75" x14ac:dyDescent="0.25">
      <c r="A74" s="109" t="s">
        <v>204</v>
      </c>
      <c r="B74" s="110">
        <v>2</v>
      </c>
      <c r="C74" s="111"/>
      <c r="D74" s="111"/>
      <c r="E74" s="110">
        <v>1</v>
      </c>
      <c r="F74" s="110">
        <v>3</v>
      </c>
      <c r="G74" s="112">
        <v>100</v>
      </c>
      <c r="H74" s="112">
        <v>66.67</v>
      </c>
    </row>
    <row r="75" spans="1:8" ht="78.75" x14ac:dyDescent="0.25">
      <c r="A75" s="109" t="s">
        <v>205</v>
      </c>
      <c r="B75" s="110">
        <v>0</v>
      </c>
      <c r="C75" s="111"/>
      <c r="D75" s="111"/>
      <c r="E75" s="110">
        <v>1</v>
      </c>
      <c r="F75" s="110">
        <v>1</v>
      </c>
      <c r="G75" s="111"/>
      <c r="H75" s="112">
        <v>0</v>
      </c>
    </row>
    <row r="76" spans="1:8" ht="90" x14ac:dyDescent="0.25">
      <c r="A76" s="109" t="s">
        <v>206</v>
      </c>
      <c r="B76" s="110">
        <v>0</v>
      </c>
      <c r="C76" s="111"/>
      <c r="D76" s="111"/>
      <c r="E76" s="110">
        <v>1</v>
      </c>
      <c r="F76" s="110">
        <v>1</v>
      </c>
      <c r="G76" s="111"/>
      <c r="H76" s="112">
        <v>0</v>
      </c>
    </row>
    <row r="77" spans="1:8" ht="78.75" x14ac:dyDescent="0.25">
      <c r="A77" s="109" t="s">
        <v>46</v>
      </c>
      <c r="B77" s="110">
        <v>2</v>
      </c>
      <c r="C77" s="111"/>
      <c r="D77" s="111"/>
      <c r="E77" s="111"/>
      <c r="F77" s="110">
        <v>2</v>
      </c>
      <c r="G77" s="112">
        <v>100</v>
      </c>
      <c r="H77" s="112">
        <v>100</v>
      </c>
    </row>
    <row r="78" spans="1:8" ht="78.75" x14ac:dyDescent="0.25">
      <c r="A78" s="109" t="s">
        <v>47</v>
      </c>
      <c r="B78" s="110">
        <v>77</v>
      </c>
      <c r="C78" s="110">
        <v>45</v>
      </c>
      <c r="D78" s="111"/>
      <c r="E78" s="111"/>
      <c r="F78" s="110">
        <v>122</v>
      </c>
      <c r="G78" s="112">
        <v>63.11</v>
      </c>
      <c r="H78" s="112">
        <v>63.11</v>
      </c>
    </row>
    <row r="79" spans="1:8" ht="78.75" x14ac:dyDescent="0.25">
      <c r="A79" s="109" t="s">
        <v>48</v>
      </c>
      <c r="B79" s="110">
        <v>7</v>
      </c>
      <c r="C79" s="110">
        <v>4</v>
      </c>
      <c r="D79" s="111"/>
      <c r="E79" s="111"/>
      <c r="F79" s="110">
        <v>11</v>
      </c>
      <c r="G79" s="112">
        <v>63.64</v>
      </c>
      <c r="H79" s="112">
        <v>63.64</v>
      </c>
    </row>
    <row r="80" spans="1:8" ht="78.75" x14ac:dyDescent="0.25">
      <c r="A80" s="109" t="s">
        <v>49</v>
      </c>
      <c r="B80" s="110">
        <v>22</v>
      </c>
      <c r="C80" s="110">
        <v>11</v>
      </c>
      <c r="D80" s="111"/>
      <c r="E80" s="111"/>
      <c r="F80" s="110">
        <v>33</v>
      </c>
      <c r="G80" s="112">
        <v>66.67</v>
      </c>
      <c r="H80" s="112">
        <v>66.67</v>
      </c>
    </row>
    <row r="81" spans="1:8" ht="67.5" x14ac:dyDescent="0.25">
      <c r="A81" s="109" t="s">
        <v>50</v>
      </c>
      <c r="B81" s="110">
        <v>0</v>
      </c>
      <c r="C81" s="110">
        <v>1</v>
      </c>
      <c r="D81" s="111"/>
      <c r="E81" s="111"/>
      <c r="F81" s="110">
        <v>1</v>
      </c>
      <c r="G81" s="111"/>
      <c r="H81" s="112">
        <v>0</v>
      </c>
    </row>
    <row r="82" spans="1:8" ht="67.5" x14ac:dyDescent="0.25">
      <c r="A82" s="109" t="s">
        <v>51</v>
      </c>
      <c r="B82" s="110">
        <v>10</v>
      </c>
      <c r="C82" s="110">
        <v>5</v>
      </c>
      <c r="D82" s="110">
        <v>1</v>
      </c>
      <c r="E82" s="111"/>
      <c r="F82" s="110">
        <v>16</v>
      </c>
      <c r="G82" s="112">
        <v>62.5</v>
      </c>
      <c r="H82" s="112">
        <v>62.5</v>
      </c>
    </row>
    <row r="83" spans="1:8" ht="67.5" x14ac:dyDescent="0.25">
      <c r="A83" s="109" t="s">
        <v>52</v>
      </c>
      <c r="B83" s="110">
        <v>7</v>
      </c>
      <c r="C83" s="110">
        <v>1</v>
      </c>
      <c r="D83" s="110">
        <v>1</v>
      </c>
      <c r="E83" s="111"/>
      <c r="F83" s="110">
        <v>9</v>
      </c>
      <c r="G83" s="112">
        <v>77.78</v>
      </c>
      <c r="H83" s="112">
        <v>77.78</v>
      </c>
    </row>
    <row r="84" spans="1:8" ht="67.5" x14ac:dyDescent="0.25">
      <c r="A84" s="109" t="s">
        <v>53</v>
      </c>
      <c r="B84" s="110">
        <v>28</v>
      </c>
      <c r="C84" s="110">
        <v>9</v>
      </c>
      <c r="D84" s="111"/>
      <c r="E84" s="110">
        <v>1</v>
      </c>
      <c r="F84" s="110">
        <v>38</v>
      </c>
      <c r="G84" s="112">
        <v>75.680000000000007</v>
      </c>
      <c r="H84" s="112">
        <v>73.680000000000007</v>
      </c>
    </row>
    <row r="85" spans="1:8" ht="67.5" x14ac:dyDescent="0.25">
      <c r="A85" s="109" t="s">
        <v>55</v>
      </c>
      <c r="B85" s="110">
        <v>49</v>
      </c>
      <c r="C85" s="110">
        <v>16</v>
      </c>
      <c r="D85" s="111"/>
      <c r="E85" s="111"/>
      <c r="F85" s="110">
        <v>65</v>
      </c>
      <c r="G85" s="112">
        <v>75.38</v>
      </c>
      <c r="H85" s="112">
        <v>75.38</v>
      </c>
    </row>
    <row r="86" spans="1:8" ht="67.5" x14ac:dyDescent="0.25">
      <c r="A86" s="109" t="s">
        <v>56</v>
      </c>
      <c r="B86" s="110">
        <v>91</v>
      </c>
      <c r="C86" s="110">
        <v>23</v>
      </c>
      <c r="D86" s="111"/>
      <c r="E86" s="110">
        <v>4</v>
      </c>
      <c r="F86" s="110">
        <v>118</v>
      </c>
      <c r="G86" s="112">
        <v>79.819999999999993</v>
      </c>
      <c r="H86" s="112">
        <v>77.12</v>
      </c>
    </row>
    <row r="87" spans="1:8" ht="90" x14ac:dyDescent="0.25">
      <c r="A87" s="109" t="s">
        <v>57</v>
      </c>
      <c r="B87" s="110">
        <v>66</v>
      </c>
      <c r="C87" s="110">
        <v>32</v>
      </c>
      <c r="D87" s="111"/>
      <c r="E87" s="110">
        <v>2</v>
      </c>
      <c r="F87" s="110">
        <v>100</v>
      </c>
      <c r="G87" s="112">
        <v>67.349999999999994</v>
      </c>
      <c r="H87" s="112">
        <v>66</v>
      </c>
    </row>
    <row r="88" spans="1:8" ht="90" x14ac:dyDescent="0.25">
      <c r="A88" s="109" t="s">
        <v>58</v>
      </c>
      <c r="B88" s="110">
        <v>7</v>
      </c>
      <c r="C88" s="110">
        <v>1</v>
      </c>
      <c r="D88" s="111"/>
      <c r="E88" s="111"/>
      <c r="F88" s="110">
        <v>8</v>
      </c>
      <c r="G88" s="112">
        <v>87.5</v>
      </c>
      <c r="H88" s="112">
        <v>87.5</v>
      </c>
    </row>
    <row r="89" spans="1:8" ht="90" x14ac:dyDescent="0.25">
      <c r="A89" s="109" t="s">
        <v>59</v>
      </c>
      <c r="B89" s="110">
        <v>40</v>
      </c>
      <c r="C89" s="110">
        <v>12</v>
      </c>
      <c r="D89" s="111"/>
      <c r="E89" s="111"/>
      <c r="F89" s="110">
        <v>52</v>
      </c>
      <c r="G89" s="112">
        <v>76.92</v>
      </c>
      <c r="H89" s="112">
        <v>76.92</v>
      </c>
    </row>
    <row r="90" spans="1:8" ht="90" x14ac:dyDescent="0.25">
      <c r="A90" s="109" t="s">
        <v>60</v>
      </c>
      <c r="B90" s="110">
        <v>6</v>
      </c>
      <c r="C90" s="111"/>
      <c r="D90" s="111"/>
      <c r="E90" s="111"/>
      <c r="F90" s="110">
        <v>6</v>
      </c>
      <c r="G90" s="112">
        <v>100</v>
      </c>
      <c r="H90" s="112">
        <v>100</v>
      </c>
    </row>
    <row r="91" spans="1:8" ht="78.75" x14ac:dyDescent="0.25">
      <c r="A91" s="109" t="s">
        <v>61</v>
      </c>
      <c r="B91" s="110">
        <v>11</v>
      </c>
      <c r="C91" s="110">
        <v>4</v>
      </c>
      <c r="D91" s="111"/>
      <c r="E91" s="111"/>
      <c r="F91" s="110">
        <v>15</v>
      </c>
      <c r="G91" s="112">
        <v>73.33</v>
      </c>
      <c r="H91" s="112">
        <v>73.33</v>
      </c>
    </row>
    <row r="92" spans="1:8" ht="90" x14ac:dyDescent="0.25">
      <c r="A92" s="109" t="s">
        <v>62</v>
      </c>
      <c r="B92" s="110">
        <v>8</v>
      </c>
      <c r="C92" s="110">
        <v>7</v>
      </c>
      <c r="D92" s="111"/>
      <c r="E92" s="110">
        <v>1</v>
      </c>
      <c r="F92" s="110">
        <v>16</v>
      </c>
      <c r="G92" s="112">
        <v>53.33</v>
      </c>
      <c r="H92" s="112">
        <v>50</v>
      </c>
    </row>
    <row r="93" spans="1:8" ht="78.75" x14ac:dyDescent="0.25">
      <c r="A93" s="109" t="s">
        <v>63</v>
      </c>
      <c r="B93" s="110">
        <v>32</v>
      </c>
      <c r="C93" s="110">
        <v>20</v>
      </c>
      <c r="D93" s="111"/>
      <c r="E93" s="110">
        <v>1</v>
      </c>
      <c r="F93" s="110">
        <v>53</v>
      </c>
      <c r="G93" s="112">
        <v>61.54</v>
      </c>
      <c r="H93" s="112">
        <v>60.38</v>
      </c>
    </row>
    <row r="94" spans="1:8" ht="90" x14ac:dyDescent="0.25">
      <c r="A94" s="109" t="s">
        <v>64</v>
      </c>
      <c r="B94" s="110">
        <v>25</v>
      </c>
      <c r="C94" s="110">
        <v>26</v>
      </c>
      <c r="D94" s="111"/>
      <c r="E94" s="111"/>
      <c r="F94" s="110">
        <v>51</v>
      </c>
      <c r="G94" s="112">
        <v>49.02</v>
      </c>
      <c r="H94" s="112">
        <v>49.02</v>
      </c>
    </row>
    <row r="95" spans="1:8" ht="90" x14ac:dyDescent="0.25">
      <c r="A95" s="109" t="s">
        <v>66</v>
      </c>
      <c r="B95" s="110">
        <v>79</v>
      </c>
      <c r="C95" s="110">
        <v>31</v>
      </c>
      <c r="D95" s="111"/>
      <c r="E95" s="110">
        <v>2</v>
      </c>
      <c r="F95" s="110">
        <v>112</v>
      </c>
      <c r="G95" s="112">
        <v>71.819999999999993</v>
      </c>
      <c r="H95" s="112">
        <v>70.540000000000006</v>
      </c>
    </row>
    <row r="96" spans="1:8" ht="90" x14ac:dyDescent="0.25">
      <c r="A96" s="109" t="s">
        <v>67</v>
      </c>
      <c r="B96" s="110">
        <v>23</v>
      </c>
      <c r="C96" s="110">
        <v>3</v>
      </c>
      <c r="D96" s="111"/>
      <c r="E96" s="110">
        <v>1</v>
      </c>
      <c r="F96" s="110">
        <v>27</v>
      </c>
      <c r="G96" s="112">
        <v>88.46</v>
      </c>
      <c r="H96" s="112">
        <v>85.19</v>
      </c>
    </row>
    <row r="97" spans="1:8" ht="90" x14ac:dyDescent="0.25">
      <c r="A97" s="109" t="s">
        <v>69</v>
      </c>
      <c r="B97" s="110">
        <v>60</v>
      </c>
      <c r="C97" s="110">
        <v>30</v>
      </c>
      <c r="D97" s="111"/>
      <c r="E97" s="110">
        <v>1</v>
      </c>
      <c r="F97" s="110">
        <v>91</v>
      </c>
      <c r="G97" s="112">
        <v>66.67</v>
      </c>
      <c r="H97" s="112">
        <v>65.930000000000007</v>
      </c>
    </row>
    <row r="98" spans="1:8" ht="90" x14ac:dyDescent="0.25">
      <c r="A98" s="109" t="s">
        <v>70</v>
      </c>
      <c r="B98" s="110">
        <v>96</v>
      </c>
      <c r="C98" s="110">
        <v>23</v>
      </c>
      <c r="D98" s="111"/>
      <c r="E98" s="111"/>
      <c r="F98" s="110">
        <v>119</v>
      </c>
      <c r="G98" s="112">
        <v>80.67</v>
      </c>
      <c r="H98" s="112">
        <v>80.67</v>
      </c>
    </row>
    <row r="99" spans="1:8" ht="78.75" x14ac:dyDescent="0.25">
      <c r="A99" s="109" t="s">
        <v>71</v>
      </c>
      <c r="B99" s="110">
        <v>11</v>
      </c>
      <c r="C99" s="110">
        <v>14</v>
      </c>
      <c r="D99" s="111"/>
      <c r="E99" s="111"/>
      <c r="F99" s="110">
        <v>25</v>
      </c>
      <c r="G99" s="112">
        <v>44</v>
      </c>
      <c r="H99" s="112">
        <v>44</v>
      </c>
    </row>
    <row r="100" spans="1:8" ht="90" x14ac:dyDescent="0.25">
      <c r="A100" s="109" t="s">
        <v>72</v>
      </c>
      <c r="B100" s="110">
        <v>17</v>
      </c>
      <c r="C100" s="110">
        <v>3</v>
      </c>
      <c r="D100" s="111"/>
      <c r="E100" s="110">
        <v>3</v>
      </c>
      <c r="F100" s="110">
        <v>23</v>
      </c>
      <c r="G100" s="112">
        <v>85</v>
      </c>
      <c r="H100" s="112">
        <v>73.91</v>
      </c>
    </row>
    <row r="101" spans="1:8" ht="78.75" x14ac:dyDescent="0.25">
      <c r="A101" s="109" t="s">
        <v>73</v>
      </c>
      <c r="B101" s="110">
        <v>14</v>
      </c>
      <c r="C101" s="110">
        <v>6</v>
      </c>
      <c r="D101" s="111"/>
      <c r="E101" s="111"/>
      <c r="F101" s="110">
        <v>20</v>
      </c>
      <c r="G101" s="112">
        <v>70</v>
      </c>
      <c r="H101" s="112">
        <v>70</v>
      </c>
    </row>
    <row r="102" spans="1:8" ht="90" x14ac:dyDescent="0.25">
      <c r="A102" s="109" t="s">
        <v>74</v>
      </c>
      <c r="B102" s="110">
        <v>11</v>
      </c>
      <c r="C102" s="110">
        <v>3</v>
      </c>
      <c r="D102" s="111"/>
      <c r="E102" s="111"/>
      <c r="F102" s="110">
        <v>14</v>
      </c>
      <c r="G102" s="112">
        <v>78.569999999999993</v>
      </c>
      <c r="H102" s="112">
        <v>78.569999999999993</v>
      </c>
    </row>
    <row r="103" spans="1:8" ht="112.5" x14ac:dyDescent="0.25">
      <c r="A103" s="109" t="s">
        <v>75</v>
      </c>
      <c r="B103" s="110">
        <v>28</v>
      </c>
      <c r="C103" s="110">
        <v>11</v>
      </c>
      <c r="D103" s="110">
        <v>1</v>
      </c>
      <c r="E103" s="110">
        <v>3</v>
      </c>
      <c r="F103" s="110">
        <v>43</v>
      </c>
      <c r="G103" s="112">
        <v>70</v>
      </c>
      <c r="H103" s="112">
        <v>65.12</v>
      </c>
    </row>
    <row r="104" spans="1:8" ht="78.75" x14ac:dyDescent="0.25">
      <c r="A104" s="109" t="s">
        <v>77</v>
      </c>
      <c r="B104" s="110">
        <v>31</v>
      </c>
      <c r="C104" s="110">
        <v>12</v>
      </c>
      <c r="D104" s="111"/>
      <c r="E104" s="111"/>
      <c r="F104" s="110">
        <v>43</v>
      </c>
      <c r="G104" s="112">
        <v>72.09</v>
      </c>
      <c r="H104" s="112">
        <v>72.09</v>
      </c>
    </row>
    <row r="105" spans="1:8" ht="78.75" x14ac:dyDescent="0.25">
      <c r="A105" s="109" t="s">
        <v>78</v>
      </c>
      <c r="B105" s="110">
        <v>26</v>
      </c>
      <c r="C105" s="110">
        <v>6</v>
      </c>
      <c r="D105" s="111"/>
      <c r="E105" s="111"/>
      <c r="F105" s="110">
        <v>32</v>
      </c>
      <c r="G105" s="112">
        <v>81.25</v>
      </c>
      <c r="H105" s="112">
        <v>81.25</v>
      </c>
    </row>
    <row r="106" spans="1:8" ht="78.75" x14ac:dyDescent="0.25">
      <c r="A106" s="109" t="s">
        <v>79</v>
      </c>
      <c r="B106" s="110">
        <v>13</v>
      </c>
      <c r="C106" s="110">
        <v>2</v>
      </c>
      <c r="D106" s="111"/>
      <c r="E106" s="111"/>
      <c r="F106" s="110">
        <v>15</v>
      </c>
      <c r="G106" s="112">
        <v>86.67</v>
      </c>
      <c r="H106" s="112">
        <v>86.67</v>
      </c>
    </row>
    <row r="107" spans="1:8" ht="78.75" x14ac:dyDescent="0.25">
      <c r="A107" s="109" t="s">
        <v>80</v>
      </c>
      <c r="B107" s="110">
        <v>26</v>
      </c>
      <c r="C107" s="110">
        <v>2</v>
      </c>
      <c r="D107" s="111"/>
      <c r="E107" s="111"/>
      <c r="F107" s="110">
        <v>28</v>
      </c>
      <c r="G107" s="112">
        <v>92.86</v>
      </c>
      <c r="H107" s="112">
        <v>92.86</v>
      </c>
    </row>
    <row r="108" spans="1:8" ht="67.5" x14ac:dyDescent="0.25">
      <c r="A108" s="109" t="s">
        <v>82</v>
      </c>
      <c r="B108" s="110">
        <v>41</v>
      </c>
      <c r="C108" s="110">
        <v>5</v>
      </c>
      <c r="D108" s="111"/>
      <c r="E108" s="110">
        <v>1</v>
      </c>
      <c r="F108" s="110">
        <v>47</v>
      </c>
      <c r="G108" s="112">
        <v>89.13</v>
      </c>
      <c r="H108" s="112">
        <v>87.23</v>
      </c>
    </row>
    <row r="109" spans="1:8" ht="67.5" x14ac:dyDescent="0.25">
      <c r="A109" s="109" t="s">
        <v>83</v>
      </c>
      <c r="B109" s="110">
        <v>23</v>
      </c>
      <c r="C109" s="110">
        <v>6</v>
      </c>
      <c r="D109" s="111"/>
      <c r="E109" s="111"/>
      <c r="F109" s="110">
        <v>29</v>
      </c>
      <c r="G109" s="112">
        <v>79.31</v>
      </c>
      <c r="H109" s="112">
        <v>79.31</v>
      </c>
    </row>
    <row r="110" spans="1:8" ht="67.5" x14ac:dyDescent="0.25">
      <c r="A110" s="109" t="s">
        <v>84</v>
      </c>
      <c r="B110" s="110">
        <v>5</v>
      </c>
      <c r="C110" s="111"/>
      <c r="D110" s="111"/>
      <c r="E110" s="110">
        <v>2</v>
      </c>
      <c r="F110" s="110">
        <v>7</v>
      </c>
      <c r="G110" s="112">
        <v>100</v>
      </c>
      <c r="H110" s="112">
        <v>71.430000000000007</v>
      </c>
    </row>
    <row r="111" spans="1:8" ht="67.5" x14ac:dyDescent="0.25">
      <c r="A111" s="109" t="s">
        <v>85</v>
      </c>
      <c r="B111" s="110">
        <v>1</v>
      </c>
      <c r="C111" s="111"/>
      <c r="D111" s="111"/>
      <c r="E111" s="111"/>
      <c r="F111" s="110">
        <v>1</v>
      </c>
      <c r="G111" s="112">
        <v>100</v>
      </c>
      <c r="H111" s="112">
        <v>100</v>
      </c>
    </row>
    <row r="112" spans="1:8" ht="67.5" x14ac:dyDescent="0.25">
      <c r="A112" s="109" t="s">
        <v>86</v>
      </c>
      <c r="B112" s="110">
        <v>55</v>
      </c>
      <c r="C112" s="110">
        <v>17</v>
      </c>
      <c r="D112" s="111"/>
      <c r="E112" s="111"/>
      <c r="F112" s="110">
        <v>72</v>
      </c>
      <c r="G112" s="112">
        <v>76.39</v>
      </c>
      <c r="H112" s="112">
        <v>76.39</v>
      </c>
    </row>
    <row r="113" spans="1:8" ht="67.5" x14ac:dyDescent="0.25">
      <c r="A113" s="109" t="s">
        <v>87</v>
      </c>
      <c r="B113" s="110">
        <v>8</v>
      </c>
      <c r="C113" s="110">
        <v>5</v>
      </c>
      <c r="D113" s="111"/>
      <c r="E113" s="111"/>
      <c r="F113" s="110">
        <v>13</v>
      </c>
      <c r="G113" s="112">
        <v>61.54</v>
      </c>
      <c r="H113" s="112">
        <v>61.54</v>
      </c>
    </row>
    <row r="114" spans="1:8" ht="67.5" x14ac:dyDescent="0.25">
      <c r="A114" s="109" t="s">
        <v>88</v>
      </c>
      <c r="B114" s="110">
        <v>3</v>
      </c>
      <c r="C114" s="110">
        <v>1</v>
      </c>
      <c r="D114" s="111"/>
      <c r="E114" s="111"/>
      <c r="F114" s="110">
        <v>4</v>
      </c>
      <c r="G114" s="112">
        <v>75</v>
      </c>
      <c r="H114" s="112">
        <v>75</v>
      </c>
    </row>
    <row r="115" spans="1:8" ht="67.5" x14ac:dyDescent="0.25">
      <c r="A115" s="109" t="s">
        <v>89</v>
      </c>
      <c r="B115" s="110">
        <v>26</v>
      </c>
      <c r="C115" s="110">
        <v>9</v>
      </c>
      <c r="D115" s="111"/>
      <c r="E115" s="110">
        <v>1</v>
      </c>
      <c r="F115" s="110">
        <v>36</v>
      </c>
      <c r="G115" s="112">
        <v>74.290000000000006</v>
      </c>
      <c r="H115" s="112">
        <v>72.22</v>
      </c>
    </row>
    <row r="116" spans="1:8" ht="67.5" x14ac:dyDescent="0.25">
      <c r="A116" s="109" t="s">
        <v>90</v>
      </c>
      <c r="B116" s="110">
        <v>63</v>
      </c>
      <c r="C116" s="110">
        <v>12</v>
      </c>
      <c r="D116" s="111"/>
      <c r="E116" s="110">
        <v>3</v>
      </c>
      <c r="F116" s="110">
        <v>78</v>
      </c>
      <c r="G116" s="112">
        <v>84</v>
      </c>
      <c r="H116" s="112">
        <v>80.77</v>
      </c>
    </row>
    <row r="117" spans="1:8" ht="67.5" x14ac:dyDescent="0.25">
      <c r="A117" s="109" t="s">
        <v>91</v>
      </c>
      <c r="B117" s="110">
        <v>6</v>
      </c>
      <c r="C117" s="110">
        <v>6</v>
      </c>
      <c r="D117" s="111"/>
      <c r="E117" s="110">
        <v>1</v>
      </c>
      <c r="F117" s="110">
        <v>13</v>
      </c>
      <c r="G117" s="112">
        <v>50</v>
      </c>
      <c r="H117" s="112">
        <v>46.15</v>
      </c>
    </row>
    <row r="118" spans="1:8" ht="67.5" x14ac:dyDescent="0.25">
      <c r="A118" s="109" t="s">
        <v>92</v>
      </c>
      <c r="B118" s="110">
        <v>4</v>
      </c>
      <c r="C118" s="110">
        <v>1</v>
      </c>
      <c r="D118" s="111"/>
      <c r="E118" s="111"/>
      <c r="F118" s="110">
        <v>5</v>
      </c>
      <c r="G118" s="112">
        <v>80</v>
      </c>
      <c r="H118" s="112">
        <v>80</v>
      </c>
    </row>
    <row r="119" spans="1:8" ht="67.5" x14ac:dyDescent="0.25">
      <c r="A119" s="109" t="s">
        <v>93</v>
      </c>
      <c r="B119" s="110">
        <v>34</v>
      </c>
      <c r="C119" s="110">
        <v>26</v>
      </c>
      <c r="D119" s="111"/>
      <c r="E119" s="110">
        <v>2</v>
      </c>
      <c r="F119" s="110">
        <v>62</v>
      </c>
      <c r="G119" s="112">
        <v>56.67</v>
      </c>
      <c r="H119" s="112">
        <v>54.84</v>
      </c>
    </row>
    <row r="120" spans="1:8" ht="67.5" x14ac:dyDescent="0.25">
      <c r="A120" s="109" t="s">
        <v>94</v>
      </c>
      <c r="B120" s="110">
        <v>2</v>
      </c>
      <c r="C120" s="110">
        <v>3</v>
      </c>
      <c r="D120" s="111"/>
      <c r="E120" s="110">
        <v>1</v>
      </c>
      <c r="F120" s="110">
        <v>6</v>
      </c>
      <c r="G120" s="112">
        <v>40</v>
      </c>
      <c r="H120" s="112">
        <v>33.33</v>
      </c>
    </row>
    <row r="121" spans="1:8" ht="67.5" x14ac:dyDescent="0.25">
      <c r="A121" s="109" t="s">
        <v>95</v>
      </c>
      <c r="B121" s="110">
        <v>4</v>
      </c>
      <c r="C121" s="110">
        <v>2</v>
      </c>
      <c r="D121" s="111"/>
      <c r="E121" s="110">
        <v>2</v>
      </c>
      <c r="F121" s="110">
        <v>8</v>
      </c>
      <c r="G121" s="112">
        <v>66.67</v>
      </c>
      <c r="H121" s="112">
        <v>50</v>
      </c>
    </row>
    <row r="122" spans="1:8" ht="67.5" x14ac:dyDescent="0.25">
      <c r="A122" s="109" t="s">
        <v>96</v>
      </c>
      <c r="B122" s="110">
        <v>2</v>
      </c>
      <c r="C122" s="110">
        <v>1</v>
      </c>
      <c r="D122" s="111"/>
      <c r="E122" s="110">
        <v>1</v>
      </c>
      <c r="F122" s="110">
        <v>4</v>
      </c>
      <c r="G122" s="112">
        <v>66.67</v>
      </c>
      <c r="H122" s="112">
        <v>50</v>
      </c>
    </row>
    <row r="123" spans="1:8" ht="78.75" x14ac:dyDescent="0.25">
      <c r="A123" s="109" t="s">
        <v>97</v>
      </c>
      <c r="B123" s="110">
        <v>2</v>
      </c>
      <c r="C123" s="111"/>
      <c r="D123" s="111"/>
      <c r="E123" s="111"/>
      <c r="F123" s="110">
        <v>2</v>
      </c>
      <c r="G123" s="112">
        <v>100</v>
      </c>
      <c r="H123" s="112">
        <v>100</v>
      </c>
    </row>
    <row r="124" spans="1:8" ht="78.75" x14ac:dyDescent="0.25">
      <c r="A124" s="109" t="s">
        <v>98</v>
      </c>
      <c r="B124" s="110">
        <v>13</v>
      </c>
      <c r="C124" s="110">
        <v>7</v>
      </c>
      <c r="D124" s="111"/>
      <c r="E124" s="111"/>
      <c r="F124" s="110">
        <v>20</v>
      </c>
      <c r="G124" s="112">
        <v>65</v>
      </c>
      <c r="H124" s="112">
        <v>65</v>
      </c>
    </row>
    <row r="125" spans="1:8" ht="78.75" x14ac:dyDescent="0.25">
      <c r="A125" s="109" t="s">
        <v>99</v>
      </c>
      <c r="B125" s="110">
        <v>8</v>
      </c>
      <c r="C125" s="110">
        <v>9</v>
      </c>
      <c r="D125" s="111"/>
      <c r="E125" s="111"/>
      <c r="F125" s="110">
        <v>17</v>
      </c>
      <c r="G125" s="112">
        <v>47.06</v>
      </c>
      <c r="H125" s="112">
        <v>47.06</v>
      </c>
    </row>
    <row r="126" spans="1:8" ht="78.75" x14ac:dyDescent="0.25">
      <c r="A126" s="109" t="s">
        <v>100</v>
      </c>
      <c r="B126" s="110">
        <v>15</v>
      </c>
      <c r="C126" s="110">
        <v>1</v>
      </c>
      <c r="D126" s="111"/>
      <c r="E126" s="111"/>
      <c r="F126" s="110">
        <v>16</v>
      </c>
      <c r="G126" s="112">
        <v>93.75</v>
      </c>
      <c r="H126" s="112">
        <v>93.75</v>
      </c>
    </row>
    <row r="127" spans="1:8" ht="78.75" x14ac:dyDescent="0.25">
      <c r="A127" s="109" t="s">
        <v>101</v>
      </c>
      <c r="B127" s="110">
        <v>16</v>
      </c>
      <c r="C127" s="110">
        <v>7</v>
      </c>
      <c r="D127" s="111"/>
      <c r="E127" s="111"/>
      <c r="F127" s="110">
        <v>23</v>
      </c>
      <c r="G127" s="112">
        <v>69.569999999999993</v>
      </c>
      <c r="H127" s="112">
        <v>69.569999999999993</v>
      </c>
    </row>
    <row r="128" spans="1:8" ht="78.75" x14ac:dyDescent="0.25">
      <c r="A128" s="109" t="s">
        <v>102</v>
      </c>
      <c r="B128" s="110">
        <v>25</v>
      </c>
      <c r="C128" s="110">
        <v>2</v>
      </c>
      <c r="D128" s="111"/>
      <c r="E128" s="111"/>
      <c r="F128" s="110">
        <v>27</v>
      </c>
      <c r="G128" s="112">
        <v>92.59</v>
      </c>
      <c r="H128" s="112">
        <v>92.59</v>
      </c>
    </row>
    <row r="129" spans="1:8" ht="78.75" x14ac:dyDescent="0.25">
      <c r="A129" s="109" t="s">
        <v>103</v>
      </c>
      <c r="B129" s="110">
        <v>25</v>
      </c>
      <c r="C129" s="110">
        <v>5</v>
      </c>
      <c r="D129" s="111"/>
      <c r="E129" s="111"/>
      <c r="F129" s="110">
        <v>30</v>
      </c>
      <c r="G129" s="112">
        <v>83.33</v>
      </c>
      <c r="H129" s="112">
        <v>83.33</v>
      </c>
    </row>
    <row r="130" spans="1:8" ht="78.75" x14ac:dyDescent="0.25">
      <c r="A130" s="109" t="s">
        <v>104</v>
      </c>
      <c r="B130" s="110">
        <v>56</v>
      </c>
      <c r="C130" s="110">
        <v>14</v>
      </c>
      <c r="D130" s="111"/>
      <c r="E130" s="110">
        <v>1</v>
      </c>
      <c r="F130" s="110">
        <v>71</v>
      </c>
      <c r="G130" s="112">
        <v>80</v>
      </c>
      <c r="H130" s="112">
        <v>78.87</v>
      </c>
    </row>
    <row r="131" spans="1:8" ht="101.25" x14ac:dyDescent="0.25">
      <c r="A131" s="109" t="s">
        <v>105</v>
      </c>
      <c r="B131" s="110">
        <v>8</v>
      </c>
      <c r="C131" s="110">
        <v>21</v>
      </c>
      <c r="D131" s="110">
        <v>1</v>
      </c>
      <c r="E131" s="111"/>
      <c r="F131" s="110">
        <v>30</v>
      </c>
      <c r="G131" s="112">
        <v>26.67</v>
      </c>
      <c r="H131" s="112">
        <v>26.67</v>
      </c>
    </row>
    <row r="132" spans="1:8" ht="78.75" x14ac:dyDescent="0.25">
      <c r="A132" s="109" t="s">
        <v>106</v>
      </c>
      <c r="B132" s="110">
        <v>58</v>
      </c>
      <c r="C132" s="110">
        <v>12</v>
      </c>
      <c r="D132" s="110">
        <v>1</v>
      </c>
      <c r="E132" s="111"/>
      <c r="F132" s="110">
        <v>71</v>
      </c>
      <c r="G132" s="112">
        <v>81.69</v>
      </c>
      <c r="H132" s="112">
        <v>81.69</v>
      </c>
    </row>
    <row r="133" spans="1:8" ht="67.5" x14ac:dyDescent="0.25">
      <c r="A133" s="109" t="s">
        <v>108</v>
      </c>
      <c r="B133" s="110">
        <v>1</v>
      </c>
      <c r="C133" s="111"/>
      <c r="D133" s="111"/>
      <c r="E133" s="111"/>
      <c r="F133" s="110">
        <v>1</v>
      </c>
      <c r="G133" s="112">
        <v>100</v>
      </c>
      <c r="H133" s="112">
        <v>100</v>
      </c>
    </row>
    <row r="134" spans="1:8" ht="67.5" x14ac:dyDescent="0.25">
      <c r="A134" s="109" t="s">
        <v>112</v>
      </c>
      <c r="B134" s="110">
        <v>2</v>
      </c>
      <c r="C134" s="110">
        <v>2</v>
      </c>
      <c r="D134" s="111"/>
      <c r="E134" s="111"/>
      <c r="F134" s="110">
        <v>4</v>
      </c>
      <c r="G134" s="112">
        <v>50</v>
      </c>
      <c r="H134" s="112">
        <v>50</v>
      </c>
    </row>
    <row r="135" spans="1:8" ht="67.5" x14ac:dyDescent="0.25">
      <c r="A135" s="109" t="s">
        <v>113</v>
      </c>
      <c r="B135" s="110">
        <v>2</v>
      </c>
      <c r="C135" s="110">
        <v>2</v>
      </c>
      <c r="D135" s="111"/>
      <c r="E135" s="110">
        <v>1</v>
      </c>
      <c r="F135" s="110">
        <v>5</v>
      </c>
      <c r="G135" s="112">
        <v>50</v>
      </c>
      <c r="H135" s="112">
        <v>40</v>
      </c>
    </row>
    <row r="136" spans="1:8" ht="67.5" x14ac:dyDescent="0.25">
      <c r="A136" s="109" t="s">
        <v>114</v>
      </c>
      <c r="B136" s="110">
        <v>15</v>
      </c>
      <c r="C136" s="110">
        <v>1</v>
      </c>
      <c r="D136" s="111"/>
      <c r="E136" s="110">
        <v>1</v>
      </c>
      <c r="F136" s="110">
        <v>17</v>
      </c>
      <c r="G136" s="112">
        <v>93.75</v>
      </c>
      <c r="H136" s="112">
        <v>88.24</v>
      </c>
    </row>
    <row r="137" spans="1:8" ht="67.5" x14ac:dyDescent="0.25">
      <c r="A137" s="109" t="s">
        <v>115</v>
      </c>
      <c r="B137" s="110">
        <v>0</v>
      </c>
      <c r="C137" s="110">
        <v>5</v>
      </c>
      <c r="D137" s="111"/>
      <c r="E137" s="111"/>
      <c r="F137" s="110">
        <v>5</v>
      </c>
      <c r="G137" s="111"/>
      <c r="H137" s="112">
        <v>0</v>
      </c>
    </row>
    <row r="138" spans="1:8" ht="67.5" x14ac:dyDescent="0.25">
      <c r="A138" s="109" t="s">
        <v>116</v>
      </c>
      <c r="B138" s="110">
        <v>4</v>
      </c>
      <c r="C138" s="110">
        <v>1</v>
      </c>
      <c r="D138" s="111"/>
      <c r="E138" s="111"/>
      <c r="F138" s="110">
        <v>5</v>
      </c>
      <c r="G138" s="112">
        <v>80</v>
      </c>
      <c r="H138" s="112">
        <v>80</v>
      </c>
    </row>
    <row r="139" spans="1:8" ht="67.5" x14ac:dyDescent="0.25">
      <c r="A139" s="109" t="s">
        <v>117</v>
      </c>
      <c r="B139" s="110">
        <v>1</v>
      </c>
      <c r="C139" s="111"/>
      <c r="D139" s="111"/>
      <c r="E139" s="111"/>
      <c r="F139" s="110">
        <v>1</v>
      </c>
      <c r="G139" s="112">
        <v>100</v>
      </c>
      <c r="H139" s="112">
        <v>100</v>
      </c>
    </row>
    <row r="140" spans="1:8" ht="67.5" x14ac:dyDescent="0.25">
      <c r="A140" s="109" t="s">
        <v>118</v>
      </c>
      <c r="B140" s="110">
        <v>1</v>
      </c>
      <c r="C140" s="110">
        <v>1</v>
      </c>
      <c r="D140" s="111"/>
      <c r="E140" s="111"/>
      <c r="F140" s="110">
        <v>2</v>
      </c>
      <c r="G140" s="112">
        <v>50</v>
      </c>
      <c r="H140" s="112">
        <v>50</v>
      </c>
    </row>
    <row r="141" spans="1:8" ht="67.5" x14ac:dyDescent="0.25">
      <c r="A141" s="109" t="s">
        <v>120</v>
      </c>
      <c r="B141" s="110">
        <v>1</v>
      </c>
      <c r="C141" s="111"/>
      <c r="D141" s="111"/>
      <c r="E141" s="111"/>
      <c r="F141" s="110">
        <v>1</v>
      </c>
      <c r="G141" s="112">
        <v>100</v>
      </c>
      <c r="H141" s="112">
        <v>100</v>
      </c>
    </row>
    <row r="142" spans="1:8" ht="56.25" x14ac:dyDescent="0.25">
      <c r="A142" s="109" t="s">
        <v>208</v>
      </c>
      <c r="B142" s="110">
        <v>0</v>
      </c>
      <c r="C142" s="110">
        <v>2</v>
      </c>
      <c r="D142" s="111"/>
      <c r="E142" s="111"/>
      <c r="F142" s="110">
        <v>2</v>
      </c>
      <c r="G142" s="111"/>
      <c r="H142" s="112">
        <v>0</v>
      </c>
    </row>
    <row r="143" spans="1:8" ht="56.25" x14ac:dyDescent="0.25">
      <c r="A143" s="109" t="s">
        <v>209</v>
      </c>
      <c r="B143" s="110">
        <v>8</v>
      </c>
      <c r="C143" s="110">
        <v>6</v>
      </c>
      <c r="D143" s="111"/>
      <c r="E143" s="110">
        <v>5</v>
      </c>
      <c r="F143" s="110">
        <v>19</v>
      </c>
      <c r="G143" s="112">
        <v>57.14</v>
      </c>
      <c r="H143" s="112">
        <v>42.11</v>
      </c>
    </row>
    <row r="144" spans="1:8" ht="67.5" x14ac:dyDescent="0.25">
      <c r="A144" s="109" t="s">
        <v>211</v>
      </c>
      <c r="B144" s="110">
        <v>0</v>
      </c>
      <c r="C144" s="110">
        <v>1</v>
      </c>
      <c r="D144" s="111"/>
      <c r="E144" s="111"/>
      <c r="F144" s="110">
        <v>1</v>
      </c>
      <c r="G144" s="111"/>
      <c r="H144" s="112">
        <v>0</v>
      </c>
    </row>
    <row r="145" spans="1:8" ht="67.5" x14ac:dyDescent="0.25">
      <c r="A145" s="109" t="s">
        <v>210</v>
      </c>
      <c r="B145" s="110">
        <v>0</v>
      </c>
      <c r="C145" s="110">
        <v>1</v>
      </c>
      <c r="D145" s="111"/>
      <c r="E145" s="111"/>
      <c r="F145" s="110">
        <v>1</v>
      </c>
      <c r="G145" s="111"/>
      <c r="H145" s="112">
        <v>0</v>
      </c>
    </row>
    <row r="146" spans="1:8" x14ac:dyDescent="0.25">
      <c r="A146" s="113" t="s">
        <v>1</v>
      </c>
      <c r="B146" s="114">
        <v>2827</v>
      </c>
      <c r="C146" s="115">
        <v>968</v>
      </c>
      <c r="D146" s="115">
        <v>6</v>
      </c>
      <c r="E146" s="115">
        <v>82</v>
      </c>
      <c r="F146" s="114">
        <v>3883</v>
      </c>
      <c r="G146" s="116">
        <v>74.38</v>
      </c>
      <c r="H146" s="116">
        <v>72.8</v>
      </c>
    </row>
    <row r="147" spans="1:8" x14ac:dyDescent="0.25">
      <c r="A147" s="117"/>
      <c r="B147" s="117"/>
      <c r="C147" s="117"/>
      <c r="D147" s="117"/>
      <c r="E147" s="117"/>
      <c r="F147" s="117"/>
      <c r="G147" s="117"/>
      <c r="H147" s="117"/>
    </row>
    <row r="148" spans="1:8" x14ac:dyDescent="0.25">
      <c r="A148" s="117"/>
      <c r="B148" s="117"/>
      <c r="C148" s="117"/>
      <c r="D148" s="117"/>
      <c r="E148" s="117"/>
      <c r="F148" s="117"/>
      <c r="G148" s="117"/>
      <c r="H148" s="117"/>
    </row>
    <row r="149" spans="1:8" x14ac:dyDescent="0.25">
      <c r="A149" s="117"/>
      <c r="B149" s="117"/>
      <c r="C149" s="117"/>
      <c r="D149" s="117"/>
      <c r="E149" s="117"/>
      <c r="F149" s="117"/>
      <c r="G149" s="117"/>
      <c r="H149" s="117"/>
    </row>
    <row r="150" spans="1:8" x14ac:dyDescent="0.25">
      <c r="A150" s="117"/>
      <c r="B150" s="117"/>
      <c r="C150" s="117"/>
      <c r="D150" s="117"/>
      <c r="E150" s="117"/>
      <c r="F150" s="117"/>
      <c r="G150" s="117"/>
      <c r="H150" s="117"/>
    </row>
    <row r="151" spans="1:8" x14ac:dyDescent="0.25">
      <c r="A151" s="117"/>
      <c r="B151" s="117"/>
      <c r="C151" s="117"/>
      <c r="D151" s="117"/>
      <c r="E151" s="117"/>
      <c r="F151" s="117"/>
      <c r="G151" s="117"/>
      <c r="H151" s="117"/>
    </row>
    <row r="152" spans="1:8" x14ac:dyDescent="0.25">
      <c r="A152" s="117"/>
      <c r="B152" s="117"/>
      <c r="C152" s="117"/>
      <c r="D152" s="117"/>
      <c r="E152" s="117"/>
      <c r="F152" s="117"/>
      <c r="G152" s="117"/>
      <c r="H152" s="117"/>
    </row>
    <row r="153" spans="1:8" x14ac:dyDescent="0.25">
      <c r="A153" s="117"/>
      <c r="B153" s="117"/>
      <c r="C153" s="117"/>
      <c r="D153" s="117"/>
      <c r="E153" s="117"/>
      <c r="F153" s="117"/>
      <c r="G153" s="117"/>
      <c r="H153" s="117"/>
    </row>
    <row r="154" spans="1:8" x14ac:dyDescent="0.25">
      <c r="A154" s="117"/>
      <c r="B154" s="117"/>
      <c r="C154" s="117"/>
      <c r="D154" s="117"/>
      <c r="E154" s="117"/>
      <c r="F154" s="117"/>
      <c r="G154" s="117"/>
      <c r="H154" s="117"/>
    </row>
    <row r="155" spans="1:8" x14ac:dyDescent="0.25">
      <c r="A155" s="117"/>
      <c r="B155" s="117"/>
      <c r="C155" s="117"/>
      <c r="D155" s="117"/>
      <c r="E155" s="117"/>
      <c r="F155" s="117"/>
      <c r="G155" s="117"/>
      <c r="H155" s="117"/>
    </row>
    <row r="156" spans="1:8" x14ac:dyDescent="0.25">
      <c r="A156" s="117"/>
      <c r="B156" s="117"/>
      <c r="C156" s="117"/>
      <c r="D156" s="117"/>
      <c r="E156" s="117"/>
      <c r="F156" s="117"/>
      <c r="G156" s="117"/>
      <c r="H156" s="117"/>
    </row>
    <row r="157" spans="1:8" x14ac:dyDescent="0.25">
      <c r="A157" s="117"/>
      <c r="B157" s="117"/>
      <c r="C157" s="117"/>
      <c r="D157" s="117"/>
      <c r="E157" s="117"/>
      <c r="F157" s="117"/>
      <c r="G157" s="117"/>
      <c r="H157" s="117"/>
    </row>
    <row r="158" spans="1:8" x14ac:dyDescent="0.25">
      <c r="A158" s="117"/>
      <c r="B158" s="117"/>
      <c r="C158" s="117"/>
      <c r="D158" s="117"/>
      <c r="E158" s="117"/>
      <c r="F158" s="117"/>
      <c r="G158" s="117"/>
      <c r="H158" s="117"/>
    </row>
    <row r="159" spans="1:8" x14ac:dyDescent="0.25">
      <c r="A159" s="117"/>
      <c r="B159" s="117"/>
      <c r="C159" s="117"/>
      <c r="D159" s="117"/>
      <c r="E159" s="117"/>
      <c r="F159" s="117"/>
      <c r="G159" s="117"/>
      <c r="H159" s="117"/>
    </row>
    <row r="160" spans="1:8" x14ac:dyDescent="0.25">
      <c r="A160" s="117"/>
      <c r="B160" s="117"/>
      <c r="C160" s="117"/>
      <c r="D160" s="117"/>
      <c r="E160" s="117"/>
      <c r="F160" s="117"/>
      <c r="G160" s="117"/>
      <c r="H160" s="117"/>
    </row>
    <row r="161" spans="1:8" x14ac:dyDescent="0.25">
      <c r="A161" s="117"/>
      <c r="B161" s="117"/>
      <c r="C161" s="117"/>
      <c r="D161" s="117"/>
      <c r="E161" s="117"/>
      <c r="F161" s="117"/>
      <c r="G161" s="117"/>
      <c r="H161" s="117"/>
    </row>
    <row r="162" spans="1:8" x14ac:dyDescent="0.25">
      <c r="A162" s="117"/>
      <c r="B162" s="117"/>
      <c r="C162" s="117"/>
      <c r="D162" s="117"/>
      <c r="E162" s="117"/>
      <c r="F162" s="117"/>
      <c r="G162" s="117"/>
      <c r="H162" s="117"/>
    </row>
  </sheetData>
  <mergeCells count="2">
    <mergeCell ref="A1:A2"/>
    <mergeCell ref="B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3"/>
  <sheetViews>
    <sheetView workbookViewId="0">
      <selection sqref="A1:H175"/>
    </sheetView>
  </sheetViews>
  <sheetFormatPr defaultRowHeight="15" x14ac:dyDescent="0.25"/>
  <sheetData>
    <row r="1" spans="1:8" x14ac:dyDescent="0.25">
      <c r="A1" s="145" t="s">
        <v>0</v>
      </c>
      <c r="B1" s="146" t="s">
        <v>1</v>
      </c>
      <c r="C1" s="146"/>
      <c r="D1" s="146"/>
      <c r="E1" s="146"/>
      <c r="F1" s="146"/>
      <c r="G1" s="146"/>
      <c r="H1" s="146"/>
    </row>
    <row r="2" spans="1:8" ht="38.25" x14ac:dyDescent="0.25">
      <c r="A2" s="145"/>
      <c r="B2" s="37" t="s">
        <v>2</v>
      </c>
      <c r="C2" s="37" t="s">
        <v>3</v>
      </c>
      <c r="D2" s="37" t="s">
        <v>160</v>
      </c>
      <c r="E2" s="37" t="s">
        <v>161</v>
      </c>
      <c r="F2" s="37" t="s">
        <v>4</v>
      </c>
      <c r="G2" s="37" t="s">
        <v>162</v>
      </c>
      <c r="H2" s="37" t="s">
        <v>5</v>
      </c>
    </row>
    <row r="3" spans="1:8" ht="67.5" x14ac:dyDescent="0.25">
      <c r="A3" s="38" t="s">
        <v>186</v>
      </c>
      <c r="B3" s="39">
        <v>12</v>
      </c>
      <c r="C3" s="39">
        <v>3</v>
      </c>
      <c r="D3" s="40"/>
      <c r="E3" s="39">
        <v>1</v>
      </c>
      <c r="F3" s="39">
        <v>16</v>
      </c>
      <c r="G3" s="41">
        <v>80</v>
      </c>
      <c r="H3" s="41">
        <v>75</v>
      </c>
    </row>
    <row r="4" spans="1:8" ht="67.5" x14ac:dyDescent="0.25">
      <c r="A4" s="38" t="s">
        <v>177</v>
      </c>
      <c r="B4" s="39">
        <v>1</v>
      </c>
      <c r="C4" s="40"/>
      <c r="D4" s="40"/>
      <c r="E4" s="40"/>
      <c r="F4" s="39">
        <v>1</v>
      </c>
      <c r="G4" s="41">
        <v>100</v>
      </c>
      <c r="H4" s="41">
        <v>100</v>
      </c>
    </row>
    <row r="5" spans="1:8" ht="78.75" x14ac:dyDescent="0.25">
      <c r="A5" s="38" t="s">
        <v>187</v>
      </c>
      <c r="B5" s="39">
        <v>9</v>
      </c>
      <c r="C5" s="39">
        <v>2</v>
      </c>
      <c r="D5" s="40"/>
      <c r="E5" s="39">
        <v>2</v>
      </c>
      <c r="F5" s="39">
        <v>13</v>
      </c>
      <c r="G5" s="41">
        <v>81.819999999999993</v>
      </c>
      <c r="H5" s="41">
        <v>69.23</v>
      </c>
    </row>
    <row r="6" spans="1:8" ht="67.5" x14ac:dyDescent="0.25">
      <c r="A6" s="38" t="s">
        <v>178</v>
      </c>
      <c r="B6" s="39">
        <v>6</v>
      </c>
      <c r="C6" s="40"/>
      <c r="D6" s="40"/>
      <c r="E6" s="40"/>
      <c r="F6" s="39">
        <v>6</v>
      </c>
      <c r="G6" s="41">
        <v>100</v>
      </c>
      <c r="H6" s="41">
        <v>100</v>
      </c>
    </row>
    <row r="7" spans="1:8" ht="67.5" x14ac:dyDescent="0.25">
      <c r="A7" s="38" t="s">
        <v>179</v>
      </c>
      <c r="B7" s="39">
        <v>0</v>
      </c>
      <c r="C7" s="39">
        <v>2</v>
      </c>
      <c r="D7" s="40"/>
      <c r="E7" s="40"/>
      <c r="F7" s="39">
        <v>2</v>
      </c>
      <c r="G7" s="40"/>
      <c r="H7" s="41">
        <v>0</v>
      </c>
    </row>
    <row r="8" spans="1:8" ht="78.75" x14ac:dyDescent="0.25">
      <c r="A8" s="38" t="s">
        <v>188</v>
      </c>
      <c r="B8" s="39">
        <v>1</v>
      </c>
      <c r="C8" s="40"/>
      <c r="D8" s="40"/>
      <c r="E8" s="40"/>
      <c r="F8" s="39">
        <v>1</v>
      </c>
      <c r="G8" s="41">
        <v>100</v>
      </c>
      <c r="H8" s="41">
        <v>100</v>
      </c>
    </row>
    <row r="9" spans="1:8" ht="78.75" x14ac:dyDescent="0.25">
      <c r="A9" s="38" t="s">
        <v>189</v>
      </c>
      <c r="B9" s="39">
        <v>5</v>
      </c>
      <c r="C9" s="39">
        <v>1</v>
      </c>
      <c r="D9" s="40"/>
      <c r="E9" s="39">
        <v>1</v>
      </c>
      <c r="F9" s="39">
        <v>7</v>
      </c>
      <c r="G9" s="41">
        <v>83.33</v>
      </c>
      <c r="H9" s="41">
        <v>71.430000000000007</v>
      </c>
    </row>
    <row r="10" spans="1:8" ht="67.5" x14ac:dyDescent="0.25">
      <c r="A10" s="38" t="s">
        <v>180</v>
      </c>
      <c r="B10" s="39">
        <v>1</v>
      </c>
      <c r="C10" s="39">
        <v>1</v>
      </c>
      <c r="D10" s="40"/>
      <c r="E10" s="40"/>
      <c r="F10" s="39">
        <v>2</v>
      </c>
      <c r="G10" s="41">
        <v>50</v>
      </c>
      <c r="H10" s="41">
        <v>50</v>
      </c>
    </row>
    <row r="11" spans="1:8" ht="67.5" x14ac:dyDescent="0.25">
      <c r="A11" s="38" t="s">
        <v>181</v>
      </c>
      <c r="B11" s="39">
        <v>5</v>
      </c>
      <c r="C11" s="39">
        <v>1</v>
      </c>
      <c r="D11" s="40"/>
      <c r="E11" s="39">
        <v>1</v>
      </c>
      <c r="F11" s="39">
        <v>7</v>
      </c>
      <c r="G11" s="41">
        <v>83.33</v>
      </c>
      <c r="H11" s="41">
        <v>71.430000000000007</v>
      </c>
    </row>
    <row r="12" spans="1:8" ht="78.75" x14ac:dyDescent="0.25">
      <c r="A12" s="38" t="s">
        <v>182</v>
      </c>
      <c r="B12" s="39">
        <v>6</v>
      </c>
      <c r="C12" s="40"/>
      <c r="D12" s="40"/>
      <c r="E12" s="40"/>
      <c r="F12" s="39">
        <v>6</v>
      </c>
      <c r="G12" s="41">
        <v>100</v>
      </c>
      <c r="H12" s="41">
        <v>100</v>
      </c>
    </row>
    <row r="13" spans="1:8" ht="56.25" x14ac:dyDescent="0.25">
      <c r="A13" s="38" t="s">
        <v>213</v>
      </c>
      <c r="B13" s="39">
        <v>6</v>
      </c>
      <c r="C13" s="39">
        <v>2</v>
      </c>
      <c r="D13" s="40"/>
      <c r="E13" s="39">
        <v>1</v>
      </c>
      <c r="F13" s="39">
        <v>9</v>
      </c>
      <c r="G13" s="41">
        <v>75</v>
      </c>
      <c r="H13" s="41">
        <v>66.67</v>
      </c>
    </row>
    <row r="14" spans="1:8" ht="56.25" x14ac:dyDescent="0.25">
      <c r="A14" s="38" t="s">
        <v>214</v>
      </c>
      <c r="B14" s="39">
        <v>0</v>
      </c>
      <c r="C14" s="39">
        <v>2</v>
      </c>
      <c r="D14" s="40"/>
      <c r="E14" s="39">
        <v>1</v>
      </c>
      <c r="F14" s="39">
        <v>3</v>
      </c>
      <c r="G14" s="40"/>
      <c r="H14" s="41">
        <v>0</v>
      </c>
    </row>
    <row r="15" spans="1:8" ht="67.5" x14ac:dyDescent="0.25">
      <c r="A15" s="38" t="s">
        <v>190</v>
      </c>
      <c r="B15" s="39">
        <v>1</v>
      </c>
      <c r="C15" s="39">
        <v>1</v>
      </c>
      <c r="D15" s="40"/>
      <c r="E15" s="40"/>
      <c r="F15" s="39">
        <v>2</v>
      </c>
      <c r="G15" s="41">
        <v>50</v>
      </c>
      <c r="H15" s="41">
        <v>50</v>
      </c>
    </row>
    <row r="16" spans="1:8" ht="67.5" x14ac:dyDescent="0.25">
      <c r="A16" s="38" t="s">
        <v>184</v>
      </c>
      <c r="B16" s="39">
        <v>2</v>
      </c>
      <c r="C16" s="39">
        <v>1</v>
      </c>
      <c r="D16" s="40"/>
      <c r="E16" s="40"/>
      <c r="F16" s="39">
        <v>3</v>
      </c>
      <c r="G16" s="41">
        <v>66.67</v>
      </c>
      <c r="H16" s="41">
        <v>66.67</v>
      </c>
    </row>
    <row r="17" spans="1:8" ht="67.5" x14ac:dyDescent="0.25">
      <c r="A17" s="38" t="s">
        <v>183</v>
      </c>
      <c r="B17" s="39">
        <v>1</v>
      </c>
      <c r="C17" s="40"/>
      <c r="D17" s="40"/>
      <c r="E17" s="40"/>
      <c r="F17" s="39">
        <v>1</v>
      </c>
      <c r="G17" s="41">
        <v>100</v>
      </c>
      <c r="H17" s="41">
        <v>100</v>
      </c>
    </row>
    <row r="18" spans="1:8" ht="67.5" x14ac:dyDescent="0.25">
      <c r="A18" s="38" t="s">
        <v>215</v>
      </c>
      <c r="B18" s="39">
        <v>3</v>
      </c>
      <c r="C18" s="39">
        <v>2</v>
      </c>
      <c r="D18" s="40"/>
      <c r="E18" s="40"/>
      <c r="F18" s="39">
        <v>5</v>
      </c>
      <c r="G18" s="41">
        <v>60</v>
      </c>
      <c r="H18" s="41">
        <v>60</v>
      </c>
    </row>
    <row r="19" spans="1:8" ht="67.5" x14ac:dyDescent="0.25">
      <c r="A19" s="38" t="s">
        <v>216</v>
      </c>
      <c r="B19" s="39">
        <v>1</v>
      </c>
      <c r="C19" s="39">
        <v>3</v>
      </c>
      <c r="D19" s="40"/>
      <c r="E19" s="39">
        <v>1</v>
      </c>
      <c r="F19" s="39">
        <v>5</v>
      </c>
      <c r="G19" s="41">
        <v>25</v>
      </c>
      <c r="H19" s="41">
        <v>20</v>
      </c>
    </row>
    <row r="20" spans="1:8" ht="67.5" x14ac:dyDescent="0.25">
      <c r="A20" s="38" t="s">
        <v>217</v>
      </c>
      <c r="B20" s="39">
        <v>0</v>
      </c>
      <c r="C20" s="40"/>
      <c r="D20" s="40"/>
      <c r="E20" s="39">
        <v>1</v>
      </c>
      <c r="F20" s="39">
        <v>1</v>
      </c>
      <c r="G20" s="40"/>
      <c r="H20" s="41">
        <v>0</v>
      </c>
    </row>
    <row r="21" spans="1:8" ht="67.5" x14ac:dyDescent="0.25">
      <c r="A21" s="38" t="s">
        <v>218</v>
      </c>
      <c r="B21" s="39">
        <v>0</v>
      </c>
      <c r="C21" s="39">
        <v>2</v>
      </c>
      <c r="D21" s="40"/>
      <c r="E21" s="40"/>
      <c r="F21" s="39">
        <v>2</v>
      </c>
      <c r="G21" s="40"/>
      <c r="H21" s="41">
        <v>0</v>
      </c>
    </row>
    <row r="22" spans="1:8" ht="67.5" x14ac:dyDescent="0.25">
      <c r="A22" s="38" t="s">
        <v>219</v>
      </c>
      <c r="B22" s="39">
        <v>0</v>
      </c>
      <c r="C22" s="39">
        <v>1</v>
      </c>
      <c r="D22" s="40"/>
      <c r="E22" s="40"/>
      <c r="F22" s="39">
        <v>1</v>
      </c>
      <c r="G22" s="40"/>
      <c r="H22" s="41">
        <v>0</v>
      </c>
    </row>
    <row r="23" spans="1:8" ht="90" x14ac:dyDescent="0.25">
      <c r="A23" s="38" t="s">
        <v>191</v>
      </c>
      <c r="B23" s="39">
        <v>88</v>
      </c>
      <c r="C23" s="39">
        <v>13</v>
      </c>
      <c r="D23" s="40"/>
      <c r="E23" s="39">
        <v>1</v>
      </c>
      <c r="F23" s="39">
        <v>102</v>
      </c>
      <c r="G23" s="41">
        <v>87.13</v>
      </c>
      <c r="H23" s="41">
        <v>86.27</v>
      </c>
    </row>
    <row r="24" spans="1:8" ht="90" x14ac:dyDescent="0.25">
      <c r="A24" s="38" t="s">
        <v>192</v>
      </c>
      <c r="B24" s="39">
        <v>19</v>
      </c>
      <c r="C24" s="39">
        <v>4</v>
      </c>
      <c r="D24" s="40"/>
      <c r="E24" s="40"/>
      <c r="F24" s="39">
        <v>23</v>
      </c>
      <c r="G24" s="41">
        <v>82.61</v>
      </c>
      <c r="H24" s="41">
        <v>82.61</v>
      </c>
    </row>
    <row r="25" spans="1:8" ht="90" x14ac:dyDescent="0.25">
      <c r="A25" s="38" t="s">
        <v>193</v>
      </c>
      <c r="B25" s="39">
        <v>2</v>
      </c>
      <c r="C25" s="39">
        <v>1</v>
      </c>
      <c r="D25" s="40"/>
      <c r="E25" s="39">
        <v>2</v>
      </c>
      <c r="F25" s="39">
        <v>5</v>
      </c>
      <c r="G25" s="41">
        <v>66.67</v>
      </c>
      <c r="H25" s="41">
        <v>40</v>
      </c>
    </row>
    <row r="26" spans="1:8" ht="90" x14ac:dyDescent="0.25">
      <c r="A26" s="38" t="s">
        <v>194</v>
      </c>
      <c r="B26" s="39">
        <v>2</v>
      </c>
      <c r="C26" s="39">
        <v>2</v>
      </c>
      <c r="D26" s="40"/>
      <c r="E26" s="40"/>
      <c r="F26" s="39">
        <v>4</v>
      </c>
      <c r="G26" s="41">
        <v>50</v>
      </c>
      <c r="H26" s="41">
        <v>50</v>
      </c>
    </row>
    <row r="27" spans="1:8" ht="67.5" x14ac:dyDescent="0.25">
      <c r="A27" s="38" t="s">
        <v>195</v>
      </c>
      <c r="B27" s="39">
        <v>2</v>
      </c>
      <c r="C27" s="40"/>
      <c r="D27" s="40"/>
      <c r="E27" s="40"/>
      <c r="F27" s="39">
        <v>2</v>
      </c>
      <c r="G27" s="41">
        <v>100</v>
      </c>
      <c r="H27" s="41">
        <v>100</v>
      </c>
    </row>
    <row r="28" spans="1:8" ht="67.5" x14ac:dyDescent="0.25">
      <c r="A28" s="38" t="s">
        <v>196</v>
      </c>
      <c r="B28" s="39">
        <v>0</v>
      </c>
      <c r="C28" s="39">
        <v>1</v>
      </c>
      <c r="D28" s="40"/>
      <c r="E28" s="40"/>
      <c r="F28" s="39">
        <v>1</v>
      </c>
      <c r="G28" s="40"/>
      <c r="H28" s="41">
        <v>0</v>
      </c>
    </row>
    <row r="29" spans="1:8" ht="67.5" x14ac:dyDescent="0.25">
      <c r="A29" s="38" t="s">
        <v>197</v>
      </c>
      <c r="B29" s="39">
        <v>1</v>
      </c>
      <c r="C29" s="39">
        <v>2</v>
      </c>
      <c r="D29" s="40"/>
      <c r="E29" s="40"/>
      <c r="F29" s="39">
        <v>3</v>
      </c>
      <c r="G29" s="41">
        <v>33.33</v>
      </c>
      <c r="H29" s="41">
        <v>33.33</v>
      </c>
    </row>
    <row r="30" spans="1:8" ht="67.5" x14ac:dyDescent="0.25">
      <c r="A30" s="38" t="s">
        <v>198</v>
      </c>
      <c r="B30" s="39">
        <v>1</v>
      </c>
      <c r="C30" s="39">
        <v>1</v>
      </c>
      <c r="D30" s="40"/>
      <c r="E30" s="40"/>
      <c r="F30" s="39">
        <v>2</v>
      </c>
      <c r="G30" s="41">
        <v>50</v>
      </c>
      <c r="H30" s="41">
        <v>50</v>
      </c>
    </row>
    <row r="31" spans="1:8" ht="90" x14ac:dyDescent="0.25">
      <c r="A31" s="38" t="s">
        <v>199</v>
      </c>
      <c r="B31" s="39">
        <v>1</v>
      </c>
      <c r="C31" s="39">
        <v>1</v>
      </c>
      <c r="D31" s="40"/>
      <c r="E31" s="40"/>
      <c r="F31" s="39">
        <v>2</v>
      </c>
      <c r="G31" s="41">
        <v>50</v>
      </c>
      <c r="H31" s="41">
        <v>50</v>
      </c>
    </row>
    <row r="32" spans="1:8" ht="90" x14ac:dyDescent="0.25">
      <c r="A32" s="38" t="s">
        <v>200</v>
      </c>
      <c r="B32" s="39">
        <v>1</v>
      </c>
      <c r="C32" s="39">
        <v>1</v>
      </c>
      <c r="D32" s="40"/>
      <c r="E32" s="40"/>
      <c r="F32" s="39">
        <v>2</v>
      </c>
      <c r="G32" s="41">
        <v>50</v>
      </c>
      <c r="H32" s="41">
        <v>50</v>
      </c>
    </row>
    <row r="33" spans="1:8" ht="67.5" x14ac:dyDescent="0.25">
      <c r="A33" s="38" t="s">
        <v>201</v>
      </c>
      <c r="B33" s="39">
        <v>7</v>
      </c>
      <c r="C33" s="39">
        <v>2</v>
      </c>
      <c r="D33" s="40"/>
      <c r="E33" s="40"/>
      <c r="F33" s="39">
        <v>9</v>
      </c>
      <c r="G33" s="41">
        <v>77.78</v>
      </c>
      <c r="H33" s="41">
        <v>77.78</v>
      </c>
    </row>
    <row r="34" spans="1:8" ht="67.5" x14ac:dyDescent="0.25">
      <c r="A34" s="38" t="s">
        <v>202</v>
      </c>
      <c r="B34" s="39">
        <v>1</v>
      </c>
      <c r="C34" s="40"/>
      <c r="D34" s="40"/>
      <c r="E34" s="40"/>
      <c r="F34" s="39">
        <v>1</v>
      </c>
      <c r="G34" s="41">
        <v>100</v>
      </c>
      <c r="H34" s="41">
        <v>100</v>
      </c>
    </row>
    <row r="35" spans="1:8" ht="67.5" x14ac:dyDescent="0.25">
      <c r="A35" s="38" t="s">
        <v>203</v>
      </c>
      <c r="B35" s="39">
        <v>1</v>
      </c>
      <c r="C35" s="40"/>
      <c r="D35" s="40"/>
      <c r="E35" s="40"/>
      <c r="F35" s="39">
        <v>1</v>
      </c>
      <c r="G35" s="41">
        <v>100</v>
      </c>
      <c r="H35" s="41">
        <v>100</v>
      </c>
    </row>
    <row r="36" spans="1:8" ht="78.75" x14ac:dyDescent="0.25">
      <c r="A36" s="38" t="s">
        <v>207</v>
      </c>
      <c r="B36" s="39">
        <v>4</v>
      </c>
      <c r="C36" s="39">
        <v>1</v>
      </c>
      <c r="D36" s="40"/>
      <c r="E36" s="40"/>
      <c r="F36" s="39">
        <v>5</v>
      </c>
      <c r="G36" s="41">
        <v>80</v>
      </c>
      <c r="H36" s="41">
        <v>80</v>
      </c>
    </row>
    <row r="37" spans="1:8" ht="67.5" x14ac:dyDescent="0.25">
      <c r="A37" s="38" t="s">
        <v>6</v>
      </c>
      <c r="B37" s="39">
        <v>15</v>
      </c>
      <c r="C37" s="39">
        <v>2</v>
      </c>
      <c r="D37" s="40"/>
      <c r="E37" s="40"/>
      <c r="F37" s="39">
        <v>17</v>
      </c>
      <c r="G37" s="41">
        <v>88.24</v>
      </c>
      <c r="H37" s="41">
        <v>88.24</v>
      </c>
    </row>
    <row r="38" spans="1:8" ht="67.5" x14ac:dyDescent="0.25">
      <c r="A38" s="38" t="s">
        <v>7</v>
      </c>
      <c r="B38" s="39">
        <v>10</v>
      </c>
      <c r="C38" s="39">
        <v>2</v>
      </c>
      <c r="D38" s="40"/>
      <c r="E38" s="39">
        <v>1</v>
      </c>
      <c r="F38" s="39">
        <v>13</v>
      </c>
      <c r="G38" s="41">
        <v>83.33</v>
      </c>
      <c r="H38" s="41">
        <v>76.92</v>
      </c>
    </row>
    <row r="39" spans="1:8" ht="67.5" x14ac:dyDescent="0.25">
      <c r="A39" s="38" t="s">
        <v>8</v>
      </c>
      <c r="B39" s="39">
        <v>8</v>
      </c>
      <c r="C39" s="39">
        <v>3</v>
      </c>
      <c r="D39" s="39">
        <v>2</v>
      </c>
      <c r="E39" s="40"/>
      <c r="F39" s="39">
        <v>13</v>
      </c>
      <c r="G39" s="41">
        <v>61.54</v>
      </c>
      <c r="H39" s="41">
        <v>61.54</v>
      </c>
    </row>
    <row r="40" spans="1:8" ht="67.5" x14ac:dyDescent="0.25">
      <c r="A40" s="38" t="s">
        <v>9</v>
      </c>
      <c r="B40" s="39">
        <v>86</v>
      </c>
      <c r="C40" s="39">
        <v>18</v>
      </c>
      <c r="D40" s="40"/>
      <c r="E40" s="39">
        <v>3</v>
      </c>
      <c r="F40" s="39">
        <v>107</v>
      </c>
      <c r="G40" s="41">
        <v>82.69</v>
      </c>
      <c r="H40" s="41">
        <v>80.37</v>
      </c>
    </row>
    <row r="41" spans="1:8" ht="67.5" x14ac:dyDescent="0.25">
      <c r="A41" s="38" t="s">
        <v>10</v>
      </c>
      <c r="B41" s="39">
        <v>12</v>
      </c>
      <c r="C41" s="39">
        <v>3</v>
      </c>
      <c r="D41" s="40"/>
      <c r="E41" s="40"/>
      <c r="F41" s="39">
        <v>15</v>
      </c>
      <c r="G41" s="41">
        <v>80</v>
      </c>
      <c r="H41" s="41">
        <v>80</v>
      </c>
    </row>
    <row r="42" spans="1:8" ht="67.5" x14ac:dyDescent="0.25">
      <c r="A42" s="38" t="s">
        <v>11</v>
      </c>
      <c r="B42" s="39">
        <v>21</v>
      </c>
      <c r="C42" s="39">
        <v>3</v>
      </c>
      <c r="D42" s="40"/>
      <c r="E42" s="40"/>
      <c r="F42" s="39">
        <v>24</v>
      </c>
      <c r="G42" s="41">
        <v>87.5</v>
      </c>
      <c r="H42" s="41">
        <v>87.5</v>
      </c>
    </row>
    <row r="43" spans="1:8" ht="78.75" x14ac:dyDescent="0.25">
      <c r="A43" s="38" t="s">
        <v>12</v>
      </c>
      <c r="B43" s="39">
        <v>11</v>
      </c>
      <c r="C43" s="39">
        <v>6</v>
      </c>
      <c r="D43" s="40"/>
      <c r="E43" s="40"/>
      <c r="F43" s="39">
        <v>17</v>
      </c>
      <c r="G43" s="41">
        <v>64.709999999999994</v>
      </c>
      <c r="H43" s="41">
        <v>64.709999999999994</v>
      </c>
    </row>
    <row r="44" spans="1:8" ht="67.5" x14ac:dyDescent="0.25">
      <c r="A44" s="38" t="s">
        <v>13</v>
      </c>
      <c r="B44" s="39">
        <v>6</v>
      </c>
      <c r="C44" s="40"/>
      <c r="D44" s="40"/>
      <c r="E44" s="40"/>
      <c r="F44" s="39">
        <v>6</v>
      </c>
      <c r="G44" s="41">
        <v>100</v>
      </c>
      <c r="H44" s="41">
        <v>100</v>
      </c>
    </row>
    <row r="45" spans="1:8" ht="67.5" x14ac:dyDescent="0.25">
      <c r="A45" s="38" t="s">
        <v>14</v>
      </c>
      <c r="B45" s="39">
        <v>66</v>
      </c>
      <c r="C45" s="39">
        <v>4</v>
      </c>
      <c r="D45" s="40"/>
      <c r="E45" s="39">
        <v>1</v>
      </c>
      <c r="F45" s="39">
        <v>71</v>
      </c>
      <c r="G45" s="41">
        <v>94.29</v>
      </c>
      <c r="H45" s="41">
        <v>92.96</v>
      </c>
    </row>
    <row r="46" spans="1:8" ht="67.5" x14ac:dyDescent="0.25">
      <c r="A46" s="38" t="s">
        <v>15</v>
      </c>
      <c r="B46" s="39">
        <v>13</v>
      </c>
      <c r="C46" s="39">
        <v>9</v>
      </c>
      <c r="D46" s="40"/>
      <c r="E46" s="40"/>
      <c r="F46" s="39">
        <v>22</v>
      </c>
      <c r="G46" s="41">
        <v>59.09</v>
      </c>
      <c r="H46" s="41">
        <v>59.09</v>
      </c>
    </row>
    <row r="47" spans="1:8" ht="67.5" x14ac:dyDescent="0.25">
      <c r="A47" s="38" t="s">
        <v>16</v>
      </c>
      <c r="B47" s="39">
        <v>8</v>
      </c>
      <c r="C47" s="39">
        <v>1</v>
      </c>
      <c r="D47" s="40"/>
      <c r="E47" s="40"/>
      <c r="F47" s="39">
        <v>9</v>
      </c>
      <c r="G47" s="41">
        <v>88.89</v>
      </c>
      <c r="H47" s="41">
        <v>88.89</v>
      </c>
    </row>
    <row r="48" spans="1:8" ht="67.5" x14ac:dyDescent="0.25">
      <c r="A48" s="38" t="s">
        <v>17</v>
      </c>
      <c r="B48" s="39">
        <v>54</v>
      </c>
      <c r="C48" s="39">
        <v>10</v>
      </c>
      <c r="D48" s="40"/>
      <c r="E48" s="40"/>
      <c r="F48" s="39">
        <v>64</v>
      </c>
      <c r="G48" s="41">
        <v>84.38</v>
      </c>
      <c r="H48" s="41">
        <v>84.38</v>
      </c>
    </row>
    <row r="49" spans="1:8" ht="67.5" x14ac:dyDescent="0.25">
      <c r="A49" s="38" t="s">
        <v>18</v>
      </c>
      <c r="B49" s="39">
        <v>10</v>
      </c>
      <c r="C49" s="39">
        <v>2</v>
      </c>
      <c r="D49" s="40"/>
      <c r="E49" s="39">
        <v>1</v>
      </c>
      <c r="F49" s="39">
        <v>13</v>
      </c>
      <c r="G49" s="41">
        <v>83.33</v>
      </c>
      <c r="H49" s="41">
        <v>76.92</v>
      </c>
    </row>
    <row r="50" spans="1:8" ht="67.5" x14ac:dyDescent="0.25">
      <c r="A50" s="38" t="s">
        <v>19</v>
      </c>
      <c r="B50" s="39">
        <v>12</v>
      </c>
      <c r="C50" s="39">
        <v>4</v>
      </c>
      <c r="D50" s="39">
        <v>1</v>
      </c>
      <c r="E50" s="39">
        <v>5</v>
      </c>
      <c r="F50" s="39">
        <v>22</v>
      </c>
      <c r="G50" s="41">
        <v>70.59</v>
      </c>
      <c r="H50" s="41">
        <v>54.55</v>
      </c>
    </row>
    <row r="51" spans="1:8" ht="67.5" x14ac:dyDescent="0.25">
      <c r="A51" s="38" t="s">
        <v>20</v>
      </c>
      <c r="B51" s="39">
        <v>66</v>
      </c>
      <c r="C51" s="39">
        <v>3</v>
      </c>
      <c r="D51" s="40"/>
      <c r="E51" s="39">
        <v>1</v>
      </c>
      <c r="F51" s="39">
        <v>70</v>
      </c>
      <c r="G51" s="41">
        <v>95.65</v>
      </c>
      <c r="H51" s="41">
        <v>94.29</v>
      </c>
    </row>
    <row r="52" spans="1:8" ht="67.5" x14ac:dyDescent="0.25">
      <c r="A52" s="38" t="s">
        <v>21</v>
      </c>
      <c r="B52" s="39">
        <v>94</v>
      </c>
      <c r="C52" s="39">
        <v>20</v>
      </c>
      <c r="D52" s="40"/>
      <c r="E52" s="39">
        <v>4</v>
      </c>
      <c r="F52" s="39">
        <v>118</v>
      </c>
      <c r="G52" s="41">
        <v>82.46</v>
      </c>
      <c r="H52" s="41">
        <v>79.66</v>
      </c>
    </row>
    <row r="53" spans="1:8" ht="67.5" x14ac:dyDescent="0.25">
      <c r="A53" s="38" t="s">
        <v>23</v>
      </c>
      <c r="B53" s="39">
        <v>3</v>
      </c>
      <c r="C53" s="39">
        <v>2</v>
      </c>
      <c r="D53" s="40"/>
      <c r="E53" s="40"/>
      <c r="F53" s="39">
        <v>5</v>
      </c>
      <c r="G53" s="41">
        <v>60</v>
      </c>
      <c r="H53" s="41">
        <v>60</v>
      </c>
    </row>
    <row r="54" spans="1:8" ht="67.5" x14ac:dyDescent="0.25">
      <c r="A54" s="38" t="s">
        <v>24</v>
      </c>
      <c r="B54" s="39">
        <v>48</v>
      </c>
      <c r="C54" s="39">
        <v>12</v>
      </c>
      <c r="D54" s="40"/>
      <c r="E54" s="40"/>
      <c r="F54" s="39">
        <v>60</v>
      </c>
      <c r="G54" s="41">
        <v>80</v>
      </c>
      <c r="H54" s="41">
        <v>80</v>
      </c>
    </row>
    <row r="55" spans="1:8" ht="67.5" x14ac:dyDescent="0.25">
      <c r="A55" s="38" t="s">
        <v>25</v>
      </c>
      <c r="B55" s="39">
        <v>3</v>
      </c>
      <c r="C55" s="39">
        <v>1</v>
      </c>
      <c r="D55" s="40"/>
      <c r="E55" s="40"/>
      <c r="F55" s="39">
        <v>4</v>
      </c>
      <c r="G55" s="41">
        <v>75</v>
      </c>
      <c r="H55" s="41">
        <v>75</v>
      </c>
    </row>
    <row r="56" spans="1:8" ht="67.5" x14ac:dyDescent="0.25">
      <c r="A56" s="38" t="s">
        <v>26</v>
      </c>
      <c r="B56" s="39">
        <v>151</v>
      </c>
      <c r="C56" s="39">
        <v>28</v>
      </c>
      <c r="D56" s="39">
        <v>2</v>
      </c>
      <c r="E56" s="39">
        <v>2</v>
      </c>
      <c r="F56" s="39">
        <v>183</v>
      </c>
      <c r="G56" s="41">
        <v>83.43</v>
      </c>
      <c r="H56" s="41">
        <v>82.51</v>
      </c>
    </row>
    <row r="57" spans="1:8" ht="67.5" x14ac:dyDescent="0.25">
      <c r="A57" s="38" t="s">
        <v>27</v>
      </c>
      <c r="B57" s="39">
        <v>193</v>
      </c>
      <c r="C57" s="39">
        <v>27</v>
      </c>
      <c r="D57" s="40"/>
      <c r="E57" s="39">
        <v>5</v>
      </c>
      <c r="F57" s="39">
        <v>225</v>
      </c>
      <c r="G57" s="41">
        <v>87.73</v>
      </c>
      <c r="H57" s="41">
        <v>85.78</v>
      </c>
    </row>
    <row r="58" spans="1:8" ht="67.5" x14ac:dyDescent="0.25">
      <c r="A58" s="38" t="s">
        <v>28</v>
      </c>
      <c r="B58" s="39">
        <v>111</v>
      </c>
      <c r="C58" s="39">
        <v>27</v>
      </c>
      <c r="D58" s="39">
        <v>1</v>
      </c>
      <c r="E58" s="39">
        <v>4</v>
      </c>
      <c r="F58" s="39">
        <v>143</v>
      </c>
      <c r="G58" s="41">
        <v>79.86</v>
      </c>
      <c r="H58" s="41">
        <v>77.62</v>
      </c>
    </row>
    <row r="59" spans="1:8" ht="67.5" x14ac:dyDescent="0.25">
      <c r="A59" s="38" t="s">
        <v>29</v>
      </c>
      <c r="B59" s="39">
        <v>126</v>
      </c>
      <c r="C59" s="39">
        <v>15</v>
      </c>
      <c r="D59" s="40"/>
      <c r="E59" s="39">
        <v>3</v>
      </c>
      <c r="F59" s="39">
        <v>144</v>
      </c>
      <c r="G59" s="41">
        <v>89.36</v>
      </c>
      <c r="H59" s="41">
        <v>87.5</v>
      </c>
    </row>
    <row r="60" spans="1:8" ht="90" x14ac:dyDescent="0.25">
      <c r="A60" s="38" t="s">
        <v>185</v>
      </c>
      <c r="B60" s="39">
        <v>18</v>
      </c>
      <c r="C60" s="39">
        <v>4</v>
      </c>
      <c r="D60" s="40"/>
      <c r="E60" s="39">
        <v>1</v>
      </c>
      <c r="F60" s="39">
        <v>23</v>
      </c>
      <c r="G60" s="41">
        <v>81.819999999999993</v>
      </c>
      <c r="H60" s="41">
        <v>78.260000000000005</v>
      </c>
    </row>
    <row r="61" spans="1:8" ht="67.5" x14ac:dyDescent="0.25">
      <c r="A61" s="38" t="s">
        <v>30</v>
      </c>
      <c r="B61" s="39">
        <v>14</v>
      </c>
      <c r="C61" s="39">
        <v>8</v>
      </c>
      <c r="D61" s="40"/>
      <c r="E61" s="39">
        <v>1</v>
      </c>
      <c r="F61" s="39">
        <v>23</v>
      </c>
      <c r="G61" s="41">
        <v>63.64</v>
      </c>
      <c r="H61" s="41">
        <v>60.87</v>
      </c>
    </row>
    <row r="62" spans="1:8" ht="78.75" x14ac:dyDescent="0.25">
      <c r="A62" s="38" t="s">
        <v>31</v>
      </c>
      <c r="B62" s="39">
        <v>10</v>
      </c>
      <c r="C62" s="39">
        <v>3</v>
      </c>
      <c r="D62" s="40"/>
      <c r="E62" s="40"/>
      <c r="F62" s="39">
        <v>13</v>
      </c>
      <c r="G62" s="41">
        <v>76.92</v>
      </c>
      <c r="H62" s="41">
        <v>76.92</v>
      </c>
    </row>
    <row r="63" spans="1:8" ht="67.5" x14ac:dyDescent="0.25">
      <c r="A63" s="38" t="s">
        <v>32</v>
      </c>
      <c r="B63" s="39">
        <v>5</v>
      </c>
      <c r="C63" s="39">
        <v>2</v>
      </c>
      <c r="D63" s="40"/>
      <c r="E63" s="40"/>
      <c r="F63" s="39">
        <v>7</v>
      </c>
      <c r="G63" s="41">
        <v>71.430000000000007</v>
      </c>
      <c r="H63" s="41">
        <v>71.430000000000007</v>
      </c>
    </row>
    <row r="64" spans="1:8" ht="67.5" x14ac:dyDescent="0.25">
      <c r="A64" s="38" t="s">
        <v>33</v>
      </c>
      <c r="B64" s="39">
        <v>8</v>
      </c>
      <c r="C64" s="39">
        <v>7</v>
      </c>
      <c r="D64" s="40"/>
      <c r="E64" s="40"/>
      <c r="F64" s="39">
        <v>15</v>
      </c>
      <c r="G64" s="41">
        <v>53.33</v>
      </c>
      <c r="H64" s="41">
        <v>53.33</v>
      </c>
    </row>
    <row r="65" spans="1:8" ht="78.75" x14ac:dyDescent="0.25">
      <c r="A65" s="38" t="s">
        <v>34</v>
      </c>
      <c r="B65" s="39">
        <v>20</v>
      </c>
      <c r="C65" s="39">
        <v>11</v>
      </c>
      <c r="D65" s="40"/>
      <c r="E65" s="40"/>
      <c r="F65" s="39">
        <v>31</v>
      </c>
      <c r="G65" s="41">
        <v>64.52</v>
      </c>
      <c r="H65" s="41">
        <v>64.52</v>
      </c>
    </row>
    <row r="66" spans="1:8" ht="78.75" x14ac:dyDescent="0.25">
      <c r="A66" s="38" t="s">
        <v>35</v>
      </c>
      <c r="B66" s="39">
        <v>38</v>
      </c>
      <c r="C66" s="39">
        <v>14</v>
      </c>
      <c r="D66" s="40"/>
      <c r="E66" s="40"/>
      <c r="F66" s="39">
        <v>52</v>
      </c>
      <c r="G66" s="41">
        <v>73.08</v>
      </c>
      <c r="H66" s="41">
        <v>73.08</v>
      </c>
    </row>
    <row r="67" spans="1:8" ht="78.75" x14ac:dyDescent="0.25">
      <c r="A67" s="38" t="s">
        <v>36</v>
      </c>
      <c r="B67" s="39">
        <v>2</v>
      </c>
      <c r="C67" s="40"/>
      <c r="D67" s="40"/>
      <c r="E67" s="40"/>
      <c r="F67" s="39">
        <v>2</v>
      </c>
      <c r="G67" s="41">
        <v>100</v>
      </c>
      <c r="H67" s="41">
        <v>100</v>
      </c>
    </row>
    <row r="68" spans="1:8" ht="78.75" x14ac:dyDescent="0.25">
      <c r="A68" s="38" t="s">
        <v>37</v>
      </c>
      <c r="B68" s="39">
        <v>33</v>
      </c>
      <c r="C68" s="39">
        <v>4</v>
      </c>
      <c r="D68" s="40"/>
      <c r="E68" s="40"/>
      <c r="F68" s="39">
        <v>37</v>
      </c>
      <c r="G68" s="41">
        <v>89.19</v>
      </c>
      <c r="H68" s="41">
        <v>89.19</v>
      </c>
    </row>
    <row r="69" spans="1:8" ht="78.75" x14ac:dyDescent="0.25">
      <c r="A69" s="38" t="s">
        <v>38</v>
      </c>
      <c r="B69" s="39">
        <v>22</v>
      </c>
      <c r="C69" s="39">
        <v>3</v>
      </c>
      <c r="D69" s="39">
        <v>1</v>
      </c>
      <c r="E69" s="39">
        <v>1</v>
      </c>
      <c r="F69" s="39">
        <v>27</v>
      </c>
      <c r="G69" s="41">
        <v>84.62</v>
      </c>
      <c r="H69" s="41">
        <v>81.48</v>
      </c>
    </row>
    <row r="70" spans="1:8" ht="78.75" x14ac:dyDescent="0.25">
      <c r="A70" s="38" t="s">
        <v>39</v>
      </c>
      <c r="B70" s="39">
        <v>5</v>
      </c>
      <c r="C70" s="39">
        <v>2</v>
      </c>
      <c r="D70" s="40"/>
      <c r="E70" s="40"/>
      <c r="F70" s="39">
        <v>7</v>
      </c>
      <c r="G70" s="41">
        <v>71.430000000000007</v>
      </c>
      <c r="H70" s="41">
        <v>71.430000000000007</v>
      </c>
    </row>
    <row r="71" spans="1:8" ht="78.75" x14ac:dyDescent="0.25">
      <c r="A71" s="38" t="s">
        <v>40</v>
      </c>
      <c r="B71" s="39">
        <v>21</v>
      </c>
      <c r="C71" s="39">
        <v>5</v>
      </c>
      <c r="D71" s="39">
        <v>1</v>
      </c>
      <c r="E71" s="40"/>
      <c r="F71" s="39">
        <v>27</v>
      </c>
      <c r="G71" s="41">
        <v>77.78</v>
      </c>
      <c r="H71" s="41">
        <v>77.78</v>
      </c>
    </row>
    <row r="72" spans="1:8" ht="67.5" x14ac:dyDescent="0.25">
      <c r="A72" s="38" t="s">
        <v>42</v>
      </c>
      <c r="B72" s="39">
        <v>3</v>
      </c>
      <c r="C72" s="39">
        <v>4</v>
      </c>
      <c r="D72" s="40"/>
      <c r="E72" s="39">
        <v>1</v>
      </c>
      <c r="F72" s="39">
        <v>8</v>
      </c>
      <c r="G72" s="41">
        <v>42.86</v>
      </c>
      <c r="H72" s="41">
        <v>37.5</v>
      </c>
    </row>
    <row r="73" spans="1:8" ht="67.5" x14ac:dyDescent="0.25">
      <c r="A73" s="38" t="s">
        <v>43</v>
      </c>
      <c r="B73" s="39">
        <v>10</v>
      </c>
      <c r="C73" s="39">
        <v>6</v>
      </c>
      <c r="D73" s="40"/>
      <c r="E73" s="40"/>
      <c r="F73" s="39">
        <v>16</v>
      </c>
      <c r="G73" s="41">
        <v>62.5</v>
      </c>
      <c r="H73" s="41">
        <v>62.5</v>
      </c>
    </row>
    <row r="74" spans="1:8" ht="67.5" x14ac:dyDescent="0.25">
      <c r="A74" s="38" t="s">
        <v>44</v>
      </c>
      <c r="B74" s="39">
        <v>6</v>
      </c>
      <c r="C74" s="39">
        <v>1</v>
      </c>
      <c r="D74" s="40"/>
      <c r="E74" s="40"/>
      <c r="F74" s="39">
        <v>7</v>
      </c>
      <c r="G74" s="41">
        <v>85.71</v>
      </c>
      <c r="H74" s="41">
        <v>85.71</v>
      </c>
    </row>
    <row r="75" spans="1:8" ht="78.75" x14ac:dyDescent="0.25">
      <c r="A75" s="38" t="s">
        <v>204</v>
      </c>
      <c r="B75" s="39">
        <v>1</v>
      </c>
      <c r="C75" s="39">
        <v>1</v>
      </c>
      <c r="D75" s="40"/>
      <c r="E75" s="39">
        <v>1</v>
      </c>
      <c r="F75" s="39">
        <v>3</v>
      </c>
      <c r="G75" s="41">
        <v>50</v>
      </c>
      <c r="H75" s="41">
        <v>33.33</v>
      </c>
    </row>
    <row r="76" spans="1:8" ht="78.75" x14ac:dyDescent="0.25">
      <c r="A76" s="38" t="s">
        <v>205</v>
      </c>
      <c r="B76" s="39">
        <v>1</v>
      </c>
      <c r="C76" s="40"/>
      <c r="D76" s="40"/>
      <c r="E76" s="40"/>
      <c r="F76" s="39">
        <v>1</v>
      </c>
      <c r="G76" s="41">
        <v>100</v>
      </c>
      <c r="H76" s="41">
        <v>100</v>
      </c>
    </row>
    <row r="77" spans="1:8" ht="90" x14ac:dyDescent="0.25">
      <c r="A77" s="38" t="s">
        <v>206</v>
      </c>
      <c r="B77" s="39">
        <v>0</v>
      </c>
      <c r="C77" s="40"/>
      <c r="D77" s="40"/>
      <c r="E77" s="39">
        <v>1</v>
      </c>
      <c r="F77" s="39">
        <v>1</v>
      </c>
      <c r="G77" s="40"/>
      <c r="H77" s="41">
        <v>0</v>
      </c>
    </row>
    <row r="78" spans="1:8" ht="78.75" x14ac:dyDescent="0.25">
      <c r="A78" s="38" t="s">
        <v>46</v>
      </c>
      <c r="B78" s="39">
        <v>2</v>
      </c>
      <c r="C78" s="40"/>
      <c r="D78" s="40"/>
      <c r="E78" s="40"/>
      <c r="F78" s="39">
        <v>2</v>
      </c>
      <c r="G78" s="41">
        <v>100</v>
      </c>
      <c r="H78" s="41">
        <v>100</v>
      </c>
    </row>
    <row r="79" spans="1:8" ht="78.75" x14ac:dyDescent="0.25">
      <c r="A79" s="38" t="s">
        <v>47</v>
      </c>
      <c r="B79" s="39">
        <v>79</v>
      </c>
      <c r="C79" s="39">
        <v>46</v>
      </c>
      <c r="D79" s="39">
        <v>2</v>
      </c>
      <c r="E79" s="40"/>
      <c r="F79" s="39">
        <v>127</v>
      </c>
      <c r="G79" s="41">
        <v>62.2</v>
      </c>
      <c r="H79" s="41">
        <v>62.2</v>
      </c>
    </row>
    <row r="80" spans="1:8" ht="78.75" x14ac:dyDescent="0.25">
      <c r="A80" s="38" t="s">
        <v>48</v>
      </c>
      <c r="B80" s="39">
        <v>8</v>
      </c>
      <c r="C80" s="39">
        <v>3</v>
      </c>
      <c r="D80" s="40"/>
      <c r="E80" s="40"/>
      <c r="F80" s="39">
        <v>11</v>
      </c>
      <c r="G80" s="41">
        <v>72.73</v>
      </c>
      <c r="H80" s="41">
        <v>72.73</v>
      </c>
    </row>
    <row r="81" spans="1:8" ht="78.75" x14ac:dyDescent="0.25">
      <c r="A81" s="38" t="s">
        <v>49</v>
      </c>
      <c r="B81" s="39">
        <v>29</v>
      </c>
      <c r="C81" s="39">
        <v>5</v>
      </c>
      <c r="D81" s="40"/>
      <c r="E81" s="40"/>
      <c r="F81" s="39">
        <v>34</v>
      </c>
      <c r="G81" s="41">
        <v>85.29</v>
      </c>
      <c r="H81" s="41">
        <v>85.29</v>
      </c>
    </row>
    <row r="82" spans="1:8" ht="67.5" x14ac:dyDescent="0.25">
      <c r="A82" s="38" t="s">
        <v>50</v>
      </c>
      <c r="B82" s="39">
        <v>1</v>
      </c>
      <c r="C82" s="40"/>
      <c r="D82" s="40"/>
      <c r="E82" s="40"/>
      <c r="F82" s="39">
        <v>1</v>
      </c>
      <c r="G82" s="41">
        <v>100</v>
      </c>
      <c r="H82" s="41">
        <v>100</v>
      </c>
    </row>
    <row r="83" spans="1:8" ht="67.5" x14ac:dyDescent="0.25">
      <c r="A83" s="38" t="s">
        <v>51</v>
      </c>
      <c r="B83" s="39">
        <v>10</v>
      </c>
      <c r="C83" s="39">
        <v>4</v>
      </c>
      <c r="D83" s="39">
        <v>1</v>
      </c>
      <c r="E83" s="39">
        <v>1</v>
      </c>
      <c r="F83" s="39">
        <v>16</v>
      </c>
      <c r="G83" s="41">
        <v>66.67</v>
      </c>
      <c r="H83" s="41">
        <v>62.5</v>
      </c>
    </row>
    <row r="84" spans="1:8" ht="67.5" x14ac:dyDescent="0.25">
      <c r="A84" s="38" t="s">
        <v>52</v>
      </c>
      <c r="B84" s="39">
        <v>6</v>
      </c>
      <c r="C84" s="39">
        <v>3</v>
      </c>
      <c r="D84" s="40"/>
      <c r="E84" s="40"/>
      <c r="F84" s="39">
        <v>9</v>
      </c>
      <c r="G84" s="41">
        <v>66.67</v>
      </c>
      <c r="H84" s="41">
        <v>66.67</v>
      </c>
    </row>
    <row r="85" spans="1:8" ht="67.5" x14ac:dyDescent="0.25">
      <c r="A85" s="38" t="s">
        <v>53</v>
      </c>
      <c r="B85" s="39">
        <v>31</v>
      </c>
      <c r="C85" s="39">
        <v>5</v>
      </c>
      <c r="D85" s="40"/>
      <c r="E85" s="39">
        <v>2</v>
      </c>
      <c r="F85" s="39">
        <v>38</v>
      </c>
      <c r="G85" s="41">
        <v>86.11</v>
      </c>
      <c r="H85" s="41">
        <v>81.58</v>
      </c>
    </row>
    <row r="86" spans="1:8" ht="67.5" x14ac:dyDescent="0.25">
      <c r="A86" s="38" t="s">
        <v>54</v>
      </c>
      <c r="B86" s="39">
        <v>0</v>
      </c>
      <c r="C86" s="39">
        <v>8</v>
      </c>
      <c r="D86" s="40"/>
      <c r="E86" s="40"/>
      <c r="F86" s="39">
        <v>8</v>
      </c>
      <c r="G86" s="40"/>
      <c r="H86" s="41">
        <v>0</v>
      </c>
    </row>
    <row r="87" spans="1:8" ht="67.5" x14ac:dyDescent="0.25">
      <c r="A87" s="38" t="s">
        <v>55</v>
      </c>
      <c r="B87" s="39">
        <v>68</v>
      </c>
      <c r="C87" s="39">
        <v>10</v>
      </c>
      <c r="D87" s="40"/>
      <c r="E87" s="40"/>
      <c r="F87" s="39">
        <v>78</v>
      </c>
      <c r="G87" s="41">
        <v>87.18</v>
      </c>
      <c r="H87" s="41">
        <v>87.18</v>
      </c>
    </row>
    <row r="88" spans="1:8" ht="67.5" x14ac:dyDescent="0.25">
      <c r="A88" s="38" t="s">
        <v>56</v>
      </c>
      <c r="B88" s="39">
        <v>107</v>
      </c>
      <c r="C88" s="39">
        <v>13</v>
      </c>
      <c r="D88" s="40"/>
      <c r="E88" s="39">
        <v>4</v>
      </c>
      <c r="F88" s="39">
        <v>124</v>
      </c>
      <c r="G88" s="41">
        <v>89.17</v>
      </c>
      <c r="H88" s="41">
        <v>86.29</v>
      </c>
    </row>
    <row r="89" spans="1:8" ht="90" x14ac:dyDescent="0.25">
      <c r="A89" s="38" t="s">
        <v>57</v>
      </c>
      <c r="B89" s="39">
        <v>76</v>
      </c>
      <c r="C89" s="39">
        <v>27</v>
      </c>
      <c r="D89" s="40"/>
      <c r="E89" s="39">
        <v>1</v>
      </c>
      <c r="F89" s="39">
        <v>104</v>
      </c>
      <c r="G89" s="41">
        <v>73.790000000000006</v>
      </c>
      <c r="H89" s="41">
        <v>73.08</v>
      </c>
    </row>
    <row r="90" spans="1:8" ht="90" x14ac:dyDescent="0.25">
      <c r="A90" s="38" t="s">
        <v>58</v>
      </c>
      <c r="B90" s="39">
        <v>6</v>
      </c>
      <c r="C90" s="39">
        <v>2</v>
      </c>
      <c r="D90" s="40"/>
      <c r="E90" s="40"/>
      <c r="F90" s="39">
        <v>8</v>
      </c>
      <c r="G90" s="41">
        <v>75</v>
      </c>
      <c r="H90" s="41">
        <v>75</v>
      </c>
    </row>
    <row r="91" spans="1:8" ht="90" x14ac:dyDescent="0.25">
      <c r="A91" s="38" t="s">
        <v>59</v>
      </c>
      <c r="B91" s="39">
        <v>47</v>
      </c>
      <c r="C91" s="39">
        <v>5</v>
      </c>
      <c r="D91" s="40"/>
      <c r="E91" s="40"/>
      <c r="F91" s="39">
        <v>52</v>
      </c>
      <c r="G91" s="41">
        <v>90.38</v>
      </c>
      <c r="H91" s="41">
        <v>90.38</v>
      </c>
    </row>
    <row r="92" spans="1:8" ht="90" x14ac:dyDescent="0.25">
      <c r="A92" s="38" t="s">
        <v>60</v>
      </c>
      <c r="B92" s="39">
        <v>15</v>
      </c>
      <c r="C92" s="39">
        <v>3</v>
      </c>
      <c r="D92" s="40"/>
      <c r="E92" s="40"/>
      <c r="F92" s="39">
        <v>18</v>
      </c>
      <c r="G92" s="41">
        <v>83.33</v>
      </c>
      <c r="H92" s="41">
        <v>83.33</v>
      </c>
    </row>
    <row r="93" spans="1:8" ht="78.75" x14ac:dyDescent="0.25">
      <c r="A93" s="38" t="s">
        <v>61</v>
      </c>
      <c r="B93" s="39">
        <v>23</v>
      </c>
      <c r="C93" s="39">
        <v>5</v>
      </c>
      <c r="D93" s="40"/>
      <c r="E93" s="40"/>
      <c r="F93" s="39">
        <v>28</v>
      </c>
      <c r="G93" s="41">
        <v>82.14</v>
      </c>
      <c r="H93" s="41">
        <v>82.14</v>
      </c>
    </row>
    <row r="94" spans="1:8" ht="90" x14ac:dyDescent="0.25">
      <c r="A94" s="38" t="s">
        <v>62</v>
      </c>
      <c r="B94" s="39">
        <v>17</v>
      </c>
      <c r="C94" s="39">
        <v>20</v>
      </c>
      <c r="D94" s="40"/>
      <c r="E94" s="40"/>
      <c r="F94" s="39">
        <v>37</v>
      </c>
      <c r="G94" s="41">
        <v>45.95</v>
      </c>
      <c r="H94" s="41">
        <v>45.95</v>
      </c>
    </row>
    <row r="95" spans="1:8" ht="78.75" x14ac:dyDescent="0.25">
      <c r="A95" s="38" t="s">
        <v>63</v>
      </c>
      <c r="B95" s="39">
        <v>38</v>
      </c>
      <c r="C95" s="39">
        <v>14</v>
      </c>
      <c r="D95" s="40"/>
      <c r="E95" s="39">
        <v>1</v>
      </c>
      <c r="F95" s="39">
        <v>53</v>
      </c>
      <c r="G95" s="41">
        <v>73.08</v>
      </c>
      <c r="H95" s="41">
        <v>71.7</v>
      </c>
    </row>
    <row r="96" spans="1:8" ht="90" x14ac:dyDescent="0.25">
      <c r="A96" s="38" t="s">
        <v>64</v>
      </c>
      <c r="B96" s="39">
        <v>40</v>
      </c>
      <c r="C96" s="39">
        <v>13</v>
      </c>
      <c r="D96" s="40"/>
      <c r="E96" s="40"/>
      <c r="F96" s="39">
        <v>53</v>
      </c>
      <c r="G96" s="41">
        <v>75.47</v>
      </c>
      <c r="H96" s="41">
        <v>75.47</v>
      </c>
    </row>
    <row r="97" spans="1:8" ht="78.75" x14ac:dyDescent="0.25">
      <c r="A97" s="38" t="s">
        <v>65</v>
      </c>
      <c r="B97" s="39">
        <v>29</v>
      </c>
      <c r="C97" s="39">
        <v>9</v>
      </c>
      <c r="D97" s="40"/>
      <c r="E97" s="40"/>
      <c r="F97" s="39">
        <v>38</v>
      </c>
      <c r="G97" s="41">
        <v>76.319999999999993</v>
      </c>
      <c r="H97" s="41">
        <v>76.319999999999993</v>
      </c>
    </row>
    <row r="98" spans="1:8" ht="90" x14ac:dyDescent="0.25">
      <c r="A98" s="38" t="s">
        <v>66</v>
      </c>
      <c r="B98" s="39">
        <v>90</v>
      </c>
      <c r="C98" s="39">
        <v>29</v>
      </c>
      <c r="D98" s="39">
        <v>1</v>
      </c>
      <c r="E98" s="39">
        <v>4</v>
      </c>
      <c r="F98" s="39">
        <v>124</v>
      </c>
      <c r="G98" s="41">
        <v>75</v>
      </c>
      <c r="H98" s="41">
        <v>72.58</v>
      </c>
    </row>
    <row r="99" spans="1:8" ht="90" x14ac:dyDescent="0.25">
      <c r="A99" s="38" t="s">
        <v>67</v>
      </c>
      <c r="B99" s="39">
        <v>24</v>
      </c>
      <c r="C99" s="39">
        <v>3</v>
      </c>
      <c r="D99" s="40"/>
      <c r="E99" s="40"/>
      <c r="F99" s="39">
        <v>27</v>
      </c>
      <c r="G99" s="41">
        <v>88.89</v>
      </c>
      <c r="H99" s="41">
        <v>88.89</v>
      </c>
    </row>
    <row r="100" spans="1:8" ht="78.75" x14ac:dyDescent="0.25">
      <c r="A100" s="38" t="s">
        <v>68</v>
      </c>
      <c r="B100" s="39">
        <v>19</v>
      </c>
      <c r="C100" s="39">
        <v>8</v>
      </c>
      <c r="D100" s="39">
        <v>1</v>
      </c>
      <c r="E100" s="40"/>
      <c r="F100" s="39">
        <v>28</v>
      </c>
      <c r="G100" s="41">
        <v>67.86</v>
      </c>
      <c r="H100" s="41">
        <v>67.86</v>
      </c>
    </row>
    <row r="101" spans="1:8" ht="90" x14ac:dyDescent="0.25">
      <c r="A101" s="38" t="s">
        <v>69</v>
      </c>
      <c r="B101" s="39">
        <v>65</v>
      </c>
      <c r="C101" s="39">
        <v>35</v>
      </c>
      <c r="D101" s="40"/>
      <c r="E101" s="40"/>
      <c r="F101" s="39">
        <v>100</v>
      </c>
      <c r="G101" s="41">
        <v>65</v>
      </c>
      <c r="H101" s="41">
        <v>65</v>
      </c>
    </row>
    <row r="102" spans="1:8" ht="90" x14ac:dyDescent="0.25">
      <c r="A102" s="38" t="s">
        <v>70</v>
      </c>
      <c r="B102" s="39">
        <v>97</v>
      </c>
      <c r="C102" s="39">
        <v>19</v>
      </c>
      <c r="D102" s="39">
        <v>2</v>
      </c>
      <c r="E102" s="39">
        <v>1</v>
      </c>
      <c r="F102" s="39">
        <v>119</v>
      </c>
      <c r="G102" s="41">
        <v>82.2</v>
      </c>
      <c r="H102" s="41">
        <v>81.510000000000005</v>
      </c>
    </row>
    <row r="103" spans="1:8" ht="78.75" x14ac:dyDescent="0.25">
      <c r="A103" s="38" t="s">
        <v>71</v>
      </c>
      <c r="B103" s="39">
        <v>21</v>
      </c>
      <c r="C103" s="39">
        <v>21</v>
      </c>
      <c r="D103" s="40"/>
      <c r="E103" s="40"/>
      <c r="F103" s="39">
        <v>42</v>
      </c>
      <c r="G103" s="41">
        <v>50</v>
      </c>
      <c r="H103" s="41">
        <v>50</v>
      </c>
    </row>
    <row r="104" spans="1:8" ht="90" x14ac:dyDescent="0.25">
      <c r="A104" s="38" t="s">
        <v>72</v>
      </c>
      <c r="B104" s="39">
        <v>28</v>
      </c>
      <c r="C104" s="39">
        <v>5</v>
      </c>
      <c r="D104" s="40"/>
      <c r="E104" s="40"/>
      <c r="F104" s="39">
        <v>33</v>
      </c>
      <c r="G104" s="41">
        <v>84.85</v>
      </c>
      <c r="H104" s="41">
        <v>84.85</v>
      </c>
    </row>
    <row r="105" spans="1:8" ht="78.75" x14ac:dyDescent="0.25">
      <c r="A105" s="38" t="s">
        <v>73</v>
      </c>
      <c r="B105" s="39">
        <v>17</v>
      </c>
      <c r="C105" s="39">
        <v>9</v>
      </c>
      <c r="D105" s="40"/>
      <c r="E105" s="40"/>
      <c r="F105" s="39">
        <v>26</v>
      </c>
      <c r="G105" s="41">
        <v>65.38</v>
      </c>
      <c r="H105" s="41">
        <v>65.38</v>
      </c>
    </row>
    <row r="106" spans="1:8" ht="90" x14ac:dyDescent="0.25">
      <c r="A106" s="38" t="s">
        <v>74</v>
      </c>
      <c r="B106" s="39">
        <v>12</v>
      </c>
      <c r="C106" s="39">
        <v>10</v>
      </c>
      <c r="D106" s="40"/>
      <c r="E106" s="39">
        <v>1</v>
      </c>
      <c r="F106" s="39">
        <v>23</v>
      </c>
      <c r="G106" s="41">
        <v>54.55</v>
      </c>
      <c r="H106" s="41">
        <v>52.17</v>
      </c>
    </row>
    <row r="107" spans="1:8" ht="112.5" x14ac:dyDescent="0.25">
      <c r="A107" s="38" t="s">
        <v>75</v>
      </c>
      <c r="B107" s="39">
        <v>30</v>
      </c>
      <c r="C107" s="39">
        <v>11</v>
      </c>
      <c r="D107" s="39">
        <v>1</v>
      </c>
      <c r="E107" s="39">
        <v>3</v>
      </c>
      <c r="F107" s="39">
        <v>45</v>
      </c>
      <c r="G107" s="41">
        <v>71.430000000000007</v>
      </c>
      <c r="H107" s="41">
        <v>66.67</v>
      </c>
    </row>
    <row r="108" spans="1:8" ht="78.75" x14ac:dyDescent="0.25">
      <c r="A108" s="38" t="s">
        <v>77</v>
      </c>
      <c r="B108" s="39">
        <v>31</v>
      </c>
      <c r="C108" s="39">
        <v>11</v>
      </c>
      <c r="D108" s="40"/>
      <c r="E108" s="39">
        <v>1</v>
      </c>
      <c r="F108" s="39">
        <v>43</v>
      </c>
      <c r="G108" s="41">
        <v>73.81</v>
      </c>
      <c r="H108" s="41">
        <v>72.09</v>
      </c>
    </row>
    <row r="109" spans="1:8" ht="78.75" x14ac:dyDescent="0.25">
      <c r="A109" s="38" t="s">
        <v>78</v>
      </c>
      <c r="B109" s="39">
        <v>25</v>
      </c>
      <c r="C109" s="39">
        <v>5</v>
      </c>
      <c r="D109" s="39">
        <v>2</v>
      </c>
      <c r="E109" s="40"/>
      <c r="F109" s="39">
        <v>32</v>
      </c>
      <c r="G109" s="41">
        <v>78.13</v>
      </c>
      <c r="H109" s="41">
        <v>78.13</v>
      </c>
    </row>
    <row r="110" spans="1:8" ht="78.75" x14ac:dyDescent="0.25">
      <c r="A110" s="38" t="s">
        <v>79</v>
      </c>
      <c r="B110" s="39">
        <v>14</v>
      </c>
      <c r="C110" s="39">
        <v>1</v>
      </c>
      <c r="D110" s="40"/>
      <c r="E110" s="40"/>
      <c r="F110" s="39">
        <v>15</v>
      </c>
      <c r="G110" s="41">
        <v>93.33</v>
      </c>
      <c r="H110" s="41">
        <v>93.33</v>
      </c>
    </row>
    <row r="111" spans="1:8" ht="78.75" x14ac:dyDescent="0.25">
      <c r="A111" s="38" t="s">
        <v>80</v>
      </c>
      <c r="B111" s="39">
        <v>25</v>
      </c>
      <c r="C111" s="39">
        <v>3</v>
      </c>
      <c r="D111" s="40"/>
      <c r="E111" s="40"/>
      <c r="F111" s="39">
        <v>28</v>
      </c>
      <c r="G111" s="41">
        <v>89.29</v>
      </c>
      <c r="H111" s="41">
        <v>89.29</v>
      </c>
    </row>
    <row r="112" spans="1:8" ht="67.5" x14ac:dyDescent="0.25">
      <c r="A112" s="38" t="s">
        <v>82</v>
      </c>
      <c r="B112" s="39">
        <v>42</v>
      </c>
      <c r="C112" s="39">
        <v>4</v>
      </c>
      <c r="D112" s="40"/>
      <c r="E112" s="39">
        <v>1</v>
      </c>
      <c r="F112" s="39">
        <v>47</v>
      </c>
      <c r="G112" s="41">
        <v>91.3</v>
      </c>
      <c r="H112" s="41">
        <v>89.36</v>
      </c>
    </row>
    <row r="113" spans="1:8" ht="67.5" x14ac:dyDescent="0.25">
      <c r="A113" s="38" t="s">
        <v>83</v>
      </c>
      <c r="B113" s="39">
        <v>24</v>
      </c>
      <c r="C113" s="39">
        <v>4</v>
      </c>
      <c r="D113" s="39">
        <v>1</v>
      </c>
      <c r="E113" s="40"/>
      <c r="F113" s="39">
        <v>29</v>
      </c>
      <c r="G113" s="41">
        <v>82.76</v>
      </c>
      <c r="H113" s="41">
        <v>82.76</v>
      </c>
    </row>
    <row r="114" spans="1:8" ht="67.5" x14ac:dyDescent="0.25">
      <c r="A114" s="38" t="s">
        <v>84</v>
      </c>
      <c r="B114" s="39">
        <v>4</v>
      </c>
      <c r="C114" s="39">
        <v>2</v>
      </c>
      <c r="D114" s="40"/>
      <c r="E114" s="39">
        <v>1</v>
      </c>
      <c r="F114" s="39">
        <v>7</v>
      </c>
      <c r="G114" s="41">
        <v>66.67</v>
      </c>
      <c r="H114" s="41">
        <v>57.14</v>
      </c>
    </row>
    <row r="115" spans="1:8" ht="67.5" x14ac:dyDescent="0.25">
      <c r="A115" s="38" t="s">
        <v>85</v>
      </c>
      <c r="B115" s="39">
        <v>0</v>
      </c>
      <c r="C115" s="39">
        <v>1</v>
      </c>
      <c r="D115" s="40"/>
      <c r="E115" s="40"/>
      <c r="F115" s="39">
        <v>1</v>
      </c>
      <c r="G115" s="40"/>
      <c r="H115" s="41">
        <v>0</v>
      </c>
    </row>
    <row r="116" spans="1:8" ht="67.5" x14ac:dyDescent="0.25">
      <c r="A116" s="38" t="s">
        <v>86</v>
      </c>
      <c r="B116" s="39">
        <v>63</v>
      </c>
      <c r="C116" s="39">
        <v>8</v>
      </c>
      <c r="D116" s="40"/>
      <c r="E116" s="39">
        <v>1</v>
      </c>
      <c r="F116" s="39">
        <v>72</v>
      </c>
      <c r="G116" s="41">
        <v>88.73</v>
      </c>
      <c r="H116" s="41">
        <v>87.5</v>
      </c>
    </row>
    <row r="117" spans="1:8" ht="67.5" x14ac:dyDescent="0.25">
      <c r="A117" s="38" t="s">
        <v>87</v>
      </c>
      <c r="B117" s="39">
        <v>10</v>
      </c>
      <c r="C117" s="39">
        <v>3</v>
      </c>
      <c r="D117" s="40"/>
      <c r="E117" s="40"/>
      <c r="F117" s="39">
        <v>13</v>
      </c>
      <c r="G117" s="41">
        <v>76.92</v>
      </c>
      <c r="H117" s="41">
        <v>76.92</v>
      </c>
    </row>
    <row r="118" spans="1:8" ht="67.5" x14ac:dyDescent="0.25">
      <c r="A118" s="38" t="s">
        <v>88</v>
      </c>
      <c r="B118" s="39">
        <v>4</v>
      </c>
      <c r="C118" s="40"/>
      <c r="D118" s="40"/>
      <c r="E118" s="40"/>
      <c r="F118" s="39">
        <v>4</v>
      </c>
      <c r="G118" s="41">
        <v>100</v>
      </c>
      <c r="H118" s="41">
        <v>100</v>
      </c>
    </row>
    <row r="119" spans="1:8" ht="67.5" x14ac:dyDescent="0.25">
      <c r="A119" s="38" t="s">
        <v>89</v>
      </c>
      <c r="B119" s="39">
        <v>21</v>
      </c>
      <c r="C119" s="39">
        <v>13</v>
      </c>
      <c r="D119" s="40"/>
      <c r="E119" s="39">
        <v>2</v>
      </c>
      <c r="F119" s="39">
        <v>36</v>
      </c>
      <c r="G119" s="41">
        <v>61.76</v>
      </c>
      <c r="H119" s="41">
        <v>58.33</v>
      </c>
    </row>
    <row r="120" spans="1:8" ht="67.5" x14ac:dyDescent="0.25">
      <c r="A120" s="38" t="s">
        <v>90</v>
      </c>
      <c r="B120" s="39">
        <v>63</v>
      </c>
      <c r="C120" s="39">
        <v>12</v>
      </c>
      <c r="D120" s="39">
        <v>1</v>
      </c>
      <c r="E120" s="39">
        <v>2</v>
      </c>
      <c r="F120" s="39">
        <v>78</v>
      </c>
      <c r="G120" s="41">
        <v>82.89</v>
      </c>
      <c r="H120" s="41">
        <v>80.77</v>
      </c>
    </row>
    <row r="121" spans="1:8" ht="67.5" x14ac:dyDescent="0.25">
      <c r="A121" s="38" t="s">
        <v>91</v>
      </c>
      <c r="B121" s="39">
        <v>10</v>
      </c>
      <c r="C121" s="39">
        <v>2</v>
      </c>
      <c r="D121" s="40"/>
      <c r="E121" s="39">
        <v>1</v>
      </c>
      <c r="F121" s="39">
        <v>13</v>
      </c>
      <c r="G121" s="41">
        <v>83.33</v>
      </c>
      <c r="H121" s="41">
        <v>76.92</v>
      </c>
    </row>
    <row r="122" spans="1:8" ht="67.5" x14ac:dyDescent="0.25">
      <c r="A122" s="38" t="s">
        <v>92</v>
      </c>
      <c r="B122" s="39">
        <v>4</v>
      </c>
      <c r="C122" s="40"/>
      <c r="D122" s="39">
        <v>1</v>
      </c>
      <c r="E122" s="40"/>
      <c r="F122" s="39">
        <v>5</v>
      </c>
      <c r="G122" s="41">
        <v>80</v>
      </c>
      <c r="H122" s="41">
        <v>80</v>
      </c>
    </row>
    <row r="123" spans="1:8" ht="67.5" x14ac:dyDescent="0.25">
      <c r="A123" s="38" t="s">
        <v>93</v>
      </c>
      <c r="B123" s="39">
        <v>48</v>
      </c>
      <c r="C123" s="39">
        <v>13</v>
      </c>
      <c r="D123" s="40"/>
      <c r="E123" s="39">
        <v>1</v>
      </c>
      <c r="F123" s="39">
        <v>62</v>
      </c>
      <c r="G123" s="41">
        <v>78.69</v>
      </c>
      <c r="H123" s="41">
        <v>77.42</v>
      </c>
    </row>
    <row r="124" spans="1:8" ht="67.5" x14ac:dyDescent="0.25">
      <c r="A124" s="38" t="s">
        <v>94</v>
      </c>
      <c r="B124" s="39">
        <v>2</v>
      </c>
      <c r="C124" s="39">
        <v>3</v>
      </c>
      <c r="D124" s="40"/>
      <c r="E124" s="39">
        <v>1</v>
      </c>
      <c r="F124" s="39">
        <v>6</v>
      </c>
      <c r="G124" s="41">
        <v>40</v>
      </c>
      <c r="H124" s="41">
        <v>33.33</v>
      </c>
    </row>
    <row r="125" spans="1:8" ht="67.5" x14ac:dyDescent="0.25">
      <c r="A125" s="38" t="s">
        <v>95</v>
      </c>
      <c r="B125" s="39">
        <v>6</v>
      </c>
      <c r="C125" s="40"/>
      <c r="D125" s="40"/>
      <c r="E125" s="39">
        <v>2</v>
      </c>
      <c r="F125" s="39">
        <v>8</v>
      </c>
      <c r="G125" s="41">
        <v>100</v>
      </c>
      <c r="H125" s="41">
        <v>75</v>
      </c>
    </row>
    <row r="126" spans="1:8" ht="67.5" x14ac:dyDescent="0.25">
      <c r="A126" s="38" t="s">
        <v>96</v>
      </c>
      <c r="B126" s="39">
        <v>3</v>
      </c>
      <c r="C126" s="40"/>
      <c r="D126" s="40"/>
      <c r="E126" s="39">
        <v>1</v>
      </c>
      <c r="F126" s="39">
        <v>4</v>
      </c>
      <c r="G126" s="41">
        <v>100</v>
      </c>
      <c r="H126" s="41">
        <v>75</v>
      </c>
    </row>
    <row r="127" spans="1:8" ht="78.75" x14ac:dyDescent="0.25">
      <c r="A127" s="38" t="s">
        <v>97</v>
      </c>
      <c r="B127" s="39">
        <v>1</v>
      </c>
      <c r="C127" s="40"/>
      <c r="D127" s="40"/>
      <c r="E127" s="39">
        <v>1</v>
      </c>
      <c r="F127" s="39">
        <v>2</v>
      </c>
      <c r="G127" s="41">
        <v>100</v>
      </c>
      <c r="H127" s="41">
        <v>50</v>
      </c>
    </row>
    <row r="128" spans="1:8" ht="78.75" x14ac:dyDescent="0.25">
      <c r="A128" s="38" t="s">
        <v>98</v>
      </c>
      <c r="B128" s="39">
        <v>19</v>
      </c>
      <c r="C128" s="39">
        <v>1</v>
      </c>
      <c r="D128" s="40"/>
      <c r="E128" s="40"/>
      <c r="F128" s="39">
        <v>20</v>
      </c>
      <c r="G128" s="41">
        <v>95</v>
      </c>
      <c r="H128" s="41">
        <v>95</v>
      </c>
    </row>
    <row r="129" spans="1:8" ht="78.75" x14ac:dyDescent="0.25">
      <c r="A129" s="38" t="s">
        <v>99</v>
      </c>
      <c r="B129" s="39">
        <v>13</v>
      </c>
      <c r="C129" s="39">
        <v>4</v>
      </c>
      <c r="D129" s="40"/>
      <c r="E129" s="40"/>
      <c r="F129" s="39">
        <v>17</v>
      </c>
      <c r="G129" s="41">
        <v>76.47</v>
      </c>
      <c r="H129" s="41">
        <v>76.47</v>
      </c>
    </row>
    <row r="130" spans="1:8" ht="78.75" x14ac:dyDescent="0.25">
      <c r="A130" s="38" t="s">
        <v>100</v>
      </c>
      <c r="B130" s="39">
        <v>13</v>
      </c>
      <c r="C130" s="39">
        <v>3</v>
      </c>
      <c r="D130" s="40"/>
      <c r="E130" s="40"/>
      <c r="F130" s="39">
        <v>16</v>
      </c>
      <c r="G130" s="41">
        <v>81.25</v>
      </c>
      <c r="H130" s="41">
        <v>81.25</v>
      </c>
    </row>
    <row r="131" spans="1:8" ht="78.75" x14ac:dyDescent="0.25">
      <c r="A131" s="38" t="s">
        <v>101</v>
      </c>
      <c r="B131" s="39">
        <v>17</v>
      </c>
      <c r="C131" s="39">
        <v>6</v>
      </c>
      <c r="D131" s="40"/>
      <c r="E131" s="40"/>
      <c r="F131" s="39">
        <v>23</v>
      </c>
      <c r="G131" s="41">
        <v>73.91</v>
      </c>
      <c r="H131" s="41">
        <v>73.91</v>
      </c>
    </row>
    <row r="132" spans="1:8" ht="78.75" x14ac:dyDescent="0.25">
      <c r="A132" s="38" t="s">
        <v>102</v>
      </c>
      <c r="B132" s="39">
        <v>26</v>
      </c>
      <c r="C132" s="39">
        <v>1</v>
      </c>
      <c r="D132" s="40"/>
      <c r="E132" s="40"/>
      <c r="F132" s="39">
        <v>27</v>
      </c>
      <c r="G132" s="41">
        <v>96.3</v>
      </c>
      <c r="H132" s="41">
        <v>96.3</v>
      </c>
    </row>
    <row r="133" spans="1:8" ht="78.75" x14ac:dyDescent="0.25">
      <c r="A133" s="38" t="s">
        <v>103</v>
      </c>
      <c r="B133" s="39">
        <v>22</v>
      </c>
      <c r="C133" s="39">
        <v>8</v>
      </c>
      <c r="D133" s="40"/>
      <c r="E133" s="40"/>
      <c r="F133" s="39">
        <v>30</v>
      </c>
      <c r="G133" s="41">
        <v>73.33</v>
      </c>
      <c r="H133" s="41">
        <v>73.33</v>
      </c>
    </row>
    <row r="134" spans="1:8" ht="78.75" x14ac:dyDescent="0.25">
      <c r="A134" s="38" t="s">
        <v>104</v>
      </c>
      <c r="B134" s="39">
        <v>51</v>
      </c>
      <c r="C134" s="39">
        <v>19</v>
      </c>
      <c r="D134" s="40"/>
      <c r="E134" s="39">
        <v>1</v>
      </c>
      <c r="F134" s="39">
        <v>71</v>
      </c>
      <c r="G134" s="41">
        <v>72.86</v>
      </c>
      <c r="H134" s="41">
        <v>71.83</v>
      </c>
    </row>
    <row r="135" spans="1:8" ht="101.25" x14ac:dyDescent="0.25">
      <c r="A135" s="38" t="s">
        <v>105</v>
      </c>
      <c r="B135" s="39">
        <v>13</v>
      </c>
      <c r="C135" s="39">
        <v>17</v>
      </c>
      <c r="D135" s="40"/>
      <c r="E135" s="40"/>
      <c r="F135" s="39">
        <v>30</v>
      </c>
      <c r="G135" s="41">
        <v>43.33</v>
      </c>
      <c r="H135" s="41">
        <v>43.33</v>
      </c>
    </row>
    <row r="136" spans="1:8" ht="78.75" x14ac:dyDescent="0.25">
      <c r="A136" s="38" t="s">
        <v>106</v>
      </c>
      <c r="B136" s="39">
        <v>58</v>
      </c>
      <c r="C136" s="39">
        <v>11</v>
      </c>
      <c r="D136" s="39">
        <v>2</v>
      </c>
      <c r="E136" s="40"/>
      <c r="F136" s="39">
        <v>71</v>
      </c>
      <c r="G136" s="41">
        <v>81.69</v>
      </c>
      <c r="H136" s="41">
        <v>81.69</v>
      </c>
    </row>
    <row r="137" spans="1:8" ht="67.5" x14ac:dyDescent="0.25">
      <c r="A137" s="38" t="s">
        <v>108</v>
      </c>
      <c r="B137" s="39">
        <v>3</v>
      </c>
      <c r="C137" s="40"/>
      <c r="D137" s="40"/>
      <c r="E137" s="40"/>
      <c r="F137" s="39">
        <v>3</v>
      </c>
      <c r="G137" s="41">
        <v>100</v>
      </c>
      <c r="H137" s="41">
        <v>100</v>
      </c>
    </row>
    <row r="138" spans="1:8" ht="67.5" x14ac:dyDescent="0.25">
      <c r="A138" s="38" t="s">
        <v>109</v>
      </c>
      <c r="B138" s="39">
        <v>0</v>
      </c>
      <c r="C138" s="39">
        <v>1</v>
      </c>
      <c r="D138" s="40"/>
      <c r="E138" s="40"/>
      <c r="F138" s="39">
        <v>1</v>
      </c>
      <c r="G138" s="40"/>
      <c r="H138" s="41">
        <v>0</v>
      </c>
    </row>
    <row r="139" spans="1:8" ht="78.75" x14ac:dyDescent="0.25">
      <c r="A139" s="38" t="s">
        <v>110</v>
      </c>
      <c r="B139" s="39">
        <v>0</v>
      </c>
      <c r="C139" s="39">
        <v>1</v>
      </c>
      <c r="D139" s="40"/>
      <c r="E139" s="40"/>
      <c r="F139" s="39">
        <v>1</v>
      </c>
      <c r="G139" s="40"/>
      <c r="H139" s="41">
        <v>0</v>
      </c>
    </row>
    <row r="140" spans="1:8" ht="67.5" x14ac:dyDescent="0.25">
      <c r="A140" s="38" t="s">
        <v>112</v>
      </c>
      <c r="B140" s="39">
        <v>3</v>
      </c>
      <c r="C140" s="39">
        <v>1</v>
      </c>
      <c r="D140" s="40"/>
      <c r="E140" s="40"/>
      <c r="F140" s="39">
        <v>4</v>
      </c>
      <c r="G140" s="41">
        <v>75</v>
      </c>
      <c r="H140" s="41">
        <v>75</v>
      </c>
    </row>
    <row r="141" spans="1:8" ht="67.5" x14ac:dyDescent="0.25">
      <c r="A141" s="38" t="s">
        <v>113</v>
      </c>
      <c r="B141" s="39">
        <v>2</v>
      </c>
      <c r="C141" s="39">
        <v>3</v>
      </c>
      <c r="D141" s="40"/>
      <c r="E141" s="40"/>
      <c r="F141" s="39">
        <v>5</v>
      </c>
      <c r="G141" s="41">
        <v>40</v>
      </c>
      <c r="H141" s="41">
        <v>40</v>
      </c>
    </row>
    <row r="142" spans="1:8" ht="67.5" x14ac:dyDescent="0.25">
      <c r="A142" s="38" t="s">
        <v>114</v>
      </c>
      <c r="B142" s="39">
        <v>12</v>
      </c>
      <c r="C142" s="39">
        <v>3</v>
      </c>
      <c r="D142" s="39">
        <v>1</v>
      </c>
      <c r="E142" s="39">
        <v>1</v>
      </c>
      <c r="F142" s="39">
        <v>17</v>
      </c>
      <c r="G142" s="41">
        <v>75</v>
      </c>
      <c r="H142" s="41">
        <v>70.59</v>
      </c>
    </row>
    <row r="143" spans="1:8" ht="67.5" x14ac:dyDescent="0.25">
      <c r="A143" s="38" t="s">
        <v>115</v>
      </c>
      <c r="B143" s="39">
        <v>5</v>
      </c>
      <c r="C143" s="40"/>
      <c r="D143" s="40"/>
      <c r="E143" s="40"/>
      <c r="F143" s="39">
        <v>5</v>
      </c>
      <c r="G143" s="41">
        <v>100</v>
      </c>
      <c r="H143" s="41">
        <v>100</v>
      </c>
    </row>
    <row r="144" spans="1:8" ht="67.5" x14ac:dyDescent="0.25">
      <c r="A144" s="38" t="s">
        <v>116</v>
      </c>
      <c r="B144" s="39">
        <v>5</v>
      </c>
      <c r="C144" s="40"/>
      <c r="D144" s="40"/>
      <c r="E144" s="40"/>
      <c r="F144" s="39">
        <v>5</v>
      </c>
      <c r="G144" s="41">
        <v>100</v>
      </c>
      <c r="H144" s="41">
        <v>100</v>
      </c>
    </row>
    <row r="145" spans="1:8" ht="67.5" x14ac:dyDescent="0.25">
      <c r="A145" s="38" t="s">
        <v>117</v>
      </c>
      <c r="B145" s="39">
        <v>1</v>
      </c>
      <c r="C145" s="40"/>
      <c r="D145" s="40"/>
      <c r="E145" s="40"/>
      <c r="F145" s="39">
        <v>1</v>
      </c>
      <c r="G145" s="41">
        <v>100</v>
      </c>
      <c r="H145" s="41">
        <v>100</v>
      </c>
    </row>
    <row r="146" spans="1:8" ht="67.5" x14ac:dyDescent="0.25">
      <c r="A146" s="38" t="s">
        <v>118</v>
      </c>
      <c r="B146" s="39">
        <v>2</v>
      </c>
      <c r="C146" s="40"/>
      <c r="D146" s="40"/>
      <c r="E146" s="40"/>
      <c r="F146" s="39">
        <v>2</v>
      </c>
      <c r="G146" s="41">
        <v>100</v>
      </c>
      <c r="H146" s="41">
        <v>100</v>
      </c>
    </row>
    <row r="147" spans="1:8" ht="67.5" x14ac:dyDescent="0.25">
      <c r="A147" s="38" t="s">
        <v>119</v>
      </c>
      <c r="B147" s="39">
        <v>3</v>
      </c>
      <c r="C147" s="40"/>
      <c r="D147" s="40"/>
      <c r="E147" s="40"/>
      <c r="F147" s="39">
        <v>3</v>
      </c>
      <c r="G147" s="41">
        <v>100</v>
      </c>
      <c r="H147" s="41">
        <v>100</v>
      </c>
    </row>
    <row r="148" spans="1:8" ht="67.5" x14ac:dyDescent="0.25">
      <c r="A148" s="38" t="s">
        <v>120</v>
      </c>
      <c r="B148" s="39">
        <v>1</v>
      </c>
      <c r="C148" s="40"/>
      <c r="D148" s="40"/>
      <c r="E148" s="40"/>
      <c r="F148" s="39">
        <v>1</v>
      </c>
      <c r="G148" s="41">
        <v>100</v>
      </c>
      <c r="H148" s="41">
        <v>100</v>
      </c>
    </row>
    <row r="149" spans="1:8" ht="56.25" x14ac:dyDescent="0.25">
      <c r="A149" s="38" t="s">
        <v>208</v>
      </c>
      <c r="B149" s="39">
        <v>2</v>
      </c>
      <c r="C149" s="40"/>
      <c r="D149" s="40"/>
      <c r="E149" s="40"/>
      <c r="F149" s="39">
        <v>2</v>
      </c>
      <c r="G149" s="41">
        <v>100</v>
      </c>
      <c r="H149" s="41">
        <v>100</v>
      </c>
    </row>
    <row r="150" spans="1:8" ht="56.25" x14ac:dyDescent="0.25">
      <c r="A150" s="38" t="s">
        <v>209</v>
      </c>
      <c r="B150" s="39">
        <v>8</v>
      </c>
      <c r="C150" s="39">
        <v>6</v>
      </c>
      <c r="D150" s="40"/>
      <c r="E150" s="39">
        <v>5</v>
      </c>
      <c r="F150" s="39">
        <v>19</v>
      </c>
      <c r="G150" s="41">
        <v>57.14</v>
      </c>
      <c r="H150" s="41">
        <v>42.11</v>
      </c>
    </row>
    <row r="151" spans="1:8" ht="67.5" x14ac:dyDescent="0.25">
      <c r="A151" s="38" t="s">
        <v>211</v>
      </c>
      <c r="B151" s="39">
        <v>0</v>
      </c>
      <c r="C151" s="40"/>
      <c r="D151" s="40"/>
      <c r="E151" s="39">
        <v>1</v>
      </c>
      <c r="F151" s="39">
        <v>1</v>
      </c>
      <c r="G151" s="40"/>
      <c r="H151" s="41">
        <v>0</v>
      </c>
    </row>
    <row r="152" spans="1:8" ht="67.5" x14ac:dyDescent="0.25">
      <c r="A152" s="38" t="s">
        <v>210</v>
      </c>
      <c r="B152" s="39">
        <v>0</v>
      </c>
      <c r="C152" s="40"/>
      <c r="D152" s="40"/>
      <c r="E152" s="39">
        <v>1</v>
      </c>
      <c r="F152" s="39">
        <v>1</v>
      </c>
      <c r="G152" s="40"/>
      <c r="H152" s="41">
        <v>0</v>
      </c>
    </row>
    <row r="153" spans="1:8" x14ac:dyDescent="0.25">
      <c r="A153" s="42" t="s">
        <v>1</v>
      </c>
      <c r="B153" s="43">
        <v>3248</v>
      </c>
      <c r="C153" s="44">
        <v>845</v>
      </c>
      <c r="D153" s="44">
        <v>24</v>
      </c>
      <c r="E153" s="44">
        <v>90</v>
      </c>
      <c r="F153" s="43">
        <v>4207</v>
      </c>
      <c r="G153" s="45">
        <v>78.89</v>
      </c>
      <c r="H153" s="45">
        <v>77.2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0"/>
  <sheetViews>
    <sheetView topLeftCell="A31" workbookViewId="0">
      <selection sqref="A1:H175"/>
    </sheetView>
  </sheetViews>
  <sheetFormatPr defaultRowHeight="15" x14ac:dyDescent="0.25"/>
  <cols>
    <col min="1" max="1" width="46.140625" customWidth="1"/>
  </cols>
  <sheetData>
    <row r="1" spans="1:8" x14ac:dyDescent="0.25">
      <c r="A1" s="147" t="s">
        <v>0</v>
      </c>
      <c r="B1" s="148" t="s">
        <v>1</v>
      </c>
      <c r="C1" s="148"/>
      <c r="D1" s="148"/>
      <c r="E1" s="148"/>
      <c r="F1" s="148"/>
      <c r="G1" s="148"/>
      <c r="H1" s="148"/>
    </row>
    <row r="2" spans="1:8" ht="38.25" x14ac:dyDescent="0.25">
      <c r="A2" s="147"/>
      <c r="B2" s="1" t="s">
        <v>2</v>
      </c>
      <c r="C2" s="1" t="s">
        <v>3</v>
      </c>
      <c r="D2" s="1" t="s">
        <v>160</v>
      </c>
      <c r="E2" s="1" t="s">
        <v>161</v>
      </c>
      <c r="F2" s="1" t="s">
        <v>4</v>
      </c>
      <c r="G2" s="1" t="s">
        <v>162</v>
      </c>
      <c r="H2" s="1" t="s">
        <v>5</v>
      </c>
    </row>
    <row r="3" spans="1:8" x14ac:dyDescent="0.25">
      <c r="A3" s="2" t="s">
        <v>186</v>
      </c>
      <c r="B3" s="3">
        <v>10</v>
      </c>
      <c r="C3" s="3">
        <v>4</v>
      </c>
      <c r="D3" s="4"/>
      <c r="E3" s="3">
        <v>2</v>
      </c>
      <c r="F3" s="3">
        <v>16</v>
      </c>
      <c r="G3" s="5">
        <v>71.430000000000007</v>
      </c>
      <c r="H3" s="5">
        <v>62.5</v>
      </c>
    </row>
    <row r="4" spans="1:8" ht="40.9" customHeight="1" x14ac:dyDescent="0.25">
      <c r="A4" s="2" t="s">
        <v>177</v>
      </c>
      <c r="B4" s="3">
        <v>1</v>
      </c>
      <c r="C4" s="4"/>
      <c r="D4" s="4"/>
      <c r="E4" s="4"/>
      <c r="F4" s="3">
        <v>1</v>
      </c>
      <c r="G4" s="5">
        <v>100</v>
      </c>
      <c r="H4" s="5">
        <v>100</v>
      </c>
    </row>
    <row r="5" spans="1:8" ht="40.9" customHeight="1" x14ac:dyDescent="0.25">
      <c r="A5" s="2" t="s">
        <v>187</v>
      </c>
      <c r="B5" s="3">
        <v>9</v>
      </c>
      <c r="C5" s="3">
        <v>2</v>
      </c>
      <c r="D5" s="4"/>
      <c r="E5" s="3">
        <v>2</v>
      </c>
      <c r="F5" s="3">
        <v>13</v>
      </c>
      <c r="G5" s="5">
        <v>81.819999999999993</v>
      </c>
      <c r="H5" s="5">
        <v>69.23</v>
      </c>
    </row>
    <row r="6" spans="1:8" ht="40.9" customHeight="1" x14ac:dyDescent="0.25">
      <c r="A6" s="2" t="s">
        <v>178</v>
      </c>
      <c r="B6" s="3">
        <v>4</v>
      </c>
      <c r="C6" s="3">
        <v>2</v>
      </c>
      <c r="D6" s="4"/>
      <c r="E6" s="4"/>
      <c r="F6" s="3">
        <v>6</v>
      </c>
      <c r="G6" s="5">
        <v>66.67</v>
      </c>
      <c r="H6" s="5">
        <v>66.67</v>
      </c>
    </row>
    <row r="7" spans="1:8" ht="40.9" customHeight="1" x14ac:dyDescent="0.25">
      <c r="A7" s="2" t="s">
        <v>179</v>
      </c>
      <c r="B7" s="3">
        <v>1</v>
      </c>
      <c r="C7" s="3">
        <v>1</v>
      </c>
      <c r="D7" s="4"/>
      <c r="E7" s="4"/>
      <c r="F7" s="3">
        <v>2</v>
      </c>
      <c r="G7" s="5">
        <v>50</v>
      </c>
      <c r="H7" s="5">
        <v>50</v>
      </c>
    </row>
    <row r="8" spans="1:8" ht="40.9" customHeight="1" x14ac:dyDescent="0.25">
      <c r="A8" s="2" t="s">
        <v>188</v>
      </c>
      <c r="B8" s="3">
        <v>1</v>
      </c>
      <c r="C8" s="4"/>
      <c r="D8" s="4"/>
      <c r="E8" s="4"/>
      <c r="F8" s="3">
        <v>1</v>
      </c>
      <c r="G8" s="5">
        <v>100</v>
      </c>
      <c r="H8" s="5">
        <v>100</v>
      </c>
    </row>
    <row r="9" spans="1:8" ht="40.9" customHeight="1" x14ac:dyDescent="0.25">
      <c r="A9" s="2" t="s">
        <v>189</v>
      </c>
      <c r="B9" s="3">
        <v>4</v>
      </c>
      <c r="C9" s="3">
        <v>3</v>
      </c>
      <c r="D9" s="4"/>
      <c r="E9" s="4"/>
      <c r="F9" s="3">
        <v>7</v>
      </c>
      <c r="G9" s="5">
        <v>57.14</v>
      </c>
      <c r="H9" s="5">
        <v>57.14</v>
      </c>
    </row>
    <row r="10" spans="1:8" ht="40.9" customHeight="1" x14ac:dyDescent="0.25">
      <c r="A10" s="2" t="s">
        <v>180</v>
      </c>
      <c r="B10" s="3">
        <v>1</v>
      </c>
      <c r="C10" s="3">
        <v>1</v>
      </c>
      <c r="D10" s="4"/>
      <c r="E10" s="4"/>
      <c r="F10" s="3">
        <v>2</v>
      </c>
      <c r="G10" s="5">
        <v>50</v>
      </c>
      <c r="H10" s="5">
        <v>50</v>
      </c>
    </row>
    <row r="11" spans="1:8" ht="40.9" customHeight="1" x14ac:dyDescent="0.25">
      <c r="A11" s="2" t="s">
        <v>181</v>
      </c>
      <c r="B11" s="3">
        <v>5</v>
      </c>
      <c r="C11" s="4"/>
      <c r="D11" s="4"/>
      <c r="E11" s="3">
        <v>2</v>
      </c>
      <c r="F11" s="3">
        <v>7</v>
      </c>
      <c r="G11" s="5">
        <v>100</v>
      </c>
      <c r="H11" s="5">
        <v>71.430000000000007</v>
      </c>
    </row>
    <row r="12" spans="1:8" ht="51" customHeight="1" x14ac:dyDescent="0.25">
      <c r="A12" s="2" t="s">
        <v>182</v>
      </c>
      <c r="B12" s="3">
        <v>6</v>
      </c>
      <c r="C12" s="4"/>
      <c r="D12" s="4"/>
      <c r="E12" s="4"/>
      <c r="F12" s="3">
        <v>6</v>
      </c>
      <c r="G12" s="5">
        <v>100</v>
      </c>
      <c r="H12" s="5">
        <v>100</v>
      </c>
    </row>
    <row r="13" spans="1:8" ht="30.6" customHeight="1" x14ac:dyDescent="0.25">
      <c r="A13" s="2" t="s">
        <v>213</v>
      </c>
      <c r="B13" s="3">
        <v>7</v>
      </c>
      <c r="C13" s="3">
        <v>1</v>
      </c>
      <c r="D13" s="4"/>
      <c r="E13" s="3">
        <v>1</v>
      </c>
      <c r="F13" s="3">
        <v>9</v>
      </c>
      <c r="G13" s="5">
        <v>87.5</v>
      </c>
      <c r="H13" s="5">
        <v>77.78</v>
      </c>
    </row>
    <row r="14" spans="1:8" ht="30.6" customHeight="1" x14ac:dyDescent="0.25">
      <c r="A14" s="2" t="s">
        <v>214</v>
      </c>
      <c r="B14" s="3">
        <v>1</v>
      </c>
      <c r="C14" s="3">
        <v>2</v>
      </c>
      <c r="D14" s="4"/>
      <c r="E14" s="4"/>
      <c r="F14" s="3">
        <v>3</v>
      </c>
      <c r="G14" s="5">
        <v>33.33</v>
      </c>
      <c r="H14" s="5">
        <v>33.33</v>
      </c>
    </row>
    <row r="15" spans="1:8" ht="30.6" customHeight="1" x14ac:dyDescent="0.25">
      <c r="A15" s="2" t="s">
        <v>190</v>
      </c>
      <c r="B15" s="3">
        <v>1</v>
      </c>
      <c r="C15" s="3">
        <v>1</v>
      </c>
      <c r="D15" s="4"/>
      <c r="E15" s="4"/>
      <c r="F15" s="3">
        <v>2</v>
      </c>
      <c r="G15" s="5">
        <v>50</v>
      </c>
      <c r="H15" s="5">
        <v>50</v>
      </c>
    </row>
    <row r="16" spans="1:8" ht="51" customHeight="1" x14ac:dyDescent="0.25">
      <c r="A16" s="2" t="s">
        <v>184</v>
      </c>
      <c r="B16" s="3">
        <v>1</v>
      </c>
      <c r="C16" s="3">
        <v>2</v>
      </c>
      <c r="D16" s="4"/>
      <c r="E16" s="4"/>
      <c r="F16" s="3">
        <v>3</v>
      </c>
      <c r="G16" s="5">
        <v>33.33</v>
      </c>
      <c r="H16" s="5">
        <v>33.33</v>
      </c>
    </row>
    <row r="17" spans="1:8" ht="51" customHeight="1" x14ac:dyDescent="0.25">
      <c r="A17" s="2" t="s">
        <v>183</v>
      </c>
      <c r="B17" s="3">
        <v>1</v>
      </c>
      <c r="C17" s="4"/>
      <c r="D17" s="4"/>
      <c r="E17" s="4"/>
      <c r="F17" s="3">
        <v>1</v>
      </c>
      <c r="G17" s="5">
        <v>100</v>
      </c>
      <c r="H17" s="5">
        <v>100</v>
      </c>
    </row>
    <row r="18" spans="1:8" ht="51" customHeight="1" x14ac:dyDescent="0.25">
      <c r="A18" s="2" t="s">
        <v>215</v>
      </c>
      <c r="B18" s="3">
        <v>2</v>
      </c>
      <c r="C18" s="3">
        <v>3</v>
      </c>
      <c r="D18" s="4"/>
      <c r="E18" s="4"/>
      <c r="F18" s="3">
        <v>5</v>
      </c>
      <c r="G18" s="5">
        <v>40</v>
      </c>
      <c r="H18" s="5">
        <v>40</v>
      </c>
    </row>
    <row r="19" spans="1:8" ht="51" customHeight="1" x14ac:dyDescent="0.25">
      <c r="A19" s="2" t="s">
        <v>216</v>
      </c>
      <c r="B19" s="3">
        <v>2</v>
      </c>
      <c r="C19" s="3">
        <v>2</v>
      </c>
      <c r="D19" s="4"/>
      <c r="E19" s="3">
        <v>1</v>
      </c>
      <c r="F19" s="3">
        <v>5</v>
      </c>
      <c r="G19" s="5">
        <v>50</v>
      </c>
      <c r="H19" s="5">
        <v>40</v>
      </c>
    </row>
    <row r="20" spans="1:8" ht="51" customHeight="1" x14ac:dyDescent="0.25">
      <c r="A20" s="2" t="s">
        <v>217</v>
      </c>
      <c r="B20" s="3">
        <v>0</v>
      </c>
      <c r="C20" s="4"/>
      <c r="D20" s="4"/>
      <c r="E20" s="3">
        <v>1</v>
      </c>
      <c r="F20" s="3">
        <v>1</v>
      </c>
      <c r="G20" s="4"/>
      <c r="H20" s="5">
        <v>0</v>
      </c>
    </row>
    <row r="21" spans="1:8" ht="51" customHeight="1" x14ac:dyDescent="0.25">
      <c r="A21" s="2" t="s">
        <v>218</v>
      </c>
      <c r="B21" s="3">
        <v>0</v>
      </c>
      <c r="C21" s="3">
        <v>2</v>
      </c>
      <c r="D21" s="4"/>
      <c r="E21" s="4"/>
      <c r="F21" s="3">
        <v>2</v>
      </c>
      <c r="G21" s="4"/>
      <c r="H21" s="5">
        <v>0</v>
      </c>
    </row>
    <row r="22" spans="1:8" ht="51" customHeight="1" x14ac:dyDescent="0.25">
      <c r="A22" s="2" t="s">
        <v>219</v>
      </c>
      <c r="B22" s="3">
        <v>1</v>
      </c>
      <c r="C22" s="4"/>
      <c r="D22" s="4"/>
      <c r="E22" s="4"/>
      <c r="F22" s="3">
        <v>1</v>
      </c>
      <c r="G22" s="5">
        <v>100</v>
      </c>
      <c r="H22" s="5">
        <v>100</v>
      </c>
    </row>
    <row r="23" spans="1:8" ht="51" customHeight="1" x14ac:dyDescent="0.25">
      <c r="A23" s="2" t="s">
        <v>191</v>
      </c>
      <c r="B23" s="3">
        <v>78</v>
      </c>
      <c r="C23" s="3">
        <v>23</v>
      </c>
      <c r="D23" s="4"/>
      <c r="E23" s="3">
        <v>1</v>
      </c>
      <c r="F23" s="3">
        <v>102</v>
      </c>
      <c r="G23" s="5">
        <v>77.23</v>
      </c>
      <c r="H23" s="5">
        <v>76.47</v>
      </c>
    </row>
    <row r="24" spans="1:8" ht="51" customHeight="1" x14ac:dyDescent="0.25">
      <c r="A24" s="2" t="s">
        <v>192</v>
      </c>
      <c r="B24" s="3">
        <v>17</v>
      </c>
      <c r="C24" s="3">
        <v>6</v>
      </c>
      <c r="D24" s="4"/>
      <c r="E24" s="4"/>
      <c r="F24" s="3">
        <v>23</v>
      </c>
      <c r="G24" s="5">
        <v>73.91</v>
      </c>
      <c r="H24" s="5">
        <v>73.91</v>
      </c>
    </row>
    <row r="25" spans="1:8" ht="51" customHeight="1" x14ac:dyDescent="0.25">
      <c r="A25" s="2" t="s">
        <v>193</v>
      </c>
      <c r="B25" s="3">
        <v>1</v>
      </c>
      <c r="C25" s="3">
        <v>2</v>
      </c>
      <c r="D25" s="4"/>
      <c r="E25" s="3">
        <v>2</v>
      </c>
      <c r="F25" s="3">
        <v>5</v>
      </c>
      <c r="G25" s="5">
        <v>33.33</v>
      </c>
      <c r="H25" s="5">
        <v>20</v>
      </c>
    </row>
    <row r="26" spans="1:8" ht="51" customHeight="1" x14ac:dyDescent="0.25">
      <c r="A26" s="2" t="s">
        <v>194</v>
      </c>
      <c r="B26" s="3">
        <v>4</v>
      </c>
      <c r="C26" s="4"/>
      <c r="D26" s="4"/>
      <c r="E26" s="4"/>
      <c r="F26" s="3">
        <v>4</v>
      </c>
      <c r="G26" s="5">
        <v>100</v>
      </c>
      <c r="H26" s="5">
        <v>100</v>
      </c>
    </row>
    <row r="27" spans="1:8" ht="40.9" customHeight="1" x14ac:dyDescent="0.25">
      <c r="A27" s="2" t="s">
        <v>195</v>
      </c>
      <c r="B27" s="3">
        <v>2</v>
      </c>
      <c r="C27" s="4"/>
      <c r="D27" s="4"/>
      <c r="E27" s="4"/>
      <c r="F27" s="3">
        <v>2</v>
      </c>
      <c r="G27" s="5">
        <v>100</v>
      </c>
      <c r="H27" s="5">
        <v>100</v>
      </c>
    </row>
    <row r="28" spans="1:8" ht="40.9" customHeight="1" x14ac:dyDescent="0.25">
      <c r="A28" s="2" t="s">
        <v>196</v>
      </c>
      <c r="B28" s="3">
        <v>0</v>
      </c>
      <c r="C28" s="3">
        <v>1</v>
      </c>
      <c r="D28" s="4"/>
      <c r="E28" s="4"/>
      <c r="F28" s="3">
        <v>1</v>
      </c>
      <c r="G28" s="4"/>
      <c r="H28" s="5">
        <v>0</v>
      </c>
    </row>
    <row r="29" spans="1:8" ht="40.9" customHeight="1" x14ac:dyDescent="0.25">
      <c r="A29" s="2" t="s">
        <v>197</v>
      </c>
      <c r="B29" s="3">
        <v>3</v>
      </c>
      <c r="C29" s="4"/>
      <c r="D29" s="4"/>
      <c r="E29" s="4"/>
      <c r="F29" s="3">
        <v>3</v>
      </c>
      <c r="G29" s="5">
        <v>100</v>
      </c>
      <c r="H29" s="5">
        <v>100</v>
      </c>
    </row>
    <row r="30" spans="1:8" ht="40.9" customHeight="1" x14ac:dyDescent="0.25">
      <c r="A30" s="2" t="s">
        <v>198</v>
      </c>
      <c r="B30" s="3">
        <v>1</v>
      </c>
      <c r="C30" s="3">
        <v>1</v>
      </c>
      <c r="D30" s="4"/>
      <c r="E30" s="4"/>
      <c r="F30" s="3">
        <v>2</v>
      </c>
      <c r="G30" s="5">
        <v>50</v>
      </c>
      <c r="H30" s="5">
        <v>50</v>
      </c>
    </row>
    <row r="31" spans="1:8" ht="51" customHeight="1" x14ac:dyDescent="0.25">
      <c r="A31" s="2" t="s">
        <v>199</v>
      </c>
      <c r="B31" s="3">
        <v>1</v>
      </c>
      <c r="C31" s="3">
        <v>1</v>
      </c>
      <c r="D31" s="4"/>
      <c r="E31" s="4"/>
      <c r="F31" s="3">
        <v>2</v>
      </c>
      <c r="G31" s="5">
        <v>50</v>
      </c>
      <c r="H31" s="5">
        <v>50</v>
      </c>
    </row>
    <row r="32" spans="1:8" ht="51" customHeight="1" x14ac:dyDescent="0.25">
      <c r="A32" s="2" t="s">
        <v>200</v>
      </c>
      <c r="B32" s="3">
        <v>2</v>
      </c>
      <c r="C32" s="4"/>
      <c r="D32" s="4"/>
      <c r="E32" s="4"/>
      <c r="F32" s="3">
        <v>2</v>
      </c>
      <c r="G32" s="5">
        <v>100</v>
      </c>
      <c r="H32" s="5">
        <v>100</v>
      </c>
    </row>
    <row r="33" spans="1:8" ht="30.6" customHeight="1" x14ac:dyDescent="0.25">
      <c r="A33" s="2" t="s">
        <v>201</v>
      </c>
      <c r="B33" s="3">
        <v>9</v>
      </c>
      <c r="C33" s="4"/>
      <c r="D33" s="4"/>
      <c r="E33" s="4"/>
      <c r="F33" s="3">
        <v>9</v>
      </c>
      <c r="G33" s="5">
        <v>100</v>
      </c>
      <c r="H33" s="5">
        <v>100</v>
      </c>
    </row>
    <row r="34" spans="1:8" ht="30.6" customHeight="1" x14ac:dyDescent="0.25">
      <c r="A34" s="2" t="s">
        <v>202</v>
      </c>
      <c r="B34" s="3">
        <v>1</v>
      </c>
      <c r="C34" s="4"/>
      <c r="D34" s="4"/>
      <c r="E34" s="4"/>
      <c r="F34" s="3">
        <v>1</v>
      </c>
      <c r="G34" s="5">
        <v>100</v>
      </c>
      <c r="H34" s="5">
        <v>100</v>
      </c>
    </row>
    <row r="35" spans="1:8" ht="30.6" customHeight="1" x14ac:dyDescent="0.25">
      <c r="A35" s="2" t="s">
        <v>203</v>
      </c>
      <c r="B35" s="3">
        <v>1</v>
      </c>
      <c r="C35" s="4"/>
      <c r="D35" s="4"/>
      <c r="E35" s="4"/>
      <c r="F35" s="3">
        <v>1</v>
      </c>
      <c r="G35" s="5">
        <v>100</v>
      </c>
      <c r="H35" s="5">
        <v>100</v>
      </c>
    </row>
    <row r="36" spans="1:8" ht="40.9" customHeight="1" x14ac:dyDescent="0.25">
      <c r="A36" s="2" t="s">
        <v>207</v>
      </c>
      <c r="B36" s="3">
        <v>3</v>
      </c>
      <c r="C36" s="3">
        <v>2</v>
      </c>
      <c r="D36" s="4"/>
      <c r="E36" s="4"/>
      <c r="F36" s="3">
        <v>5</v>
      </c>
      <c r="G36" s="5">
        <v>60</v>
      </c>
      <c r="H36" s="5">
        <v>60</v>
      </c>
    </row>
    <row r="37" spans="1:8" ht="51" customHeight="1" x14ac:dyDescent="0.25">
      <c r="A37" s="2" t="s">
        <v>6</v>
      </c>
      <c r="B37" s="3">
        <v>13</v>
      </c>
      <c r="C37" s="3">
        <v>4</v>
      </c>
      <c r="D37" s="4"/>
      <c r="E37" s="4"/>
      <c r="F37" s="3">
        <v>17</v>
      </c>
      <c r="G37" s="5">
        <v>76.47</v>
      </c>
      <c r="H37" s="5">
        <v>76.47</v>
      </c>
    </row>
    <row r="38" spans="1:8" ht="51" customHeight="1" x14ac:dyDescent="0.25">
      <c r="A38" s="2" t="s">
        <v>7</v>
      </c>
      <c r="B38" s="3">
        <v>11</v>
      </c>
      <c r="C38" s="3">
        <v>1</v>
      </c>
      <c r="D38" s="4"/>
      <c r="E38" s="3">
        <v>1</v>
      </c>
      <c r="F38" s="3">
        <v>13</v>
      </c>
      <c r="G38" s="5">
        <v>91.67</v>
      </c>
      <c r="H38" s="5">
        <v>84.62</v>
      </c>
    </row>
    <row r="39" spans="1:8" ht="51" customHeight="1" x14ac:dyDescent="0.25">
      <c r="A39" s="2" t="s">
        <v>8</v>
      </c>
      <c r="B39" s="3">
        <v>7</v>
      </c>
      <c r="C39" s="3">
        <v>4</v>
      </c>
      <c r="D39" s="3">
        <v>2</v>
      </c>
      <c r="E39" s="4"/>
      <c r="F39" s="3">
        <v>13</v>
      </c>
      <c r="G39" s="5">
        <v>53.85</v>
      </c>
      <c r="H39" s="5">
        <v>53.85</v>
      </c>
    </row>
    <row r="40" spans="1:8" ht="51" customHeight="1" x14ac:dyDescent="0.25">
      <c r="A40" s="2" t="s">
        <v>9</v>
      </c>
      <c r="B40" s="3">
        <v>104</v>
      </c>
      <c r="C40" s="3">
        <v>26</v>
      </c>
      <c r="D40" s="4"/>
      <c r="E40" s="3">
        <v>1</v>
      </c>
      <c r="F40" s="3">
        <v>131</v>
      </c>
      <c r="G40" s="5">
        <v>80</v>
      </c>
      <c r="H40" s="5">
        <v>79.39</v>
      </c>
    </row>
    <row r="41" spans="1:8" ht="51" customHeight="1" x14ac:dyDescent="0.25">
      <c r="A41" s="2" t="s">
        <v>10</v>
      </c>
      <c r="B41" s="3">
        <v>11</v>
      </c>
      <c r="C41" s="3">
        <v>4</v>
      </c>
      <c r="D41" s="4"/>
      <c r="E41" s="4"/>
      <c r="F41" s="3">
        <v>15</v>
      </c>
      <c r="G41" s="5">
        <v>73.33</v>
      </c>
      <c r="H41" s="5">
        <v>73.33</v>
      </c>
    </row>
    <row r="42" spans="1:8" ht="51" customHeight="1" x14ac:dyDescent="0.25">
      <c r="A42" s="2" t="s">
        <v>11</v>
      </c>
      <c r="B42" s="3">
        <v>23</v>
      </c>
      <c r="C42" s="3">
        <v>4</v>
      </c>
      <c r="D42" s="4"/>
      <c r="E42" s="4"/>
      <c r="F42" s="3">
        <v>27</v>
      </c>
      <c r="G42" s="5">
        <v>85.19</v>
      </c>
      <c r="H42" s="5">
        <v>85.19</v>
      </c>
    </row>
    <row r="43" spans="1:8" ht="61.15" customHeight="1" x14ac:dyDescent="0.25">
      <c r="A43" s="2" t="s">
        <v>12</v>
      </c>
      <c r="B43" s="3">
        <v>15</v>
      </c>
      <c r="C43" s="3">
        <v>12</v>
      </c>
      <c r="D43" s="4"/>
      <c r="E43" s="4"/>
      <c r="F43" s="3">
        <v>27</v>
      </c>
      <c r="G43" s="5">
        <v>55.56</v>
      </c>
      <c r="H43" s="5">
        <v>55.56</v>
      </c>
    </row>
    <row r="44" spans="1:8" ht="51" customHeight="1" x14ac:dyDescent="0.25">
      <c r="A44" s="2" t="s">
        <v>13</v>
      </c>
      <c r="B44" s="3">
        <v>5</v>
      </c>
      <c r="C44" s="3">
        <v>1</v>
      </c>
      <c r="D44" s="4"/>
      <c r="E44" s="4"/>
      <c r="F44" s="3">
        <v>6</v>
      </c>
      <c r="G44" s="5">
        <v>83.33</v>
      </c>
      <c r="H44" s="5">
        <v>83.33</v>
      </c>
    </row>
    <row r="45" spans="1:8" ht="51" customHeight="1" x14ac:dyDescent="0.25">
      <c r="A45" s="2" t="s">
        <v>14</v>
      </c>
      <c r="B45" s="3">
        <v>67</v>
      </c>
      <c r="C45" s="3">
        <v>13</v>
      </c>
      <c r="D45" s="4"/>
      <c r="E45" s="3">
        <v>1</v>
      </c>
      <c r="F45" s="3">
        <v>81</v>
      </c>
      <c r="G45" s="5">
        <v>83.75</v>
      </c>
      <c r="H45" s="5">
        <v>82.72</v>
      </c>
    </row>
    <row r="46" spans="1:8" ht="51" customHeight="1" x14ac:dyDescent="0.25">
      <c r="A46" s="2" t="s">
        <v>15</v>
      </c>
      <c r="B46" s="3">
        <v>15</v>
      </c>
      <c r="C46" s="3">
        <v>9</v>
      </c>
      <c r="D46" s="4"/>
      <c r="E46" s="4"/>
      <c r="F46" s="3">
        <v>24</v>
      </c>
      <c r="G46" s="5">
        <v>62.5</v>
      </c>
      <c r="H46" s="5">
        <v>62.5</v>
      </c>
    </row>
    <row r="47" spans="1:8" ht="51" customHeight="1" x14ac:dyDescent="0.25">
      <c r="A47" s="2" t="s">
        <v>16</v>
      </c>
      <c r="B47" s="3">
        <v>14</v>
      </c>
      <c r="C47" s="3">
        <v>3</v>
      </c>
      <c r="D47" s="4"/>
      <c r="E47" s="3">
        <v>1</v>
      </c>
      <c r="F47" s="3">
        <v>18</v>
      </c>
      <c r="G47" s="5">
        <v>82.35</v>
      </c>
      <c r="H47" s="5">
        <v>77.78</v>
      </c>
    </row>
    <row r="48" spans="1:8" ht="51" customHeight="1" x14ac:dyDescent="0.25">
      <c r="A48" s="2" t="s">
        <v>17</v>
      </c>
      <c r="B48" s="3">
        <v>64</v>
      </c>
      <c r="C48" s="3">
        <v>13</v>
      </c>
      <c r="D48" s="4"/>
      <c r="E48" s="3">
        <v>2</v>
      </c>
      <c r="F48" s="3">
        <v>79</v>
      </c>
      <c r="G48" s="5">
        <v>83.12</v>
      </c>
      <c r="H48" s="5">
        <v>81.010000000000005</v>
      </c>
    </row>
    <row r="49" spans="1:8" ht="51" customHeight="1" x14ac:dyDescent="0.25">
      <c r="A49" s="2" t="s">
        <v>18</v>
      </c>
      <c r="B49" s="3">
        <v>8</v>
      </c>
      <c r="C49" s="3">
        <v>4</v>
      </c>
      <c r="D49" s="4"/>
      <c r="E49" s="3">
        <v>1</v>
      </c>
      <c r="F49" s="3">
        <v>13</v>
      </c>
      <c r="G49" s="5">
        <v>66.67</v>
      </c>
      <c r="H49" s="5">
        <v>61.54</v>
      </c>
    </row>
    <row r="50" spans="1:8" ht="51" customHeight="1" x14ac:dyDescent="0.25">
      <c r="A50" s="2" t="s">
        <v>19</v>
      </c>
      <c r="B50" s="3">
        <v>12</v>
      </c>
      <c r="C50" s="3">
        <v>5</v>
      </c>
      <c r="D50" s="3">
        <v>1</v>
      </c>
      <c r="E50" s="3">
        <v>4</v>
      </c>
      <c r="F50" s="3">
        <v>22</v>
      </c>
      <c r="G50" s="5">
        <v>66.67</v>
      </c>
      <c r="H50" s="5">
        <v>54.55</v>
      </c>
    </row>
    <row r="51" spans="1:8" ht="51" customHeight="1" x14ac:dyDescent="0.25">
      <c r="A51" s="2" t="s">
        <v>20</v>
      </c>
      <c r="B51" s="3">
        <v>65</v>
      </c>
      <c r="C51" s="3">
        <v>11</v>
      </c>
      <c r="D51" s="3">
        <v>1</v>
      </c>
      <c r="E51" s="3">
        <v>1</v>
      </c>
      <c r="F51" s="3">
        <v>78</v>
      </c>
      <c r="G51" s="5">
        <v>84.42</v>
      </c>
      <c r="H51" s="5">
        <v>83.33</v>
      </c>
    </row>
    <row r="52" spans="1:8" ht="51" customHeight="1" x14ac:dyDescent="0.25">
      <c r="A52" s="2" t="s">
        <v>21</v>
      </c>
      <c r="B52" s="3">
        <v>105</v>
      </c>
      <c r="C52" s="3">
        <v>32</v>
      </c>
      <c r="D52" s="3">
        <v>1</v>
      </c>
      <c r="E52" s="3">
        <v>3</v>
      </c>
      <c r="F52" s="3">
        <v>141</v>
      </c>
      <c r="G52" s="5">
        <v>76.09</v>
      </c>
      <c r="H52" s="5">
        <v>74.47</v>
      </c>
    </row>
    <row r="53" spans="1:8" ht="51" customHeight="1" x14ac:dyDescent="0.25">
      <c r="A53" s="2" t="s">
        <v>22</v>
      </c>
      <c r="B53" s="3">
        <v>4</v>
      </c>
      <c r="C53" s="3">
        <v>14</v>
      </c>
      <c r="D53" s="4"/>
      <c r="E53" s="3">
        <v>1</v>
      </c>
      <c r="F53" s="3">
        <v>19</v>
      </c>
      <c r="G53" s="5">
        <v>22.22</v>
      </c>
      <c r="H53" s="5">
        <v>21.05</v>
      </c>
    </row>
    <row r="54" spans="1:8" ht="51" customHeight="1" x14ac:dyDescent="0.25">
      <c r="A54" s="2" t="s">
        <v>23</v>
      </c>
      <c r="B54" s="3">
        <v>4</v>
      </c>
      <c r="C54" s="3">
        <v>1</v>
      </c>
      <c r="D54" s="4"/>
      <c r="E54" s="4"/>
      <c r="F54" s="3">
        <v>5</v>
      </c>
      <c r="G54" s="5">
        <v>80</v>
      </c>
      <c r="H54" s="5">
        <v>80</v>
      </c>
    </row>
    <row r="55" spans="1:8" ht="51" customHeight="1" x14ac:dyDescent="0.25">
      <c r="A55" s="2" t="s">
        <v>24</v>
      </c>
      <c r="B55" s="3">
        <v>63</v>
      </c>
      <c r="C55" s="3">
        <v>19</v>
      </c>
      <c r="D55" s="4"/>
      <c r="E55" s="3">
        <v>2</v>
      </c>
      <c r="F55" s="3">
        <v>84</v>
      </c>
      <c r="G55" s="5">
        <v>76.83</v>
      </c>
      <c r="H55" s="5">
        <v>75</v>
      </c>
    </row>
    <row r="56" spans="1:8" ht="51" customHeight="1" x14ac:dyDescent="0.25">
      <c r="A56" s="2" t="s">
        <v>25</v>
      </c>
      <c r="B56" s="3">
        <v>13</v>
      </c>
      <c r="C56" s="3">
        <v>1</v>
      </c>
      <c r="D56" s="4"/>
      <c r="E56" s="4"/>
      <c r="F56" s="3">
        <v>14</v>
      </c>
      <c r="G56" s="5">
        <v>92.86</v>
      </c>
      <c r="H56" s="5">
        <v>92.86</v>
      </c>
    </row>
    <row r="57" spans="1:8" ht="51" customHeight="1" x14ac:dyDescent="0.25">
      <c r="A57" s="2" t="s">
        <v>26</v>
      </c>
      <c r="B57" s="3">
        <v>156</v>
      </c>
      <c r="C57" s="3">
        <v>34</v>
      </c>
      <c r="D57" s="3">
        <v>5</v>
      </c>
      <c r="E57" s="3">
        <v>1</v>
      </c>
      <c r="F57" s="3">
        <v>196</v>
      </c>
      <c r="G57" s="5">
        <v>80</v>
      </c>
      <c r="H57" s="5">
        <v>79.59</v>
      </c>
    </row>
    <row r="58" spans="1:8" ht="51" customHeight="1" x14ac:dyDescent="0.25">
      <c r="A58" s="2" t="s">
        <v>27</v>
      </c>
      <c r="B58" s="3">
        <v>196</v>
      </c>
      <c r="C58" s="3">
        <v>31</v>
      </c>
      <c r="D58" s="4"/>
      <c r="E58" s="3">
        <v>3</v>
      </c>
      <c r="F58" s="3">
        <v>230</v>
      </c>
      <c r="G58" s="5">
        <v>86.34</v>
      </c>
      <c r="H58" s="5">
        <v>85.22</v>
      </c>
    </row>
    <row r="59" spans="1:8" ht="51" customHeight="1" x14ac:dyDescent="0.25">
      <c r="A59" s="2" t="s">
        <v>28</v>
      </c>
      <c r="B59" s="3">
        <v>116</v>
      </c>
      <c r="C59" s="3">
        <v>26</v>
      </c>
      <c r="D59" s="4"/>
      <c r="E59" s="3">
        <v>6</v>
      </c>
      <c r="F59" s="3">
        <v>148</v>
      </c>
      <c r="G59" s="5">
        <v>81.69</v>
      </c>
      <c r="H59" s="5">
        <v>78.38</v>
      </c>
    </row>
    <row r="60" spans="1:8" ht="51" customHeight="1" x14ac:dyDescent="0.25">
      <c r="A60" s="2" t="s">
        <v>29</v>
      </c>
      <c r="B60" s="3">
        <v>123</v>
      </c>
      <c r="C60" s="3">
        <v>24</v>
      </c>
      <c r="D60" s="3">
        <v>1</v>
      </c>
      <c r="E60" s="3">
        <v>2</v>
      </c>
      <c r="F60" s="3">
        <v>150</v>
      </c>
      <c r="G60" s="5">
        <v>83.11</v>
      </c>
      <c r="H60" s="5">
        <v>82</v>
      </c>
    </row>
    <row r="61" spans="1:8" ht="61.15" customHeight="1" x14ac:dyDescent="0.25">
      <c r="A61" s="2" t="s">
        <v>185</v>
      </c>
      <c r="B61" s="3">
        <v>20</v>
      </c>
      <c r="C61" s="3">
        <v>2</v>
      </c>
      <c r="D61" s="4"/>
      <c r="E61" s="3">
        <v>1</v>
      </c>
      <c r="F61" s="3">
        <v>23</v>
      </c>
      <c r="G61" s="5">
        <v>90.91</v>
      </c>
      <c r="H61" s="5">
        <v>86.96</v>
      </c>
    </row>
    <row r="62" spans="1:8" ht="51" customHeight="1" x14ac:dyDescent="0.25">
      <c r="A62" s="2" t="s">
        <v>30</v>
      </c>
      <c r="B62" s="3">
        <v>13</v>
      </c>
      <c r="C62" s="3">
        <v>9</v>
      </c>
      <c r="D62" s="4"/>
      <c r="E62" s="3">
        <v>1</v>
      </c>
      <c r="F62" s="3">
        <v>23</v>
      </c>
      <c r="G62" s="5">
        <v>59.09</v>
      </c>
      <c r="H62" s="5">
        <v>56.52</v>
      </c>
    </row>
    <row r="63" spans="1:8" ht="51" customHeight="1" x14ac:dyDescent="0.25">
      <c r="A63" s="2" t="s">
        <v>31</v>
      </c>
      <c r="B63" s="3">
        <v>8</v>
      </c>
      <c r="C63" s="3">
        <v>5</v>
      </c>
      <c r="D63" s="4"/>
      <c r="E63" s="4"/>
      <c r="F63" s="3">
        <v>13</v>
      </c>
      <c r="G63" s="5">
        <v>61.54</v>
      </c>
      <c r="H63" s="5">
        <v>61.54</v>
      </c>
    </row>
    <row r="64" spans="1:8" ht="51" customHeight="1" x14ac:dyDescent="0.25">
      <c r="A64" s="2" t="s">
        <v>32</v>
      </c>
      <c r="B64" s="3">
        <v>5</v>
      </c>
      <c r="C64" s="3">
        <v>2</v>
      </c>
      <c r="D64" s="4"/>
      <c r="E64" s="4"/>
      <c r="F64" s="3">
        <v>7</v>
      </c>
      <c r="G64" s="5">
        <v>71.430000000000007</v>
      </c>
      <c r="H64" s="5">
        <v>71.430000000000007</v>
      </c>
    </row>
    <row r="65" spans="1:8" ht="51" customHeight="1" x14ac:dyDescent="0.25">
      <c r="A65" s="2" t="s">
        <v>33</v>
      </c>
      <c r="B65" s="3">
        <v>11</v>
      </c>
      <c r="C65" s="3">
        <v>4</v>
      </c>
      <c r="D65" s="4"/>
      <c r="E65" s="4"/>
      <c r="F65" s="3">
        <v>15</v>
      </c>
      <c r="G65" s="5">
        <v>73.33</v>
      </c>
      <c r="H65" s="5">
        <v>73.33</v>
      </c>
    </row>
    <row r="66" spans="1:8" ht="61.15" customHeight="1" x14ac:dyDescent="0.25">
      <c r="A66" s="2" t="s">
        <v>34</v>
      </c>
      <c r="B66" s="3">
        <v>29</v>
      </c>
      <c r="C66" s="3">
        <v>19</v>
      </c>
      <c r="D66" s="4"/>
      <c r="E66" s="4"/>
      <c r="F66" s="3">
        <v>48</v>
      </c>
      <c r="G66" s="5">
        <v>60.42</v>
      </c>
      <c r="H66" s="5">
        <v>60.42</v>
      </c>
    </row>
    <row r="67" spans="1:8" ht="61.15" customHeight="1" x14ac:dyDescent="0.25">
      <c r="A67" s="2" t="s">
        <v>35</v>
      </c>
      <c r="B67" s="3">
        <v>48</v>
      </c>
      <c r="C67" s="3">
        <v>30</v>
      </c>
      <c r="D67" s="4"/>
      <c r="E67" s="4"/>
      <c r="F67" s="3">
        <v>78</v>
      </c>
      <c r="G67" s="5">
        <v>61.54</v>
      </c>
      <c r="H67" s="5">
        <v>61.54</v>
      </c>
    </row>
    <row r="68" spans="1:8" ht="51" customHeight="1" x14ac:dyDescent="0.25">
      <c r="A68" s="2" t="s">
        <v>36</v>
      </c>
      <c r="B68" s="3">
        <v>2</v>
      </c>
      <c r="C68" s="4"/>
      <c r="D68" s="4"/>
      <c r="E68" s="4"/>
      <c r="F68" s="3">
        <v>2</v>
      </c>
      <c r="G68" s="5">
        <v>100</v>
      </c>
      <c r="H68" s="5">
        <v>100</v>
      </c>
    </row>
    <row r="69" spans="1:8" ht="51" customHeight="1" x14ac:dyDescent="0.25">
      <c r="A69" s="2" t="s">
        <v>37</v>
      </c>
      <c r="B69" s="3">
        <v>29</v>
      </c>
      <c r="C69" s="3">
        <v>7</v>
      </c>
      <c r="D69" s="3">
        <v>1</v>
      </c>
      <c r="E69" s="4"/>
      <c r="F69" s="3">
        <v>37</v>
      </c>
      <c r="G69" s="5">
        <v>78.38</v>
      </c>
      <c r="H69" s="5">
        <v>78.38</v>
      </c>
    </row>
    <row r="70" spans="1:8" ht="51" customHeight="1" x14ac:dyDescent="0.25">
      <c r="A70" s="2" t="s">
        <v>38</v>
      </c>
      <c r="B70" s="3">
        <v>23</v>
      </c>
      <c r="C70" s="3">
        <v>3</v>
      </c>
      <c r="D70" s="3">
        <v>1</v>
      </c>
      <c r="E70" s="4"/>
      <c r="F70" s="3">
        <v>27</v>
      </c>
      <c r="G70" s="5">
        <v>85.19</v>
      </c>
      <c r="H70" s="5">
        <v>85.19</v>
      </c>
    </row>
    <row r="71" spans="1:8" ht="51" customHeight="1" x14ac:dyDescent="0.25">
      <c r="A71" s="2" t="s">
        <v>39</v>
      </c>
      <c r="B71" s="3">
        <v>5</v>
      </c>
      <c r="C71" s="3">
        <v>2</v>
      </c>
      <c r="D71" s="4"/>
      <c r="E71" s="4"/>
      <c r="F71" s="3">
        <v>7</v>
      </c>
      <c r="G71" s="5">
        <v>71.430000000000007</v>
      </c>
      <c r="H71" s="5">
        <v>71.430000000000007</v>
      </c>
    </row>
    <row r="72" spans="1:8" ht="51" customHeight="1" x14ac:dyDescent="0.25">
      <c r="A72" s="2" t="s">
        <v>40</v>
      </c>
      <c r="B72" s="3">
        <v>17</v>
      </c>
      <c r="C72" s="3">
        <v>14</v>
      </c>
      <c r="D72" s="4"/>
      <c r="E72" s="4"/>
      <c r="F72" s="3">
        <v>31</v>
      </c>
      <c r="G72" s="5">
        <v>54.84</v>
      </c>
      <c r="H72" s="5">
        <v>54.84</v>
      </c>
    </row>
    <row r="73" spans="1:8" ht="61.15" customHeight="1" x14ac:dyDescent="0.25">
      <c r="A73" s="2" t="s">
        <v>41</v>
      </c>
      <c r="B73" s="3">
        <v>0</v>
      </c>
      <c r="C73" s="3">
        <v>1</v>
      </c>
      <c r="D73" s="4"/>
      <c r="E73" s="4"/>
      <c r="F73" s="3">
        <v>1</v>
      </c>
      <c r="G73" s="4"/>
      <c r="H73" s="5">
        <v>0</v>
      </c>
    </row>
    <row r="74" spans="1:8" ht="61.15" customHeight="1" x14ac:dyDescent="0.25">
      <c r="A74" s="2" t="s">
        <v>42</v>
      </c>
      <c r="B74" s="3">
        <v>4</v>
      </c>
      <c r="C74" s="3">
        <v>3</v>
      </c>
      <c r="D74" s="4"/>
      <c r="E74" s="3">
        <v>1</v>
      </c>
      <c r="F74" s="3">
        <v>8</v>
      </c>
      <c r="G74" s="5">
        <v>57.14</v>
      </c>
      <c r="H74" s="5">
        <v>50</v>
      </c>
    </row>
    <row r="75" spans="1:8" ht="61.15" customHeight="1" x14ac:dyDescent="0.25">
      <c r="A75" s="2" t="s">
        <v>43</v>
      </c>
      <c r="B75" s="3">
        <v>10</v>
      </c>
      <c r="C75" s="3">
        <v>6</v>
      </c>
      <c r="D75" s="4"/>
      <c r="E75" s="4"/>
      <c r="F75" s="3">
        <v>16</v>
      </c>
      <c r="G75" s="5">
        <v>62.5</v>
      </c>
      <c r="H75" s="5">
        <v>62.5</v>
      </c>
    </row>
    <row r="76" spans="1:8" ht="61.15" customHeight="1" x14ac:dyDescent="0.25">
      <c r="A76" s="2" t="s">
        <v>44</v>
      </c>
      <c r="B76" s="3">
        <v>8</v>
      </c>
      <c r="C76" s="3">
        <v>3</v>
      </c>
      <c r="D76" s="4"/>
      <c r="E76" s="4"/>
      <c r="F76" s="3">
        <v>11</v>
      </c>
      <c r="G76" s="5">
        <v>72.73</v>
      </c>
      <c r="H76" s="5">
        <v>72.73</v>
      </c>
    </row>
    <row r="77" spans="1:8" ht="61.15" customHeight="1" x14ac:dyDescent="0.25">
      <c r="A77" s="2" t="s">
        <v>45</v>
      </c>
      <c r="B77" s="3">
        <v>2</v>
      </c>
      <c r="C77" s="4"/>
      <c r="D77" s="4"/>
      <c r="E77" s="4"/>
      <c r="F77" s="3">
        <v>2</v>
      </c>
      <c r="G77" s="5">
        <v>100</v>
      </c>
      <c r="H77" s="5">
        <v>100</v>
      </c>
    </row>
    <row r="78" spans="1:8" ht="40.9" customHeight="1" x14ac:dyDescent="0.25">
      <c r="A78" s="2" t="s">
        <v>204</v>
      </c>
      <c r="B78" s="3">
        <v>2</v>
      </c>
      <c r="C78" s="4"/>
      <c r="D78" s="4"/>
      <c r="E78" s="3">
        <v>1</v>
      </c>
      <c r="F78" s="3">
        <v>3</v>
      </c>
      <c r="G78" s="5">
        <v>100</v>
      </c>
      <c r="H78" s="5">
        <v>66.67</v>
      </c>
    </row>
    <row r="79" spans="1:8" ht="40.9" customHeight="1" x14ac:dyDescent="0.25">
      <c r="A79" s="2" t="s">
        <v>205</v>
      </c>
      <c r="B79" s="3">
        <v>1</v>
      </c>
      <c r="C79" s="4"/>
      <c r="D79" s="4"/>
      <c r="E79" s="4"/>
      <c r="F79" s="3">
        <v>1</v>
      </c>
      <c r="G79" s="5">
        <v>100</v>
      </c>
      <c r="H79" s="5">
        <v>100</v>
      </c>
    </row>
    <row r="80" spans="1:8" ht="51" customHeight="1" x14ac:dyDescent="0.25">
      <c r="A80" s="2" t="s">
        <v>206</v>
      </c>
      <c r="B80" s="3">
        <v>0</v>
      </c>
      <c r="C80" s="4"/>
      <c r="D80" s="4"/>
      <c r="E80" s="3">
        <v>1</v>
      </c>
      <c r="F80" s="3">
        <v>1</v>
      </c>
      <c r="G80" s="4"/>
      <c r="H80" s="5">
        <v>0</v>
      </c>
    </row>
    <row r="81" spans="1:8" ht="61.15" customHeight="1" x14ac:dyDescent="0.25">
      <c r="A81" s="2" t="s">
        <v>46</v>
      </c>
      <c r="B81" s="3">
        <v>2</v>
      </c>
      <c r="C81" s="4"/>
      <c r="D81" s="4"/>
      <c r="E81" s="4"/>
      <c r="F81" s="3">
        <v>2</v>
      </c>
      <c r="G81" s="5">
        <v>100</v>
      </c>
      <c r="H81" s="5">
        <v>100</v>
      </c>
    </row>
    <row r="82" spans="1:8" ht="61.15" customHeight="1" x14ac:dyDescent="0.25">
      <c r="A82" s="2" t="s">
        <v>47</v>
      </c>
      <c r="B82" s="3">
        <v>71</v>
      </c>
      <c r="C82" s="3">
        <v>69</v>
      </c>
      <c r="D82" s="3">
        <v>1</v>
      </c>
      <c r="E82" s="3">
        <v>1</v>
      </c>
      <c r="F82" s="3">
        <v>142</v>
      </c>
      <c r="G82" s="5">
        <v>50.35</v>
      </c>
      <c r="H82" s="5">
        <v>50</v>
      </c>
    </row>
    <row r="83" spans="1:8" ht="61.15" customHeight="1" x14ac:dyDescent="0.25">
      <c r="A83" s="2" t="s">
        <v>48</v>
      </c>
      <c r="B83" s="3">
        <v>10</v>
      </c>
      <c r="C83" s="3">
        <v>1</v>
      </c>
      <c r="D83" s="4"/>
      <c r="E83" s="4"/>
      <c r="F83" s="3">
        <v>11</v>
      </c>
      <c r="G83" s="5">
        <v>90.91</v>
      </c>
      <c r="H83" s="5">
        <v>90.91</v>
      </c>
    </row>
    <row r="84" spans="1:8" ht="61.15" customHeight="1" x14ac:dyDescent="0.25">
      <c r="A84" s="2" t="s">
        <v>49</v>
      </c>
      <c r="B84" s="3">
        <v>32</v>
      </c>
      <c r="C84" s="3">
        <v>2</v>
      </c>
      <c r="D84" s="4"/>
      <c r="E84" s="4"/>
      <c r="F84" s="3">
        <v>34</v>
      </c>
      <c r="G84" s="5">
        <v>94.12</v>
      </c>
      <c r="H84" s="5">
        <v>94.12</v>
      </c>
    </row>
    <row r="85" spans="1:8" ht="51" customHeight="1" x14ac:dyDescent="0.25">
      <c r="A85" s="2" t="s">
        <v>50</v>
      </c>
      <c r="B85" s="3">
        <v>1</v>
      </c>
      <c r="C85" s="4"/>
      <c r="D85" s="4"/>
      <c r="E85" s="4"/>
      <c r="F85" s="3">
        <v>1</v>
      </c>
      <c r="G85" s="5">
        <v>100</v>
      </c>
      <c r="H85" s="5">
        <v>100</v>
      </c>
    </row>
    <row r="86" spans="1:8" ht="51" customHeight="1" x14ac:dyDescent="0.25">
      <c r="A86" s="2" t="s">
        <v>51</v>
      </c>
      <c r="B86" s="3">
        <v>10</v>
      </c>
      <c r="C86" s="3">
        <v>3</v>
      </c>
      <c r="D86" s="3">
        <v>2</v>
      </c>
      <c r="E86" s="3">
        <v>1</v>
      </c>
      <c r="F86" s="3">
        <v>16</v>
      </c>
      <c r="G86" s="5">
        <v>66.67</v>
      </c>
      <c r="H86" s="5">
        <v>62.5</v>
      </c>
    </row>
    <row r="87" spans="1:8" ht="51" customHeight="1" x14ac:dyDescent="0.25">
      <c r="A87" s="2" t="s">
        <v>52</v>
      </c>
      <c r="B87" s="3">
        <v>7</v>
      </c>
      <c r="C87" s="3">
        <v>2</v>
      </c>
      <c r="D87" s="4"/>
      <c r="E87" s="4"/>
      <c r="F87" s="3">
        <v>9</v>
      </c>
      <c r="G87" s="5">
        <v>77.78</v>
      </c>
      <c r="H87" s="5">
        <v>77.78</v>
      </c>
    </row>
    <row r="88" spans="1:8" ht="51" customHeight="1" x14ac:dyDescent="0.25">
      <c r="A88" s="2" t="s">
        <v>53</v>
      </c>
      <c r="B88" s="3">
        <v>31</v>
      </c>
      <c r="C88" s="3">
        <v>5</v>
      </c>
      <c r="D88" s="3">
        <v>1</v>
      </c>
      <c r="E88" s="3">
        <v>1</v>
      </c>
      <c r="F88" s="3">
        <v>38</v>
      </c>
      <c r="G88" s="5">
        <v>83.78</v>
      </c>
      <c r="H88" s="5">
        <v>81.58</v>
      </c>
    </row>
    <row r="89" spans="1:8" ht="51" customHeight="1" x14ac:dyDescent="0.25">
      <c r="A89" s="2" t="s">
        <v>54</v>
      </c>
      <c r="B89" s="3">
        <v>5</v>
      </c>
      <c r="C89" s="3">
        <v>5</v>
      </c>
      <c r="D89" s="4"/>
      <c r="E89" s="4"/>
      <c r="F89" s="3">
        <v>10</v>
      </c>
      <c r="G89" s="5">
        <v>50</v>
      </c>
      <c r="H89" s="5">
        <v>50</v>
      </c>
    </row>
    <row r="90" spans="1:8" ht="51" customHeight="1" x14ac:dyDescent="0.25">
      <c r="A90" s="2" t="s">
        <v>55</v>
      </c>
      <c r="B90" s="3">
        <v>73</v>
      </c>
      <c r="C90" s="3">
        <v>11</v>
      </c>
      <c r="D90" s="4"/>
      <c r="E90" s="4"/>
      <c r="F90" s="3">
        <v>84</v>
      </c>
      <c r="G90" s="5">
        <v>86.9</v>
      </c>
      <c r="H90" s="5">
        <v>86.9</v>
      </c>
    </row>
    <row r="91" spans="1:8" ht="51" customHeight="1" x14ac:dyDescent="0.25">
      <c r="A91" s="2" t="s">
        <v>56</v>
      </c>
      <c r="B91" s="3">
        <v>112</v>
      </c>
      <c r="C91" s="3">
        <v>14</v>
      </c>
      <c r="D91" s="4"/>
      <c r="E91" s="3">
        <v>2</v>
      </c>
      <c r="F91" s="3">
        <v>128</v>
      </c>
      <c r="G91" s="5">
        <v>88.89</v>
      </c>
      <c r="H91" s="5">
        <v>87.5</v>
      </c>
    </row>
    <row r="92" spans="1:8" ht="61.15" customHeight="1" x14ac:dyDescent="0.25">
      <c r="A92" s="2" t="s">
        <v>57</v>
      </c>
      <c r="B92" s="3">
        <v>77</v>
      </c>
      <c r="C92" s="3">
        <v>28</v>
      </c>
      <c r="D92" s="4"/>
      <c r="E92" s="3">
        <v>1</v>
      </c>
      <c r="F92" s="3">
        <v>106</v>
      </c>
      <c r="G92" s="5">
        <v>73.33</v>
      </c>
      <c r="H92" s="5">
        <v>72.64</v>
      </c>
    </row>
    <row r="93" spans="1:8" ht="61.15" customHeight="1" x14ac:dyDescent="0.25">
      <c r="A93" s="2" t="s">
        <v>58</v>
      </c>
      <c r="B93" s="3">
        <v>7</v>
      </c>
      <c r="C93" s="3">
        <v>1</v>
      </c>
      <c r="D93" s="4"/>
      <c r="E93" s="4"/>
      <c r="F93" s="3">
        <v>8</v>
      </c>
      <c r="G93" s="5">
        <v>87.5</v>
      </c>
      <c r="H93" s="5">
        <v>87.5</v>
      </c>
    </row>
    <row r="94" spans="1:8" ht="61.15" customHeight="1" x14ac:dyDescent="0.25">
      <c r="A94" s="2" t="s">
        <v>59</v>
      </c>
      <c r="B94" s="3">
        <v>40</v>
      </c>
      <c r="C94" s="3">
        <v>12</v>
      </c>
      <c r="D94" s="4"/>
      <c r="E94" s="4"/>
      <c r="F94" s="3">
        <v>52</v>
      </c>
      <c r="G94" s="5">
        <v>76.92</v>
      </c>
      <c r="H94" s="5">
        <v>76.92</v>
      </c>
    </row>
    <row r="95" spans="1:8" ht="51" customHeight="1" x14ac:dyDescent="0.25">
      <c r="A95" s="2" t="s">
        <v>60</v>
      </c>
      <c r="B95" s="3">
        <v>16</v>
      </c>
      <c r="C95" s="3">
        <v>2</v>
      </c>
      <c r="D95" s="4"/>
      <c r="E95" s="4"/>
      <c r="F95" s="3">
        <v>18</v>
      </c>
      <c r="G95" s="5">
        <v>88.89</v>
      </c>
      <c r="H95" s="5">
        <v>88.89</v>
      </c>
    </row>
    <row r="96" spans="1:8" ht="51" customHeight="1" x14ac:dyDescent="0.25">
      <c r="A96" s="2" t="s">
        <v>61</v>
      </c>
      <c r="B96" s="3">
        <v>23</v>
      </c>
      <c r="C96" s="3">
        <v>6</v>
      </c>
      <c r="D96" s="4"/>
      <c r="E96" s="4"/>
      <c r="F96" s="3">
        <v>29</v>
      </c>
      <c r="G96" s="5">
        <v>79.31</v>
      </c>
      <c r="H96" s="5">
        <v>79.31</v>
      </c>
    </row>
    <row r="97" spans="1:8" ht="61.15" customHeight="1" x14ac:dyDescent="0.25">
      <c r="A97" s="2" t="s">
        <v>62</v>
      </c>
      <c r="B97" s="3">
        <v>29</v>
      </c>
      <c r="C97" s="3">
        <v>16</v>
      </c>
      <c r="D97" s="4"/>
      <c r="E97" s="4"/>
      <c r="F97" s="3">
        <v>45</v>
      </c>
      <c r="G97" s="5">
        <v>64.44</v>
      </c>
      <c r="H97" s="5">
        <v>64.44</v>
      </c>
    </row>
    <row r="98" spans="1:8" ht="51" customHeight="1" x14ac:dyDescent="0.25">
      <c r="A98" s="2" t="s">
        <v>63</v>
      </c>
      <c r="B98" s="3">
        <v>24</v>
      </c>
      <c r="C98" s="3">
        <v>25</v>
      </c>
      <c r="D98" s="3">
        <v>4</v>
      </c>
      <c r="E98" s="4"/>
      <c r="F98" s="3">
        <v>53</v>
      </c>
      <c r="G98" s="5">
        <v>45.28</v>
      </c>
      <c r="H98" s="5">
        <v>45.28</v>
      </c>
    </row>
    <row r="99" spans="1:8" ht="61.15" customHeight="1" x14ac:dyDescent="0.25">
      <c r="A99" s="2" t="s">
        <v>64</v>
      </c>
      <c r="B99" s="3">
        <v>35</v>
      </c>
      <c r="C99" s="3">
        <v>22</v>
      </c>
      <c r="D99" s="3">
        <v>4</v>
      </c>
      <c r="E99" s="4"/>
      <c r="F99" s="3">
        <v>61</v>
      </c>
      <c r="G99" s="5">
        <v>57.38</v>
      </c>
      <c r="H99" s="5">
        <v>57.38</v>
      </c>
    </row>
    <row r="100" spans="1:8" ht="51" customHeight="1" x14ac:dyDescent="0.25">
      <c r="A100" s="2" t="s">
        <v>65</v>
      </c>
      <c r="B100" s="3">
        <v>34</v>
      </c>
      <c r="C100" s="3">
        <v>6</v>
      </c>
      <c r="D100" s="3">
        <v>1</v>
      </c>
      <c r="E100" s="4"/>
      <c r="F100" s="3">
        <v>41</v>
      </c>
      <c r="G100" s="5">
        <v>82.93</v>
      </c>
      <c r="H100" s="5">
        <v>82.93</v>
      </c>
    </row>
    <row r="101" spans="1:8" ht="61.15" customHeight="1" x14ac:dyDescent="0.25">
      <c r="A101" s="2" t="s">
        <v>66</v>
      </c>
      <c r="B101" s="3">
        <v>104</v>
      </c>
      <c r="C101" s="3">
        <v>33</v>
      </c>
      <c r="D101" s="4"/>
      <c r="E101" s="3">
        <v>4</v>
      </c>
      <c r="F101" s="3">
        <v>141</v>
      </c>
      <c r="G101" s="5">
        <v>75.91</v>
      </c>
      <c r="H101" s="5">
        <v>73.760000000000005</v>
      </c>
    </row>
    <row r="102" spans="1:8" ht="61.15" customHeight="1" x14ac:dyDescent="0.25">
      <c r="A102" s="2" t="s">
        <v>67</v>
      </c>
      <c r="B102" s="3">
        <v>26</v>
      </c>
      <c r="C102" s="3">
        <v>1</v>
      </c>
      <c r="D102" s="4"/>
      <c r="E102" s="4"/>
      <c r="F102" s="3">
        <v>27</v>
      </c>
      <c r="G102" s="5">
        <v>96.3</v>
      </c>
      <c r="H102" s="5">
        <v>96.3</v>
      </c>
    </row>
    <row r="103" spans="1:8" ht="51" customHeight="1" x14ac:dyDescent="0.25">
      <c r="A103" s="2" t="s">
        <v>68</v>
      </c>
      <c r="B103" s="3">
        <v>34</v>
      </c>
      <c r="C103" s="3">
        <v>1</v>
      </c>
      <c r="D103" s="3">
        <v>1</v>
      </c>
      <c r="E103" s="4"/>
      <c r="F103" s="3">
        <v>36</v>
      </c>
      <c r="G103" s="5">
        <v>94.44</v>
      </c>
      <c r="H103" s="5">
        <v>94.44</v>
      </c>
    </row>
    <row r="104" spans="1:8" ht="61.15" customHeight="1" x14ac:dyDescent="0.25">
      <c r="A104" s="2" t="s">
        <v>69</v>
      </c>
      <c r="B104" s="3">
        <v>70</v>
      </c>
      <c r="C104" s="3">
        <v>38</v>
      </c>
      <c r="D104" s="4"/>
      <c r="E104" s="3">
        <v>1</v>
      </c>
      <c r="F104" s="3">
        <v>109</v>
      </c>
      <c r="G104" s="5">
        <v>64.81</v>
      </c>
      <c r="H104" s="5">
        <v>64.22</v>
      </c>
    </row>
    <row r="105" spans="1:8" ht="61.15" customHeight="1" x14ac:dyDescent="0.25">
      <c r="A105" s="2" t="s">
        <v>70</v>
      </c>
      <c r="B105" s="3">
        <v>96</v>
      </c>
      <c r="C105" s="3">
        <v>22</v>
      </c>
      <c r="D105" s="4"/>
      <c r="E105" s="3">
        <v>1</v>
      </c>
      <c r="F105" s="3">
        <v>119</v>
      </c>
      <c r="G105" s="5">
        <v>81.36</v>
      </c>
      <c r="H105" s="5">
        <v>80.67</v>
      </c>
    </row>
    <row r="106" spans="1:8" ht="51" customHeight="1" x14ac:dyDescent="0.25">
      <c r="A106" s="2" t="s">
        <v>71</v>
      </c>
      <c r="B106" s="3">
        <v>26</v>
      </c>
      <c r="C106" s="3">
        <v>19</v>
      </c>
      <c r="D106" s="4"/>
      <c r="E106" s="4"/>
      <c r="F106" s="3">
        <v>45</v>
      </c>
      <c r="G106" s="5">
        <v>57.78</v>
      </c>
      <c r="H106" s="5">
        <v>57.78</v>
      </c>
    </row>
    <row r="107" spans="1:8" ht="61.15" customHeight="1" x14ac:dyDescent="0.25">
      <c r="A107" s="2" t="s">
        <v>72</v>
      </c>
      <c r="B107" s="3">
        <v>26</v>
      </c>
      <c r="C107" s="3">
        <v>5</v>
      </c>
      <c r="D107" s="4"/>
      <c r="E107" s="3">
        <v>3</v>
      </c>
      <c r="F107" s="3">
        <v>34</v>
      </c>
      <c r="G107" s="5">
        <v>83.87</v>
      </c>
      <c r="H107" s="5">
        <v>76.47</v>
      </c>
    </row>
    <row r="108" spans="1:8" ht="51" customHeight="1" x14ac:dyDescent="0.25">
      <c r="A108" s="2" t="s">
        <v>73</v>
      </c>
      <c r="B108" s="3">
        <v>26</v>
      </c>
      <c r="C108" s="3">
        <v>19</v>
      </c>
      <c r="D108" s="4"/>
      <c r="E108" s="4"/>
      <c r="F108" s="3">
        <v>45</v>
      </c>
      <c r="G108" s="5">
        <v>57.78</v>
      </c>
      <c r="H108" s="5">
        <v>57.78</v>
      </c>
    </row>
    <row r="109" spans="1:8" ht="61.15" customHeight="1" x14ac:dyDescent="0.25">
      <c r="A109" s="2" t="s">
        <v>74</v>
      </c>
      <c r="B109" s="3">
        <v>13</v>
      </c>
      <c r="C109" s="3">
        <v>10</v>
      </c>
      <c r="D109" s="4"/>
      <c r="E109" s="3">
        <v>1</v>
      </c>
      <c r="F109" s="3">
        <v>24</v>
      </c>
      <c r="G109" s="5">
        <v>56.52</v>
      </c>
      <c r="H109" s="5">
        <v>54.17</v>
      </c>
    </row>
    <row r="110" spans="1:8" ht="71.45" customHeight="1" x14ac:dyDescent="0.25">
      <c r="A110" s="2" t="s">
        <v>75</v>
      </c>
      <c r="B110" s="3">
        <v>29</v>
      </c>
      <c r="C110" s="3">
        <v>16</v>
      </c>
      <c r="D110" s="4"/>
      <c r="E110" s="3">
        <v>1</v>
      </c>
      <c r="F110" s="3">
        <v>46</v>
      </c>
      <c r="G110" s="5">
        <v>64.44</v>
      </c>
      <c r="H110" s="5">
        <v>63.04</v>
      </c>
    </row>
    <row r="111" spans="1:8" ht="71.45" customHeight="1" x14ac:dyDescent="0.25">
      <c r="A111" s="2" t="s">
        <v>76</v>
      </c>
      <c r="B111" s="3">
        <v>2</v>
      </c>
      <c r="C111" s="4"/>
      <c r="D111" s="4"/>
      <c r="E111" s="4"/>
      <c r="F111" s="3">
        <v>2</v>
      </c>
      <c r="G111" s="5">
        <v>100</v>
      </c>
      <c r="H111" s="5">
        <v>100</v>
      </c>
    </row>
    <row r="112" spans="1:8" ht="61.15" customHeight="1" x14ac:dyDescent="0.25">
      <c r="A112" s="2" t="s">
        <v>77</v>
      </c>
      <c r="B112" s="3">
        <v>29</v>
      </c>
      <c r="C112" s="3">
        <v>14</v>
      </c>
      <c r="D112" s="4"/>
      <c r="E112" s="4"/>
      <c r="F112" s="3">
        <v>43</v>
      </c>
      <c r="G112" s="5">
        <v>67.44</v>
      </c>
      <c r="H112" s="5">
        <v>67.44</v>
      </c>
    </row>
    <row r="113" spans="1:8" ht="61.15" customHeight="1" x14ac:dyDescent="0.25">
      <c r="A113" s="2" t="s">
        <v>78</v>
      </c>
      <c r="B113" s="3">
        <v>25</v>
      </c>
      <c r="C113" s="3">
        <v>7</v>
      </c>
      <c r="D113" s="4"/>
      <c r="E113" s="4"/>
      <c r="F113" s="3">
        <v>32</v>
      </c>
      <c r="G113" s="5">
        <v>78.13</v>
      </c>
      <c r="H113" s="5">
        <v>78.13</v>
      </c>
    </row>
    <row r="114" spans="1:8" ht="61.15" customHeight="1" x14ac:dyDescent="0.25">
      <c r="A114" s="2" t="s">
        <v>79</v>
      </c>
      <c r="B114" s="3">
        <v>12</v>
      </c>
      <c r="C114" s="3">
        <v>3</v>
      </c>
      <c r="D114" s="4"/>
      <c r="E114" s="4"/>
      <c r="F114" s="3">
        <v>15</v>
      </c>
      <c r="G114" s="5">
        <v>80</v>
      </c>
      <c r="H114" s="5">
        <v>80</v>
      </c>
    </row>
    <row r="115" spans="1:8" ht="61.15" customHeight="1" x14ac:dyDescent="0.25">
      <c r="A115" s="2" t="s">
        <v>80</v>
      </c>
      <c r="B115" s="3">
        <v>25</v>
      </c>
      <c r="C115" s="3">
        <v>3</v>
      </c>
      <c r="D115" s="4"/>
      <c r="E115" s="4"/>
      <c r="F115" s="3">
        <v>28</v>
      </c>
      <c r="G115" s="5">
        <v>89.29</v>
      </c>
      <c r="H115" s="5">
        <v>89.29</v>
      </c>
    </row>
    <row r="116" spans="1:8" ht="61.15" customHeight="1" x14ac:dyDescent="0.25">
      <c r="A116" s="2" t="s">
        <v>81</v>
      </c>
      <c r="B116" s="3">
        <v>6</v>
      </c>
      <c r="C116" s="3">
        <v>2</v>
      </c>
      <c r="D116" s="4"/>
      <c r="E116" s="4"/>
      <c r="F116" s="3">
        <v>8</v>
      </c>
      <c r="G116" s="5">
        <v>75</v>
      </c>
      <c r="H116" s="5">
        <v>75</v>
      </c>
    </row>
    <row r="117" spans="1:8" ht="51" customHeight="1" x14ac:dyDescent="0.25">
      <c r="A117" s="2" t="s">
        <v>82</v>
      </c>
      <c r="B117" s="3">
        <v>40</v>
      </c>
      <c r="C117" s="3">
        <v>7</v>
      </c>
      <c r="D117" s="4"/>
      <c r="E117" s="4"/>
      <c r="F117" s="3">
        <v>47</v>
      </c>
      <c r="G117" s="5">
        <v>85.11</v>
      </c>
      <c r="H117" s="5">
        <v>85.11</v>
      </c>
    </row>
    <row r="118" spans="1:8" ht="51" customHeight="1" x14ac:dyDescent="0.25">
      <c r="A118" s="2" t="s">
        <v>83</v>
      </c>
      <c r="B118" s="3">
        <v>25</v>
      </c>
      <c r="C118" s="3">
        <v>4</v>
      </c>
      <c r="D118" s="4"/>
      <c r="E118" s="4"/>
      <c r="F118" s="3">
        <v>29</v>
      </c>
      <c r="G118" s="5">
        <v>86.21</v>
      </c>
      <c r="H118" s="5">
        <v>86.21</v>
      </c>
    </row>
    <row r="119" spans="1:8" ht="51" customHeight="1" x14ac:dyDescent="0.25">
      <c r="A119" s="2" t="s">
        <v>84</v>
      </c>
      <c r="B119" s="3">
        <v>4</v>
      </c>
      <c r="C119" s="3">
        <v>2</v>
      </c>
      <c r="D119" s="4"/>
      <c r="E119" s="3">
        <v>1</v>
      </c>
      <c r="F119" s="3">
        <v>7</v>
      </c>
      <c r="G119" s="5">
        <v>66.67</v>
      </c>
      <c r="H119" s="5">
        <v>57.14</v>
      </c>
    </row>
    <row r="120" spans="1:8" ht="51" customHeight="1" x14ac:dyDescent="0.25">
      <c r="A120" s="2" t="s">
        <v>85</v>
      </c>
      <c r="B120" s="3">
        <v>0</v>
      </c>
      <c r="C120" s="3">
        <v>1</v>
      </c>
      <c r="D120" s="4"/>
      <c r="E120" s="4"/>
      <c r="F120" s="3">
        <v>1</v>
      </c>
      <c r="G120" s="4"/>
      <c r="H120" s="5">
        <v>0</v>
      </c>
    </row>
    <row r="121" spans="1:8" ht="51" customHeight="1" x14ac:dyDescent="0.25">
      <c r="A121" s="2" t="s">
        <v>86</v>
      </c>
      <c r="B121" s="3">
        <v>54</v>
      </c>
      <c r="C121" s="3">
        <v>16</v>
      </c>
      <c r="D121" s="3">
        <v>2</v>
      </c>
      <c r="E121" s="4"/>
      <c r="F121" s="3">
        <v>72</v>
      </c>
      <c r="G121" s="5">
        <v>75</v>
      </c>
      <c r="H121" s="5">
        <v>75</v>
      </c>
    </row>
    <row r="122" spans="1:8" ht="51" customHeight="1" x14ac:dyDescent="0.25">
      <c r="A122" s="2" t="s">
        <v>87</v>
      </c>
      <c r="B122" s="3">
        <v>9</v>
      </c>
      <c r="C122" s="3">
        <v>4</v>
      </c>
      <c r="D122" s="4"/>
      <c r="E122" s="4"/>
      <c r="F122" s="3">
        <v>13</v>
      </c>
      <c r="G122" s="5">
        <v>69.23</v>
      </c>
      <c r="H122" s="5">
        <v>69.23</v>
      </c>
    </row>
    <row r="123" spans="1:8" ht="51" customHeight="1" x14ac:dyDescent="0.25">
      <c r="A123" s="2" t="s">
        <v>88</v>
      </c>
      <c r="B123" s="3">
        <v>1</v>
      </c>
      <c r="C123" s="3">
        <v>3</v>
      </c>
      <c r="D123" s="4"/>
      <c r="E123" s="4"/>
      <c r="F123" s="3">
        <v>4</v>
      </c>
      <c r="G123" s="5">
        <v>25</v>
      </c>
      <c r="H123" s="5">
        <v>25</v>
      </c>
    </row>
    <row r="124" spans="1:8" ht="51" customHeight="1" x14ac:dyDescent="0.25">
      <c r="A124" s="2" t="s">
        <v>89</v>
      </c>
      <c r="B124" s="3">
        <v>26</v>
      </c>
      <c r="C124" s="3">
        <v>9</v>
      </c>
      <c r="D124" s="3">
        <v>1</v>
      </c>
      <c r="E124" s="4"/>
      <c r="F124" s="3">
        <v>36</v>
      </c>
      <c r="G124" s="5">
        <v>72.22</v>
      </c>
      <c r="H124" s="5">
        <v>72.22</v>
      </c>
    </row>
    <row r="125" spans="1:8" ht="51" customHeight="1" x14ac:dyDescent="0.25">
      <c r="A125" s="2" t="s">
        <v>90</v>
      </c>
      <c r="B125" s="3">
        <v>58</v>
      </c>
      <c r="C125" s="3">
        <v>16</v>
      </c>
      <c r="D125" s="3">
        <v>1</v>
      </c>
      <c r="E125" s="3">
        <v>3</v>
      </c>
      <c r="F125" s="3">
        <v>78</v>
      </c>
      <c r="G125" s="5">
        <v>77.33</v>
      </c>
      <c r="H125" s="5">
        <v>74.36</v>
      </c>
    </row>
    <row r="126" spans="1:8" ht="51" customHeight="1" x14ac:dyDescent="0.25">
      <c r="A126" s="2" t="s">
        <v>91</v>
      </c>
      <c r="B126" s="3">
        <v>8</v>
      </c>
      <c r="C126" s="3">
        <v>4</v>
      </c>
      <c r="D126" s="4"/>
      <c r="E126" s="3">
        <v>1</v>
      </c>
      <c r="F126" s="3">
        <v>13</v>
      </c>
      <c r="G126" s="5">
        <v>66.67</v>
      </c>
      <c r="H126" s="5">
        <v>61.54</v>
      </c>
    </row>
    <row r="127" spans="1:8" ht="51" customHeight="1" x14ac:dyDescent="0.25">
      <c r="A127" s="2" t="s">
        <v>92</v>
      </c>
      <c r="B127" s="3">
        <v>5</v>
      </c>
      <c r="C127" s="4"/>
      <c r="D127" s="4"/>
      <c r="E127" s="4"/>
      <c r="F127" s="3">
        <v>5</v>
      </c>
      <c r="G127" s="5">
        <v>100</v>
      </c>
      <c r="H127" s="5">
        <v>100</v>
      </c>
    </row>
    <row r="128" spans="1:8" ht="51" customHeight="1" x14ac:dyDescent="0.25">
      <c r="A128" s="2" t="s">
        <v>93</v>
      </c>
      <c r="B128" s="3">
        <v>45</v>
      </c>
      <c r="C128" s="3">
        <v>14</v>
      </c>
      <c r="D128" s="3">
        <v>3</v>
      </c>
      <c r="E128" s="4"/>
      <c r="F128" s="3">
        <v>62</v>
      </c>
      <c r="G128" s="5">
        <v>72.58</v>
      </c>
      <c r="H128" s="5">
        <v>72.58</v>
      </c>
    </row>
    <row r="129" spans="1:8" ht="51" customHeight="1" x14ac:dyDescent="0.25">
      <c r="A129" s="2" t="s">
        <v>94</v>
      </c>
      <c r="B129" s="3">
        <v>3</v>
      </c>
      <c r="C129" s="3">
        <v>2</v>
      </c>
      <c r="D129" s="4"/>
      <c r="E129" s="3">
        <v>1</v>
      </c>
      <c r="F129" s="3">
        <v>6</v>
      </c>
      <c r="G129" s="5">
        <v>60</v>
      </c>
      <c r="H129" s="5">
        <v>50</v>
      </c>
    </row>
    <row r="130" spans="1:8" ht="51" customHeight="1" x14ac:dyDescent="0.25">
      <c r="A130" s="2" t="s">
        <v>95</v>
      </c>
      <c r="B130" s="3">
        <v>6</v>
      </c>
      <c r="C130" s="4"/>
      <c r="D130" s="4"/>
      <c r="E130" s="3">
        <v>2</v>
      </c>
      <c r="F130" s="3">
        <v>8</v>
      </c>
      <c r="G130" s="5">
        <v>100</v>
      </c>
      <c r="H130" s="5">
        <v>75</v>
      </c>
    </row>
    <row r="131" spans="1:8" ht="51" customHeight="1" x14ac:dyDescent="0.25">
      <c r="A131" s="2" t="s">
        <v>96</v>
      </c>
      <c r="B131" s="3">
        <v>2</v>
      </c>
      <c r="C131" s="3">
        <v>1</v>
      </c>
      <c r="D131" s="4"/>
      <c r="E131" s="3">
        <v>1</v>
      </c>
      <c r="F131" s="3">
        <v>4</v>
      </c>
      <c r="G131" s="5">
        <v>66.67</v>
      </c>
      <c r="H131" s="5">
        <v>50</v>
      </c>
    </row>
    <row r="132" spans="1:8" ht="51" customHeight="1" x14ac:dyDescent="0.25">
      <c r="A132" s="2" t="s">
        <v>97</v>
      </c>
      <c r="B132" s="3">
        <v>2</v>
      </c>
      <c r="C132" s="4"/>
      <c r="D132" s="4"/>
      <c r="E132" s="4"/>
      <c r="F132" s="3">
        <v>2</v>
      </c>
      <c r="G132" s="5">
        <v>100</v>
      </c>
      <c r="H132" s="5">
        <v>100</v>
      </c>
    </row>
    <row r="133" spans="1:8" ht="61.15" customHeight="1" x14ac:dyDescent="0.25">
      <c r="A133" s="2" t="s">
        <v>98</v>
      </c>
      <c r="B133" s="3">
        <v>15</v>
      </c>
      <c r="C133" s="3">
        <v>5</v>
      </c>
      <c r="D133" s="4"/>
      <c r="E133" s="4"/>
      <c r="F133" s="3">
        <v>20</v>
      </c>
      <c r="G133" s="5">
        <v>75</v>
      </c>
      <c r="H133" s="5">
        <v>75</v>
      </c>
    </row>
    <row r="134" spans="1:8" ht="61.15" customHeight="1" x14ac:dyDescent="0.25">
      <c r="A134" s="2" t="s">
        <v>99</v>
      </c>
      <c r="B134" s="3">
        <v>15</v>
      </c>
      <c r="C134" s="3">
        <v>2</v>
      </c>
      <c r="D134" s="4"/>
      <c r="E134" s="4"/>
      <c r="F134" s="3">
        <v>17</v>
      </c>
      <c r="G134" s="5">
        <v>88.24</v>
      </c>
      <c r="H134" s="5">
        <v>88.24</v>
      </c>
    </row>
    <row r="135" spans="1:8" ht="61.15" customHeight="1" x14ac:dyDescent="0.25">
      <c r="A135" s="2" t="s">
        <v>100</v>
      </c>
      <c r="B135" s="3">
        <v>12</v>
      </c>
      <c r="C135" s="3">
        <v>4</v>
      </c>
      <c r="D135" s="4"/>
      <c r="E135" s="4"/>
      <c r="F135" s="3">
        <v>16</v>
      </c>
      <c r="G135" s="5">
        <v>75</v>
      </c>
      <c r="H135" s="5">
        <v>75</v>
      </c>
    </row>
    <row r="136" spans="1:8" ht="51" customHeight="1" x14ac:dyDescent="0.25">
      <c r="A136" s="2" t="s">
        <v>101</v>
      </c>
      <c r="B136" s="3">
        <v>18</v>
      </c>
      <c r="C136" s="3">
        <v>5</v>
      </c>
      <c r="D136" s="4"/>
      <c r="E136" s="4"/>
      <c r="F136" s="3">
        <v>23</v>
      </c>
      <c r="G136" s="5">
        <v>78.260000000000005</v>
      </c>
      <c r="H136" s="5">
        <v>78.260000000000005</v>
      </c>
    </row>
    <row r="137" spans="1:8" ht="51" customHeight="1" x14ac:dyDescent="0.25">
      <c r="A137" s="2" t="s">
        <v>102</v>
      </c>
      <c r="B137" s="3">
        <v>22</v>
      </c>
      <c r="C137" s="3">
        <v>4</v>
      </c>
      <c r="D137" s="3">
        <v>1</v>
      </c>
      <c r="E137" s="4"/>
      <c r="F137" s="3">
        <v>27</v>
      </c>
      <c r="G137" s="5">
        <v>81.48</v>
      </c>
      <c r="H137" s="5">
        <v>81.48</v>
      </c>
    </row>
    <row r="138" spans="1:8" ht="51" customHeight="1" x14ac:dyDescent="0.25">
      <c r="A138" s="2" t="s">
        <v>103</v>
      </c>
      <c r="B138" s="3">
        <v>23</v>
      </c>
      <c r="C138" s="3">
        <v>6</v>
      </c>
      <c r="D138" s="3">
        <v>1</v>
      </c>
      <c r="E138" s="4"/>
      <c r="F138" s="3">
        <v>30</v>
      </c>
      <c r="G138" s="5">
        <v>76.67</v>
      </c>
      <c r="H138" s="5">
        <v>76.67</v>
      </c>
    </row>
    <row r="139" spans="1:8" ht="51" customHeight="1" x14ac:dyDescent="0.25">
      <c r="A139" s="2" t="s">
        <v>104</v>
      </c>
      <c r="B139" s="3">
        <v>55</v>
      </c>
      <c r="C139" s="3">
        <v>13</v>
      </c>
      <c r="D139" s="3">
        <v>2</v>
      </c>
      <c r="E139" s="3">
        <v>1</v>
      </c>
      <c r="F139" s="3">
        <v>71</v>
      </c>
      <c r="G139" s="5">
        <v>78.569999999999993</v>
      </c>
      <c r="H139" s="5">
        <v>77.459999999999994</v>
      </c>
    </row>
    <row r="140" spans="1:8" ht="61.15" customHeight="1" x14ac:dyDescent="0.25">
      <c r="A140" s="2" t="s">
        <v>105</v>
      </c>
      <c r="B140" s="3">
        <v>12</v>
      </c>
      <c r="C140" s="3">
        <v>18</v>
      </c>
      <c r="D140" s="4"/>
      <c r="E140" s="4"/>
      <c r="F140" s="3">
        <v>30</v>
      </c>
      <c r="G140" s="5">
        <v>40</v>
      </c>
      <c r="H140" s="5">
        <v>40</v>
      </c>
    </row>
    <row r="141" spans="1:8" ht="51" customHeight="1" x14ac:dyDescent="0.25">
      <c r="A141" s="2" t="s">
        <v>106</v>
      </c>
      <c r="B141" s="3">
        <v>58</v>
      </c>
      <c r="C141" s="3">
        <v>12</v>
      </c>
      <c r="D141" s="4"/>
      <c r="E141" s="3">
        <v>1</v>
      </c>
      <c r="F141" s="3">
        <v>71</v>
      </c>
      <c r="G141" s="5">
        <v>82.86</v>
      </c>
      <c r="H141" s="5">
        <v>81.69</v>
      </c>
    </row>
    <row r="142" spans="1:8" ht="61.15" customHeight="1" x14ac:dyDescent="0.25">
      <c r="A142" s="2" t="s">
        <v>107</v>
      </c>
      <c r="B142" s="3">
        <v>2</v>
      </c>
      <c r="C142" s="4"/>
      <c r="D142" s="4"/>
      <c r="E142" s="4"/>
      <c r="F142" s="3">
        <v>2</v>
      </c>
      <c r="G142" s="5">
        <v>100</v>
      </c>
      <c r="H142" s="5">
        <v>100</v>
      </c>
    </row>
    <row r="143" spans="1:8" ht="61.15" customHeight="1" x14ac:dyDescent="0.25">
      <c r="A143" s="2" t="s">
        <v>108</v>
      </c>
      <c r="B143" s="3">
        <v>1</v>
      </c>
      <c r="C143" s="3">
        <v>2</v>
      </c>
      <c r="D143" s="4"/>
      <c r="E143" s="4"/>
      <c r="F143" s="3">
        <v>3</v>
      </c>
      <c r="G143" s="5">
        <v>33.33</v>
      </c>
      <c r="H143" s="5">
        <v>33.33</v>
      </c>
    </row>
    <row r="144" spans="1:8" ht="61.15" customHeight="1" x14ac:dyDescent="0.25">
      <c r="A144" s="2" t="s">
        <v>109</v>
      </c>
      <c r="B144" s="3">
        <v>0</v>
      </c>
      <c r="C144" s="3">
        <v>1</v>
      </c>
      <c r="D144" s="4"/>
      <c r="E144" s="4"/>
      <c r="F144" s="3">
        <v>1</v>
      </c>
      <c r="G144" s="4"/>
      <c r="H144" s="5">
        <v>0</v>
      </c>
    </row>
    <row r="145" spans="1:8" ht="71.45" customHeight="1" x14ac:dyDescent="0.25">
      <c r="A145" s="2" t="s">
        <v>110</v>
      </c>
      <c r="B145" s="3">
        <v>0</v>
      </c>
      <c r="C145" s="3">
        <v>1</v>
      </c>
      <c r="D145" s="4"/>
      <c r="E145" s="4"/>
      <c r="F145" s="3">
        <v>1</v>
      </c>
      <c r="G145" s="4"/>
      <c r="H145" s="5">
        <v>0</v>
      </c>
    </row>
    <row r="146" spans="1:8" ht="71.45" customHeight="1" x14ac:dyDescent="0.25">
      <c r="A146" s="2" t="s">
        <v>111</v>
      </c>
      <c r="B146" s="3">
        <v>0</v>
      </c>
      <c r="C146" s="3">
        <v>1</v>
      </c>
      <c r="D146" s="4"/>
      <c r="E146" s="4"/>
      <c r="F146" s="3">
        <v>1</v>
      </c>
      <c r="G146" s="4"/>
      <c r="H146" s="5">
        <v>0</v>
      </c>
    </row>
    <row r="147" spans="1:8" ht="61.15" customHeight="1" x14ac:dyDescent="0.25">
      <c r="A147" s="2" t="s">
        <v>112</v>
      </c>
      <c r="B147" s="3">
        <v>4</v>
      </c>
      <c r="C147" s="4"/>
      <c r="D147" s="4"/>
      <c r="E147" s="4"/>
      <c r="F147" s="3">
        <v>4</v>
      </c>
      <c r="G147" s="5">
        <v>100</v>
      </c>
      <c r="H147" s="5">
        <v>100</v>
      </c>
    </row>
    <row r="148" spans="1:8" ht="61.15" customHeight="1" x14ac:dyDescent="0.25">
      <c r="A148" s="2" t="s">
        <v>113</v>
      </c>
      <c r="B148" s="3">
        <v>5</v>
      </c>
      <c r="C148" s="4"/>
      <c r="D148" s="4"/>
      <c r="E148" s="4"/>
      <c r="F148" s="3">
        <v>5</v>
      </c>
      <c r="G148" s="5">
        <v>100</v>
      </c>
      <c r="H148" s="5">
        <v>100</v>
      </c>
    </row>
    <row r="149" spans="1:8" ht="61.15" customHeight="1" x14ac:dyDescent="0.25">
      <c r="A149" s="2" t="s">
        <v>114</v>
      </c>
      <c r="B149" s="3">
        <v>14</v>
      </c>
      <c r="C149" s="3">
        <v>1</v>
      </c>
      <c r="D149" s="3">
        <v>2</v>
      </c>
      <c r="E149" s="4"/>
      <c r="F149" s="3">
        <v>17</v>
      </c>
      <c r="G149" s="5">
        <v>82.35</v>
      </c>
      <c r="H149" s="5">
        <v>82.35</v>
      </c>
    </row>
    <row r="150" spans="1:8" ht="61.15" customHeight="1" x14ac:dyDescent="0.25">
      <c r="A150" s="2" t="s">
        <v>115</v>
      </c>
      <c r="B150" s="3">
        <v>5</v>
      </c>
      <c r="C150" s="3">
        <v>1</v>
      </c>
      <c r="D150" s="4"/>
      <c r="E150" s="4"/>
      <c r="F150" s="3">
        <v>6</v>
      </c>
      <c r="G150" s="5">
        <v>83.33</v>
      </c>
      <c r="H150" s="5">
        <v>83.33</v>
      </c>
    </row>
    <row r="151" spans="1:8" ht="61.15" customHeight="1" x14ac:dyDescent="0.25">
      <c r="A151" s="2" t="s">
        <v>116</v>
      </c>
      <c r="B151" s="3">
        <v>7</v>
      </c>
      <c r="C151" s="3">
        <v>1</v>
      </c>
      <c r="D151" s="4"/>
      <c r="E151" s="4"/>
      <c r="F151" s="3">
        <v>8</v>
      </c>
      <c r="G151" s="5">
        <v>87.5</v>
      </c>
      <c r="H151" s="5">
        <v>87.5</v>
      </c>
    </row>
    <row r="152" spans="1:8" ht="61.15" customHeight="1" x14ac:dyDescent="0.25">
      <c r="A152" s="2" t="s">
        <v>117</v>
      </c>
      <c r="B152" s="3">
        <v>1</v>
      </c>
      <c r="C152" s="4"/>
      <c r="D152" s="4"/>
      <c r="E152" s="4"/>
      <c r="F152" s="3">
        <v>1</v>
      </c>
      <c r="G152" s="5">
        <v>100</v>
      </c>
      <c r="H152" s="5">
        <v>100</v>
      </c>
    </row>
    <row r="153" spans="1:8" ht="61.15" customHeight="1" x14ac:dyDescent="0.25">
      <c r="A153" s="2" t="s">
        <v>118</v>
      </c>
      <c r="B153" s="3">
        <v>2</v>
      </c>
      <c r="C153" s="4"/>
      <c r="D153" s="4"/>
      <c r="E153" s="4"/>
      <c r="F153" s="3">
        <v>2</v>
      </c>
      <c r="G153" s="5">
        <v>100</v>
      </c>
      <c r="H153" s="5">
        <v>100</v>
      </c>
    </row>
    <row r="154" spans="1:8" ht="61.15" customHeight="1" x14ac:dyDescent="0.25">
      <c r="A154" s="2" t="s">
        <v>119</v>
      </c>
      <c r="B154" s="3">
        <v>2</v>
      </c>
      <c r="C154" s="3">
        <v>4</v>
      </c>
      <c r="D154" s="4"/>
      <c r="E154" s="4"/>
      <c r="F154" s="3">
        <v>6</v>
      </c>
      <c r="G154" s="5">
        <v>33.33</v>
      </c>
      <c r="H154" s="5">
        <v>33.33</v>
      </c>
    </row>
    <row r="155" spans="1:8" ht="61.15" customHeight="1" x14ac:dyDescent="0.25">
      <c r="A155" s="2" t="s">
        <v>120</v>
      </c>
      <c r="B155" s="3">
        <v>1</v>
      </c>
      <c r="C155" s="4"/>
      <c r="D155" s="4"/>
      <c r="E155" s="4"/>
      <c r="F155" s="3">
        <v>1</v>
      </c>
      <c r="G155" s="5">
        <v>100</v>
      </c>
      <c r="H155" s="5">
        <v>100</v>
      </c>
    </row>
    <row r="156" spans="1:8" ht="40.9" customHeight="1" x14ac:dyDescent="0.25">
      <c r="A156" s="2" t="s">
        <v>208</v>
      </c>
      <c r="B156" s="3">
        <v>1</v>
      </c>
      <c r="C156" s="3">
        <v>1</v>
      </c>
      <c r="D156" s="4"/>
      <c r="E156" s="4"/>
      <c r="F156" s="3">
        <v>2</v>
      </c>
      <c r="G156" s="5">
        <v>50</v>
      </c>
      <c r="H156" s="5">
        <v>50</v>
      </c>
    </row>
    <row r="157" spans="1:8" ht="40.9" customHeight="1" x14ac:dyDescent="0.25">
      <c r="A157" s="2" t="s">
        <v>209</v>
      </c>
      <c r="B157" s="3">
        <v>10</v>
      </c>
      <c r="C157" s="3">
        <v>5</v>
      </c>
      <c r="D157" s="4"/>
      <c r="E157" s="3">
        <v>4</v>
      </c>
      <c r="F157" s="3">
        <v>19</v>
      </c>
      <c r="G157" s="5">
        <v>66.67</v>
      </c>
      <c r="H157" s="5">
        <v>52.63</v>
      </c>
    </row>
    <row r="158" spans="1:8" ht="51" customHeight="1" x14ac:dyDescent="0.25">
      <c r="A158" s="2" t="s">
        <v>211</v>
      </c>
      <c r="B158" s="3">
        <v>0</v>
      </c>
      <c r="C158" s="3">
        <v>1</v>
      </c>
      <c r="D158" s="4"/>
      <c r="E158" s="4"/>
      <c r="F158" s="3">
        <v>1</v>
      </c>
      <c r="G158" s="4"/>
      <c r="H158" s="5">
        <v>0</v>
      </c>
    </row>
    <row r="159" spans="1:8" ht="61.15" customHeight="1" x14ac:dyDescent="0.25">
      <c r="A159" s="2" t="s">
        <v>210</v>
      </c>
      <c r="B159" s="3">
        <v>0</v>
      </c>
      <c r="C159" s="3">
        <v>1</v>
      </c>
      <c r="D159" s="4"/>
      <c r="E159" s="4"/>
      <c r="F159" s="3">
        <v>1</v>
      </c>
      <c r="G159" s="4"/>
      <c r="H159" s="5">
        <v>0</v>
      </c>
    </row>
    <row r="160" spans="1:8" x14ac:dyDescent="0.25">
      <c r="A160" s="6" t="s">
        <v>1</v>
      </c>
      <c r="B160" s="7">
        <v>3393</v>
      </c>
      <c r="C160" s="7">
        <v>1063</v>
      </c>
      <c r="D160" s="8">
        <v>40</v>
      </c>
      <c r="E160" s="8">
        <v>79</v>
      </c>
      <c r="F160" s="7">
        <v>4575</v>
      </c>
      <c r="G160" s="9">
        <v>75.47</v>
      </c>
      <c r="H160" s="9">
        <v>74.16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1"/>
  <sheetViews>
    <sheetView topLeftCell="A31" workbookViewId="0">
      <selection sqref="A1:H175"/>
    </sheetView>
  </sheetViews>
  <sheetFormatPr defaultRowHeight="15" x14ac:dyDescent="0.25"/>
  <cols>
    <col min="1" max="1" width="36.7109375" customWidth="1"/>
  </cols>
  <sheetData>
    <row r="1" spans="1:8" ht="14.45" customHeight="1" x14ac:dyDescent="0.25">
      <c r="A1" s="149" t="s">
        <v>0</v>
      </c>
      <c r="B1" s="150" t="s">
        <v>1</v>
      </c>
      <c r="C1" s="150"/>
      <c r="D1" s="150"/>
      <c r="E1" s="150"/>
      <c r="F1" s="150"/>
      <c r="G1" s="150"/>
      <c r="H1" s="150"/>
    </row>
    <row r="2" spans="1:8" ht="38.25" x14ac:dyDescent="0.25">
      <c r="A2" s="149"/>
      <c r="B2" s="10" t="s">
        <v>2</v>
      </c>
      <c r="C2" s="10" t="s">
        <v>3</v>
      </c>
      <c r="D2" s="10" t="s">
        <v>160</v>
      </c>
      <c r="E2" s="10" t="s">
        <v>161</v>
      </c>
      <c r="F2" s="10" t="s">
        <v>4</v>
      </c>
      <c r="G2" s="10" t="s">
        <v>162</v>
      </c>
      <c r="H2" s="10" t="s">
        <v>5</v>
      </c>
    </row>
    <row r="3" spans="1:8" ht="22.5" x14ac:dyDescent="0.25">
      <c r="A3" s="11" t="s">
        <v>186</v>
      </c>
      <c r="B3" s="12">
        <v>11</v>
      </c>
      <c r="C3" s="12">
        <v>3</v>
      </c>
      <c r="D3" s="13"/>
      <c r="E3" s="12">
        <v>2</v>
      </c>
      <c r="F3" s="12">
        <v>16</v>
      </c>
      <c r="G3" s="14">
        <v>78.569999999999993</v>
      </c>
      <c r="H3" s="14">
        <v>68.75</v>
      </c>
    </row>
    <row r="4" spans="1:8" ht="22.5" x14ac:dyDescent="0.25">
      <c r="A4" s="11" t="s">
        <v>177</v>
      </c>
      <c r="B4" s="12">
        <v>1</v>
      </c>
      <c r="C4" s="13"/>
      <c r="D4" s="13"/>
      <c r="E4" s="13"/>
      <c r="F4" s="12">
        <v>1</v>
      </c>
      <c r="G4" s="14">
        <v>100</v>
      </c>
      <c r="H4" s="14">
        <v>100</v>
      </c>
    </row>
    <row r="5" spans="1:8" ht="22.5" x14ac:dyDescent="0.25">
      <c r="A5" s="11" t="s">
        <v>187</v>
      </c>
      <c r="B5" s="12">
        <v>11</v>
      </c>
      <c r="C5" s="12">
        <v>1</v>
      </c>
      <c r="D5" s="13"/>
      <c r="E5" s="12">
        <v>1</v>
      </c>
      <c r="F5" s="12">
        <v>13</v>
      </c>
      <c r="G5" s="14">
        <v>91.67</v>
      </c>
      <c r="H5" s="14">
        <v>84.62</v>
      </c>
    </row>
    <row r="6" spans="1:8" ht="22.5" x14ac:dyDescent="0.25">
      <c r="A6" s="11" t="s">
        <v>178</v>
      </c>
      <c r="B6" s="12">
        <v>3</v>
      </c>
      <c r="C6" s="12">
        <v>3</v>
      </c>
      <c r="D6" s="13"/>
      <c r="E6" s="13"/>
      <c r="F6" s="12">
        <v>6</v>
      </c>
      <c r="G6" s="14">
        <v>50</v>
      </c>
      <c r="H6" s="14">
        <v>50</v>
      </c>
    </row>
    <row r="7" spans="1:8" ht="22.5" x14ac:dyDescent="0.25">
      <c r="A7" s="11" t="s">
        <v>179</v>
      </c>
      <c r="B7" s="12">
        <v>1</v>
      </c>
      <c r="C7" s="12">
        <v>1</v>
      </c>
      <c r="D7" s="13"/>
      <c r="E7" s="13"/>
      <c r="F7" s="12">
        <v>2</v>
      </c>
      <c r="G7" s="14">
        <v>50</v>
      </c>
      <c r="H7" s="14">
        <v>50</v>
      </c>
    </row>
    <row r="8" spans="1:8" ht="22.5" x14ac:dyDescent="0.25">
      <c r="A8" s="11" t="s">
        <v>188</v>
      </c>
      <c r="B8" s="12">
        <v>1</v>
      </c>
      <c r="C8" s="13"/>
      <c r="D8" s="13"/>
      <c r="E8" s="13"/>
      <c r="F8" s="12">
        <v>1</v>
      </c>
      <c r="G8" s="14">
        <v>100</v>
      </c>
      <c r="H8" s="14">
        <v>100</v>
      </c>
    </row>
    <row r="9" spans="1:8" ht="22.5" x14ac:dyDescent="0.25">
      <c r="A9" s="11" t="s">
        <v>189</v>
      </c>
      <c r="B9" s="12">
        <v>5</v>
      </c>
      <c r="C9" s="12">
        <v>2</v>
      </c>
      <c r="D9" s="13"/>
      <c r="E9" s="13"/>
      <c r="F9" s="12">
        <v>7</v>
      </c>
      <c r="G9" s="14">
        <v>71.430000000000007</v>
      </c>
      <c r="H9" s="14">
        <v>71.430000000000007</v>
      </c>
    </row>
    <row r="10" spans="1:8" ht="22.5" x14ac:dyDescent="0.25">
      <c r="A10" s="11" t="s">
        <v>180</v>
      </c>
      <c r="B10" s="12">
        <v>2</v>
      </c>
      <c r="C10" s="13"/>
      <c r="D10" s="13"/>
      <c r="E10" s="13"/>
      <c r="F10" s="12">
        <v>2</v>
      </c>
      <c r="G10" s="14">
        <v>100</v>
      </c>
      <c r="H10" s="14">
        <v>100</v>
      </c>
    </row>
    <row r="11" spans="1:8" ht="22.5" x14ac:dyDescent="0.25">
      <c r="A11" s="11" t="s">
        <v>181</v>
      </c>
      <c r="B11" s="12">
        <v>6</v>
      </c>
      <c r="C11" s="12">
        <v>1</v>
      </c>
      <c r="D11" s="13"/>
      <c r="E11" s="13"/>
      <c r="F11" s="12">
        <v>7</v>
      </c>
      <c r="G11" s="14">
        <v>85.71</v>
      </c>
      <c r="H11" s="14">
        <v>85.71</v>
      </c>
    </row>
    <row r="12" spans="1:8" ht="22.5" x14ac:dyDescent="0.25">
      <c r="A12" s="11" t="s">
        <v>182</v>
      </c>
      <c r="B12" s="12">
        <v>5</v>
      </c>
      <c r="C12" s="12">
        <v>1</v>
      </c>
      <c r="D12" s="13"/>
      <c r="E12" s="13"/>
      <c r="F12" s="12">
        <v>6</v>
      </c>
      <c r="G12" s="14">
        <v>83.33</v>
      </c>
      <c r="H12" s="14">
        <v>83.33</v>
      </c>
    </row>
    <row r="13" spans="1:8" x14ac:dyDescent="0.25">
      <c r="A13" s="11" t="s">
        <v>213</v>
      </c>
      <c r="B13" s="12">
        <v>6</v>
      </c>
      <c r="C13" s="12">
        <v>3</v>
      </c>
      <c r="D13" s="13"/>
      <c r="E13" s="13"/>
      <c r="F13" s="12">
        <v>9</v>
      </c>
      <c r="G13" s="14">
        <v>66.67</v>
      </c>
      <c r="H13" s="14">
        <v>66.67</v>
      </c>
    </row>
    <row r="14" spans="1:8" x14ac:dyDescent="0.25">
      <c r="A14" s="11" t="s">
        <v>214</v>
      </c>
      <c r="B14" s="12">
        <v>2</v>
      </c>
      <c r="C14" s="12">
        <v>1</v>
      </c>
      <c r="D14" s="13"/>
      <c r="E14" s="13"/>
      <c r="F14" s="12">
        <v>3</v>
      </c>
      <c r="G14" s="14">
        <v>66.67</v>
      </c>
      <c r="H14" s="14">
        <v>66.67</v>
      </c>
    </row>
    <row r="15" spans="1:8" ht="22.5" x14ac:dyDescent="0.25">
      <c r="A15" s="11" t="s">
        <v>190</v>
      </c>
      <c r="B15" s="12">
        <v>0</v>
      </c>
      <c r="C15" s="12">
        <v>2</v>
      </c>
      <c r="D15" s="13"/>
      <c r="E15" s="13"/>
      <c r="F15" s="12">
        <v>2</v>
      </c>
      <c r="G15" s="13"/>
      <c r="H15" s="14">
        <v>0</v>
      </c>
    </row>
    <row r="16" spans="1:8" ht="22.5" x14ac:dyDescent="0.25">
      <c r="A16" s="11" t="s">
        <v>184</v>
      </c>
      <c r="B16" s="12">
        <v>2</v>
      </c>
      <c r="C16" s="12">
        <v>1</v>
      </c>
      <c r="D16" s="13"/>
      <c r="E16" s="13"/>
      <c r="F16" s="12">
        <v>3</v>
      </c>
      <c r="G16" s="14">
        <v>66.67</v>
      </c>
      <c r="H16" s="14">
        <v>66.67</v>
      </c>
    </row>
    <row r="17" spans="1:8" ht="22.5" x14ac:dyDescent="0.25">
      <c r="A17" s="11" t="s">
        <v>183</v>
      </c>
      <c r="B17" s="12">
        <v>1</v>
      </c>
      <c r="C17" s="13"/>
      <c r="D17" s="13"/>
      <c r="E17" s="13"/>
      <c r="F17" s="12">
        <v>1</v>
      </c>
      <c r="G17" s="14">
        <v>100</v>
      </c>
      <c r="H17" s="14">
        <v>100</v>
      </c>
    </row>
    <row r="18" spans="1:8" ht="22.5" x14ac:dyDescent="0.25">
      <c r="A18" s="11" t="s">
        <v>215</v>
      </c>
      <c r="B18" s="12">
        <v>4</v>
      </c>
      <c r="C18" s="12">
        <v>1</v>
      </c>
      <c r="D18" s="13"/>
      <c r="E18" s="13"/>
      <c r="F18" s="12">
        <v>5</v>
      </c>
      <c r="G18" s="14">
        <v>80</v>
      </c>
      <c r="H18" s="14">
        <v>80</v>
      </c>
    </row>
    <row r="19" spans="1:8" ht="22.5" x14ac:dyDescent="0.25">
      <c r="A19" s="11" t="s">
        <v>216</v>
      </c>
      <c r="B19" s="12">
        <v>1</v>
      </c>
      <c r="C19" s="12">
        <v>3</v>
      </c>
      <c r="D19" s="13"/>
      <c r="E19" s="12">
        <v>1</v>
      </c>
      <c r="F19" s="12">
        <v>5</v>
      </c>
      <c r="G19" s="14">
        <v>25</v>
      </c>
      <c r="H19" s="14">
        <v>20</v>
      </c>
    </row>
    <row r="20" spans="1:8" ht="22.5" x14ac:dyDescent="0.25">
      <c r="A20" s="11" t="s">
        <v>217</v>
      </c>
      <c r="B20" s="12">
        <v>0</v>
      </c>
      <c r="C20" s="13"/>
      <c r="D20" s="13"/>
      <c r="E20" s="12">
        <v>1</v>
      </c>
      <c r="F20" s="12">
        <v>1</v>
      </c>
      <c r="G20" s="13"/>
      <c r="H20" s="14">
        <v>0</v>
      </c>
    </row>
    <row r="21" spans="1:8" ht="22.5" x14ac:dyDescent="0.25">
      <c r="A21" s="11" t="s">
        <v>218</v>
      </c>
      <c r="B21" s="12">
        <v>0</v>
      </c>
      <c r="C21" s="12">
        <v>2</v>
      </c>
      <c r="D21" s="13"/>
      <c r="E21" s="13"/>
      <c r="F21" s="12">
        <v>2</v>
      </c>
      <c r="G21" s="13"/>
      <c r="H21" s="14">
        <v>0</v>
      </c>
    </row>
    <row r="22" spans="1:8" ht="22.5" x14ac:dyDescent="0.25">
      <c r="A22" s="11" t="s">
        <v>219</v>
      </c>
      <c r="B22" s="12">
        <v>1</v>
      </c>
      <c r="C22" s="13"/>
      <c r="D22" s="13"/>
      <c r="E22" s="13"/>
      <c r="F22" s="12">
        <v>1</v>
      </c>
      <c r="G22" s="14">
        <v>100</v>
      </c>
      <c r="H22" s="14">
        <v>100</v>
      </c>
    </row>
    <row r="23" spans="1:8" ht="22.5" x14ac:dyDescent="0.25">
      <c r="A23" s="11" t="s">
        <v>191</v>
      </c>
      <c r="B23" s="12">
        <v>79</v>
      </c>
      <c r="C23" s="12">
        <v>21</v>
      </c>
      <c r="D23" s="12">
        <v>1</v>
      </c>
      <c r="E23" s="12">
        <v>1</v>
      </c>
      <c r="F23" s="12">
        <v>102</v>
      </c>
      <c r="G23" s="14">
        <v>78.22</v>
      </c>
      <c r="H23" s="14">
        <v>77.45</v>
      </c>
    </row>
    <row r="24" spans="1:8" ht="22.5" x14ac:dyDescent="0.25">
      <c r="A24" s="11" t="s">
        <v>192</v>
      </c>
      <c r="B24" s="12">
        <v>20</v>
      </c>
      <c r="C24" s="12">
        <v>3</v>
      </c>
      <c r="D24" s="13"/>
      <c r="E24" s="13"/>
      <c r="F24" s="12">
        <v>23</v>
      </c>
      <c r="G24" s="14">
        <v>86.96</v>
      </c>
      <c r="H24" s="14">
        <v>86.96</v>
      </c>
    </row>
    <row r="25" spans="1:8" ht="22.5" x14ac:dyDescent="0.25">
      <c r="A25" s="11" t="s">
        <v>193</v>
      </c>
      <c r="B25" s="12">
        <v>2</v>
      </c>
      <c r="C25" s="13"/>
      <c r="D25" s="12">
        <v>1</v>
      </c>
      <c r="E25" s="12">
        <v>2</v>
      </c>
      <c r="F25" s="12">
        <v>5</v>
      </c>
      <c r="G25" s="14">
        <v>66.67</v>
      </c>
      <c r="H25" s="14">
        <v>40</v>
      </c>
    </row>
    <row r="26" spans="1:8" ht="22.5" x14ac:dyDescent="0.25">
      <c r="A26" s="11" t="s">
        <v>194</v>
      </c>
      <c r="B26" s="12">
        <v>3</v>
      </c>
      <c r="C26" s="12">
        <v>1</v>
      </c>
      <c r="D26" s="13"/>
      <c r="E26" s="13"/>
      <c r="F26" s="12">
        <v>4</v>
      </c>
      <c r="G26" s="14">
        <v>75</v>
      </c>
      <c r="H26" s="14">
        <v>75</v>
      </c>
    </row>
    <row r="27" spans="1:8" ht="22.5" x14ac:dyDescent="0.25">
      <c r="A27" s="11" t="s">
        <v>195</v>
      </c>
      <c r="B27" s="12">
        <v>2</v>
      </c>
      <c r="C27" s="13"/>
      <c r="D27" s="13"/>
      <c r="E27" s="13"/>
      <c r="F27" s="12">
        <v>2</v>
      </c>
      <c r="G27" s="14">
        <v>100</v>
      </c>
      <c r="H27" s="14">
        <v>100</v>
      </c>
    </row>
    <row r="28" spans="1:8" ht="22.5" x14ac:dyDescent="0.25">
      <c r="A28" s="11" t="s">
        <v>196</v>
      </c>
      <c r="B28" s="12">
        <v>1</v>
      </c>
      <c r="C28" s="13"/>
      <c r="D28" s="13"/>
      <c r="E28" s="13"/>
      <c r="F28" s="12">
        <v>1</v>
      </c>
      <c r="G28" s="14">
        <v>100</v>
      </c>
      <c r="H28" s="14">
        <v>100</v>
      </c>
    </row>
    <row r="29" spans="1:8" ht="22.5" x14ac:dyDescent="0.25">
      <c r="A29" s="11" t="s">
        <v>197</v>
      </c>
      <c r="B29" s="12">
        <v>3</v>
      </c>
      <c r="C29" s="13"/>
      <c r="D29" s="13"/>
      <c r="E29" s="13"/>
      <c r="F29" s="12">
        <v>3</v>
      </c>
      <c r="G29" s="14">
        <v>100</v>
      </c>
      <c r="H29" s="14">
        <v>100</v>
      </c>
    </row>
    <row r="30" spans="1:8" ht="22.5" x14ac:dyDescent="0.25">
      <c r="A30" s="11" t="s">
        <v>198</v>
      </c>
      <c r="B30" s="12">
        <v>1</v>
      </c>
      <c r="C30" s="12">
        <v>1</v>
      </c>
      <c r="D30" s="13"/>
      <c r="E30" s="13"/>
      <c r="F30" s="12">
        <v>2</v>
      </c>
      <c r="G30" s="14">
        <v>50</v>
      </c>
      <c r="H30" s="14">
        <v>50</v>
      </c>
    </row>
    <row r="31" spans="1:8" ht="22.5" x14ac:dyDescent="0.25">
      <c r="A31" s="11" t="s">
        <v>199</v>
      </c>
      <c r="B31" s="12">
        <v>2</v>
      </c>
      <c r="C31" s="13"/>
      <c r="D31" s="13"/>
      <c r="E31" s="13"/>
      <c r="F31" s="12">
        <v>2</v>
      </c>
      <c r="G31" s="14">
        <v>100</v>
      </c>
      <c r="H31" s="14">
        <v>100</v>
      </c>
    </row>
    <row r="32" spans="1:8" ht="22.5" x14ac:dyDescent="0.25">
      <c r="A32" s="11" t="s">
        <v>200</v>
      </c>
      <c r="B32" s="12">
        <v>2</v>
      </c>
      <c r="C32" s="13"/>
      <c r="D32" s="13"/>
      <c r="E32" s="13"/>
      <c r="F32" s="12">
        <v>2</v>
      </c>
      <c r="G32" s="14">
        <v>100</v>
      </c>
      <c r="H32" s="14">
        <v>100</v>
      </c>
    </row>
    <row r="33" spans="1:8" ht="22.5" x14ac:dyDescent="0.25">
      <c r="A33" s="11" t="s">
        <v>201</v>
      </c>
      <c r="B33" s="12">
        <v>9</v>
      </c>
      <c r="C33" s="13"/>
      <c r="D33" s="13"/>
      <c r="E33" s="13"/>
      <c r="F33" s="12">
        <v>9</v>
      </c>
      <c r="G33" s="14">
        <v>100</v>
      </c>
      <c r="H33" s="14">
        <v>100</v>
      </c>
    </row>
    <row r="34" spans="1:8" ht="22.5" x14ac:dyDescent="0.25">
      <c r="A34" s="11" t="s">
        <v>202</v>
      </c>
      <c r="B34" s="12">
        <v>1</v>
      </c>
      <c r="C34" s="13"/>
      <c r="D34" s="13"/>
      <c r="E34" s="13"/>
      <c r="F34" s="12">
        <v>1</v>
      </c>
      <c r="G34" s="14">
        <v>100</v>
      </c>
      <c r="H34" s="14">
        <v>100</v>
      </c>
    </row>
    <row r="35" spans="1:8" ht="22.5" x14ac:dyDescent="0.25">
      <c r="A35" s="11" t="s">
        <v>203</v>
      </c>
      <c r="B35" s="12">
        <v>1</v>
      </c>
      <c r="C35" s="13"/>
      <c r="D35" s="13"/>
      <c r="E35" s="13"/>
      <c r="F35" s="12">
        <v>1</v>
      </c>
      <c r="G35" s="14">
        <v>100</v>
      </c>
      <c r="H35" s="14">
        <v>100</v>
      </c>
    </row>
    <row r="36" spans="1:8" ht="22.5" x14ac:dyDescent="0.25">
      <c r="A36" s="11" t="s">
        <v>207</v>
      </c>
      <c r="B36" s="12">
        <v>3</v>
      </c>
      <c r="C36" s="12">
        <v>2</v>
      </c>
      <c r="D36" s="13"/>
      <c r="E36" s="13"/>
      <c r="F36" s="12">
        <v>5</v>
      </c>
      <c r="G36" s="14">
        <v>60</v>
      </c>
      <c r="H36" s="14">
        <v>60</v>
      </c>
    </row>
    <row r="37" spans="1:8" ht="22.5" x14ac:dyDescent="0.25">
      <c r="A37" s="11" t="s">
        <v>6</v>
      </c>
      <c r="B37" s="12">
        <v>13</v>
      </c>
      <c r="C37" s="12">
        <v>4</v>
      </c>
      <c r="D37" s="13"/>
      <c r="E37" s="13"/>
      <c r="F37" s="12">
        <v>17</v>
      </c>
      <c r="G37" s="14">
        <v>76.47</v>
      </c>
      <c r="H37" s="14">
        <v>76.47</v>
      </c>
    </row>
    <row r="38" spans="1:8" ht="22.5" x14ac:dyDescent="0.25">
      <c r="A38" s="11" t="s">
        <v>7</v>
      </c>
      <c r="B38" s="12">
        <v>12</v>
      </c>
      <c r="C38" s="13"/>
      <c r="D38" s="13"/>
      <c r="E38" s="12">
        <v>1</v>
      </c>
      <c r="F38" s="12">
        <v>13</v>
      </c>
      <c r="G38" s="14">
        <v>100</v>
      </c>
      <c r="H38" s="14">
        <v>92.31</v>
      </c>
    </row>
    <row r="39" spans="1:8" ht="22.5" x14ac:dyDescent="0.25">
      <c r="A39" s="11" t="s">
        <v>8</v>
      </c>
      <c r="B39" s="12">
        <v>7</v>
      </c>
      <c r="C39" s="12">
        <v>4</v>
      </c>
      <c r="D39" s="12">
        <v>2</v>
      </c>
      <c r="E39" s="13"/>
      <c r="F39" s="12">
        <v>14</v>
      </c>
      <c r="G39" s="14">
        <v>53.85</v>
      </c>
      <c r="H39" s="14">
        <v>53.85</v>
      </c>
    </row>
    <row r="40" spans="1:8" ht="22.5" x14ac:dyDescent="0.25">
      <c r="A40" s="11" t="s">
        <v>9</v>
      </c>
      <c r="B40" s="12">
        <v>106</v>
      </c>
      <c r="C40" s="12">
        <v>42</v>
      </c>
      <c r="D40" s="13"/>
      <c r="E40" s="12">
        <v>1</v>
      </c>
      <c r="F40" s="12">
        <v>149</v>
      </c>
      <c r="G40" s="14">
        <v>71.62</v>
      </c>
      <c r="H40" s="14">
        <v>71.14</v>
      </c>
    </row>
    <row r="41" spans="1:8" ht="22.5" x14ac:dyDescent="0.25">
      <c r="A41" s="11" t="s">
        <v>10</v>
      </c>
      <c r="B41" s="12">
        <v>11</v>
      </c>
      <c r="C41" s="12">
        <v>3</v>
      </c>
      <c r="D41" s="12">
        <v>1</v>
      </c>
      <c r="E41" s="13"/>
      <c r="F41" s="12">
        <v>15</v>
      </c>
      <c r="G41" s="14">
        <v>73.33</v>
      </c>
      <c r="H41" s="14">
        <v>73.33</v>
      </c>
    </row>
    <row r="42" spans="1:8" ht="22.5" x14ac:dyDescent="0.25">
      <c r="A42" s="11" t="s">
        <v>11</v>
      </c>
      <c r="B42" s="12">
        <v>21</v>
      </c>
      <c r="C42" s="12">
        <v>6</v>
      </c>
      <c r="D42" s="13"/>
      <c r="E42" s="13"/>
      <c r="F42" s="12">
        <v>27</v>
      </c>
      <c r="G42" s="14">
        <v>77.78</v>
      </c>
      <c r="H42" s="14">
        <v>77.78</v>
      </c>
    </row>
    <row r="43" spans="1:8" ht="22.5" x14ac:dyDescent="0.25">
      <c r="A43" s="11" t="s">
        <v>12</v>
      </c>
      <c r="B43" s="12">
        <v>22</v>
      </c>
      <c r="C43" s="12">
        <v>7</v>
      </c>
      <c r="D43" s="13"/>
      <c r="E43" s="12">
        <v>1</v>
      </c>
      <c r="F43" s="12">
        <v>30</v>
      </c>
      <c r="G43" s="14">
        <v>75.86</v>
      </c>
      <c r="H43" s="14">
        <v>73.33</v>
      </c>
    </row>
    <row r="44" spans="1:8" ht="22.5" x14ac:dyDescent="0.25">
      <c r="A44" s="11" t="s">
        <v>13</v>
      </c>
      <c r="B44" s="12">
        <v>5</v>
      </c>
      <c r="C44" s="12">
        <v>3</v>
      </c>
      <c r="D44" s="13"/>
      <c r="E44" s="13"/>
      <c r="F44" s="12">
        <v>8</v>
      </c>
      <c r="G44" s="14">
        <v>62.5</v>
      </c>
      <c r="H44" s="14">
        <v>62.5</v>
      </c>
    </row>
    <row r="45" spans="1:8" ht="22.5" x14ac:dyDescent="0.25">
      <c r="A45" s="11" t="s">
        <v>14</v>
      </c>
      <c r="B45" s="12">
        <v>75</v>
      </c>
      <c r="C45" s="12">
        <v>7</v>
      </c>
      <c r="D45" s="13"/>
      <c r="E45" s="12">
        <v>2</v>
      </c>
      <c r="F45" s="12">
        <v>84</v>
      </c>
      <c r="G45" s="14">
        <v>91.46</v>
      </c>
      <c r="H45" s="14">
        <v>89.29</v>
      </c>
    </row>
    <row r="46" spans="1:8" ht="22.5" x14ac:dyDescent="0.25">
      <c r="A46" s="11" t="s">
        <v>15</v>
      </c>
      <c r="B46" s="12">
        <v>15</v>
      </c>
      <c r="C46" s="12">
        <v>13</v>
      </c>
      <c r="D46" s="13"/>
      <c r="E46" s="13"/>
      <c r="F46" s="12">
        <v>28</v>
      </c>
      <c r="G46" s="14">
        <v>53.57</v>
      </c>
      <c r="H46" s="14">
        <v>53.57</v>
      </c>
    </row>
    <row r="47" spans="1:8" ht="22.5" x14ac:dyDescent="0.25">
      <c r="A47" s="11" t="s">
        <v>16</v>
      </c>
      <c r="B47" s="12">
        <v>16</v>
      </c>
      <c r="C47" s="12">
        <v>2</v>
      </c>
      <c r="D47" s="13"/>
      <c r="E47" s="13"/>
      <c r="F47" s="12">
        <v>18</v>
      </c>
      <c r="G47" s="14">
        <v>88.89</v>
      </c>
      <c r="H47" s="14">
        <v>88.89</v>
      </c>
    </row>
    <row r="48" spans="1:8" ht="22.5" x14ac:dyDescent="0.25">
      <c r="A48" s="11" t="s">
        <v>17</v>
      </c>
      <c r="B48" s="12">
        <v>77</v>
      </c>
      <c r="C48" s="12">
        <v>5</v>
      </c>
      <c r="D48" s="13"/>
      <c r="E48" s="13"/>
      <c r="F48" s="12">
        <v>82</v>
      </c>
      <c r="G48" s="14">
        <v>93.9</v>
      </c>
      <c r="H48" s="14">
        <v>93.9</v>
      </c>
    </row>
    <row r="49" spans="1:8" ht="22.5" x14ac:dyDescent="0.25">
      <c r="A49" s="11" t="s">
        <v>18</v>
      </c>
      <c r="B49" s="12">
        <v>10</v>
      </c>
      <c r="C49" s="12">
        <v>2</v>
      </c>
      <c r="D49" s="13"/>
      <c r="E49" s="12">
        <v>1</v>
      </c>
      <c r="F49" s="12">
        <v>13</v>
      </c>
      <c r="G49" s="14">
        <v>83.33</v>
      </c>
      <c r="H49" s="14">
        <v>76.92</v>
      </c>
    </row>
    <row r="50" spans="1:8" ht="22.5" x14ac:dyDescent="0.25">
      <c r="A50" s="11" t="s">
        <v>19</v>
      </c>
      <c r="B50" s="12">
        <v>13</v>
      </c>
      <c r="C50" s="12">
        <v>5</v>
      </c>
      <c r="D50" s="12">
        <v>2</v>
      </c>
      <c r="E50" s="12">
        <v>2</v>
      </c>
      <c r="F50" s="12">
        <v>22</v>
      </c>
      <c r="G50" s="14">
        <v>65</v>
      </c>
      <c r="H50" s="14">
        <v>59.09</v>
      </c>
    </row>
    <row r="51" spans="1:8" ht="22.5" x14ac:dyDescent="0.25">
      <c r="A51" s="11" t="s">
        <v>20</v>
      </c>
      <c r="B51" s="12">
        <v>66</v>
      </c>
      <c r="C51" s="12">
        <v>10</v>
      </c>
      <c r="D51" s="12">
        <v>1</v>
      </c>
      <c r="E51" s="12">
        <v>1</v>
      </c>
      <c r="F51" s="12">
        <v>78</v>
      </c>
      <c r="G51" s="14">
        <v>85.71</v>
      </c>
      <c r="H51" s="14">
        <v>84.62</v>
      </c>
    </row>
    <row r="52" spans="1:8" ht="22.5" x14ac:dyDescent="0.25">
      <c r="A52" s="11" t="s">
        <v>21</v>
      </c>
      <c r="B52" s="12">
        <v>108</v>
      </c>
      <c r="C52" s="12">
        <v>39</v>
      </c>
      <c r="D52" s="12">
        <v>3</v>
      </c>
      <c r="E52" s="13"/>
      <c r="F52" s="12">
        <v>150</v>
      </c>
      <c r="G52" s="14">
        <v>72</v>
      </c>
      <c r="H52" s="14">
        <v>72</v>
      </c>
    </row>
    <row r="53" spans="1:8" ht="22.5" x14ac:dyDescent="0.25">
      <c r="A53" s="11" t="s">
        <v>22</v>
      </c>
      <c r="B53" s="12">
        <v>13</v>
      </c>
      <c r="C53" s="12">
        <v>7</v>
      </c>
      <c r="D53" s="13"/>
      <c r="E53" s="13"/>
      <c r="F53" s="12">
        <v>20</v>
      </c>
      <c r="G53" s="14">
        <v>65</v>
      </c>
      <c r="H53" s="14">
        <v>65</v>
      </c>
    </row>
    <row r="54" spans="1:8" ht="22.5" x14ac:dyDescent="0.25">
      <c r="A54" s="11" t="s">
        <v>23</v>
      </c>
      <c r="B54" s="12">
        <v>2</v>
      </c>
      <c r="C54" s="12">
        <v>3</v>
      </c>
      <c r="D54" s="13"/>
      <c r="E54" s="13"/>
      <c r="F54" s="12">
        <v>5</v>
      </c>
      <c r="G54" s="14">
        <v>40</v>
      </c>
      <c r="H54" s="14">
        <v>40</v>
      </c>
    </row>
    <row r="55" spans="1:8" ht="22.5" x14ac:dyDescent="0.25">
      <c r="A55" s="11" t="s">
        <v>24</v>
      </c>
      <c r="B55" s="12">
        <v>63</v>
      </c>
      <c r="C55" s="12">
        <v>36</v>
      </c>
      <c r="D55" s="13"/>
      <c r="E55" s="12">
        <v>1</v>
      </c>
      <c r="F55" s="12">
        <v>100</v>
      </c>
      <c r="G55" s="14">
        <v>63.64</v>
      </c>
      <c r="H55" s="14">
        <v>63</v>
      </c>
    </row>
    <row r="56" spans="1:8" ht="22.5" x14ac:dyDescent="0.25">
      <c r="A56" s="11" t="s">
        <v>25</v>
      </c>
      <c r="B56" s="12">
        <v>14</v>
      </c>
      <c r="C56" s="12">
        <v>2</v>
      </c>
      <c r="D56" s="13"/>
      <c r="E56" s="13"/>
      <c r="F56" s="12">
        <v>16</v>
      </c>
      <c r="G56" s="14">
        <v>87.5</v>
      </c>
      <c r="H56" s="14">
        <v>87.5</v>
      </c>
    </row>
    <row r="57" spans="1:8" ht="22.5" x14ac:dyDescent="0.25">
      <c r="A57" s="11" t="s">
        <v>26</v>
      </c>
      <c r="B57" s="12">
        <v>159</v>
      </c>
      <c r="C57" s="12">
        <v>41</v>
      </c>
      <c r="D57" s="12">
        <v>6</v>
      </c>
      <c r="E57" s="12">
        <v>1</v>
      </c>
      <c r="F57" s="12">
        <v>207</v>
      </c>
      <c r="G57" s="14">
        <v>77.180000000000007</v>
      </c>
      <c r="H57" s="14">
        <v>76.81</v>
      </c>
    </row>
    <row r="58" spans="1:8" ht="22.5" x14ac:dyDescent="0.25">
      <c r="A58" s="11" t="s">
        <v>27</v>
      </c>
      <c r="B58" s="12">
        <v>181</v>
      </c>
      <c r="C58" s="12">
        <v>62</v>
      </c>
      <c r="D58" s="12">
        <v>1</v>
      </c>
      <c r="E58" s="12">
        <v>1</v>
      </c>
      <c r="F58" s="12">
        <v>245</v>
      </c>
      <c r="G58" s="14">
        <v>74.180000000000007</v>
      </c>
      <c r="H58" s="14">
        <v>73.88</v>
      </c>
    </row>
    <row r="59" spans="1:8" ht="22.5" x14ac:dyDescent="0.25">
      <c r="A59" s="11" t="s">
        <v>28</v>
      </c>
      <c r="B59" s="12">
        <v>110</v>
      </c>
      <c r="C59" s="12">
        <v>46</v>
      </c>
      <c r="D59" s="12">
        <v>3</v>
      </c>
      <c r="E59" s="12">
        <v>2</v>
      </c>
      <c r="F59" s="12">
        <v>161</v>
      </c>
      <c r="G59" s="14">
        <v>69.180000000000007</v>
      </c>
      <c r="H59" s="14">
        <v>68.319999999999993</v>
      </c>
    </row>
    <row r="60" spans="1:8" ht="22.5" x14ac:dyDescent="0.25">
      <c r="A60" s="11" t="s">
        <v>29</v>
      </c>
      <c r="B60" s="12">
        <v>139</v>
      </c>
      <c r="C60" s="12">
        <v>24</v>
      </c>
      <c r="D60" s="13"/>
      <c r="E60" s="12">
        <v>4</v>
      </c>
      <c r="F60" s="12">
        <v>167</v>
      </c>
      <c r="G60" s="14">
        <v>85.28</v>
      </c>
      <c r="H60" s="14">
        <v>83.23</v>
      </c>
    </row>
    <row r="61" spans="1:8" ht="22.5" x14ac:dyDescent="0.25">
      <c r="A61" s="11" t="s">
        <v>121</v>
      </c>
      <c r="B61" s="12">
        <v>1</v>
      </c>
      <c r="C61" s="12">
        <v>6</v>
      </c>
      <c r="D61" s="13"/>
      <c r="E61" s="13"/>
      <c r="F61" s="12">
        <v>7</v>
      </c>
      <c r="G61" s="14">
        <v>14.29</v>
      </c>
      <c r="H61" s="14">
        <v>14.29</v>
      </c>
    </row>
    <row r="62" spans="1:8" ht="22.5" x14ac:dyDescent="0.25">
      <c r="A62" s="11" t="s">
        <v>185</v>
      </c>
      <c r="B62" s="12">
        <v>27</v>
      </c>
      <c r="C62" s="12">
        <v>11</v>
      </c>
      <c r="D62" s="13"/>
      <c r="E62" s="12">
        <v>2</v>
      </c>
      <c r="F62" s="12">
        <v>40</v>
      </c>
      <c r="G62" s="14">
        <v>71.05</v>
      </c>
      <c r="H62" s="14">
        <v>67.5</v>
      </c>
    </row>
    <row r="63" spans="1:8" ht="22.5" x14ac:dyDescent="0.25">
      <c r="A63" s="11" t="s">
        <v>30</v>
      </c>
      <c r="B63" s="12">
        <v>12</v>
      </c>
      <c r="C63" s="12">
        <v>10</v>
      </c>
      <c r="D63" s="12">
        <v>1</v>
      </c>
      <c r="E63" s="13"/>
      <c r="F63" s="12">
        <v>23</v>
      </c>
      <c r="G63" s="14">
        <v>52.17</v>
      </c>
      <c r="H63" s="14">
        <v>52.17</v>
      </c>
    </row>
    <row r="64" spans="1:8" ht="22.5" x14ac:dyDescent="0.25">
      <c r="A64" s="11" t="s">
        <v>31</v>
      </c>
      <c r="B64" s="12">
        <v>8</v>
      </c>
      <c r="C64" s="12">
        <v>5</v>
      </c>
      <c r="D64" s="13"/>
      <c r="E64" s="13"/>
      <c r="F64" s="12">
        <v>13</v>
      </c>
      <c r="G64" s="14">
        <v>61.54</v>
      </c>
      <c r="H64" s="14">
        <v>61.54</v>
      </c>
    </row>
    <row r="65" spans="1:8" ht="22.5" x14ac:dyDescent="0.25">
      <c r="A65" s="11" t="s">
        <v>32</v>
      </c>
      <c r="B65" s="12">
        <v>4</v>
      </c>
      <c r="C65" s="12">
        <v>3</v>
      </c>
      <c r="D65" s="13"/>
      <c r="E65" s="13"/>
      <c r="F65" s="12">
        <v>7</v>
      </c>
      <c r="G65" s="14">
        <v>57.14</v>
      </c>
      <c r="H65" s="14">
        <v>57.14</v>
      </c>
    </row>
    <row r="66" spans="1:8" ht="22.5" x14ac:dyDescent="0.25">
      <c r="A66" s="11" t="s">
        <v>33</v>
      </c>
      <c r="B66" s="12">
        <v>12</v>
      </c>
      <c r="C66" s="12">
        <v>3</v>
      </c>
      <c r="D66" s="13"/>
      <c r="E66" s="13"/>
      <c r="F66" s="12">
        <v>15</v>
      </c>
      <c r="G66" s="14">
        <v>80</v>
      </c>
      <c r="H66" s="14">
        <v>80</v>
      </c>
    </row>
    <row r="67" spans="1:8" ht="22.5" x14ac:dyDescent="0.25">
      <c r="A67" s="11" t="s">
        <v>34</v>
      </c>
      <c r="B67" s="12">
        <v>28</v>
      </c>
      <c r="C67" s="12">
        <v>22</v>
      </c>
      <c r="D67" s="13"/>
      <c r="E67" s="13"/>
      <c r="F67" s="12">
        <v>50</v>
      </c>
      <c r="G67" s="14">
        <v>56</v>
      </c>
      <c r="H67" s="14">
        <v>56</v>
      </c>
    </row>
    <row r="68" spans="1:8" ht="22.5" x14ac:dyDescent="0.25">
      <c r="A68" s="11" t="s">
        <v>35</v>
      </c>
      <c r="B68" s="12">
        <v>55</v>
      </c>
      <c r="C68" s="12">
        <v>23</v>
      </c>
      <c r="D68" s="13"/>
      <c r="E68" s="13"/>
      <c r="F68" s="12">
        <v>78</v>
      </c>
      <c r="G68" s="14">
        <v>70.510000000000005</v>
      </c>
      <c r="H68" s="14">
        <v>70.510000000000005</v>
      </c>
    </row>
    <row r="69" spans="1:8" ht="22.5" x14ac:dyDescent="0.25">
      <c r="A69" s="11" t="s">
        <v>36</v>
      </c>
      <c r="B69" s="12">
        <v>2</v>
      </c>
      <c r="C69" s="13"/>
      <c r="D69" s="13"/>
      <c r="E69" s="13"/>
      <c r="F69" s="12">
        <v>2</v>
      </c>
      <c r="G69" s="14">
        <v>100</v>
      </c>
      <c r="H69" s="14">
        <v>100</v>
      </c>
    </row>
    <row r="70" spans="1:8" ht="22.5" x14ac:dyDescent="0.25">
      <c r="A70" s="11" t="s">
        <v>37</v>
      </c>
      <c r="B70" s="12">
        <v>28</v>
      </c>
      <c r="C70" s="12">
        <v>9</v>
      </c>
      <c r="D70" s="13"/>
      <c r="E70" s="13"/>
      <c r="F70" s="12">
        <v>37</v>
      </c>
      <c r="G70" s="14">
        <v>75.680000000000007</v>
      </c>
      <c r="H70" s="14">
        <v>75.680000000000007</v>
      </c>
    </row>
    <row r="71" spans="1:8" ht="22.5" x14ac:dyDescent="0.25">
      <c r="A71" s="11" t="s">
        <v>38</v>
      </c>
      <c r="B71" s="12">
        <v>20</v>
      </c>
      <c r="C71" s="12">
        <v>6</v>
      </c>
      <c r="D71" s="12">
        <v>1</v>
      </c>
      <c r="E71" s="13"/>
      <c r="F71" s="12">
        <v>27</v>
      </c>
      <c r="G71" s="14">
        <v>74.069999999999993</v>
      </c>
      <c r="H71" s="14">
        <v>74.069999999999993</v>
      </c>
    </row>
    <row r="72" spans="1:8" ht="22.5" x14ac:dyDescent="0.25">
      <c r="A72" s="11" t="s">
        <v>39</v>
      </c>
      <c r="B72" s="12">
        <v>5</v>
      </c>
      <c r="C72" s="12">
        <v>2</v>
      </c>
      <c r="D72" s="13"/>
      <c r="E72" s="13"/>
      <c r="F72" s="12">
        <v>7</v>
      </c>
      <c r="G72" s="14">
        <v>71.430000000000007</v>
      </c>
      <c r="H72" s="14">
        <v>71.430000000000007</v>
      </c>
    </row>
    <row r="73" spans="1:8" ht="22.5" x14ac:dyDescent="0.25">
      <c r="A73" s="11" t="s">
        <v>40</v>
      </c>
      <c r="B73" s="12">
        <v>23</v>
      </c>
      <c r="C73" s="12">
        <v>8</v>
      </c>
      <c r="D73" s="13"/>
      <c r="E73" s="13"/>
      <c r="F73" s="12">
        <v>31</v>
      </c>
      <c r="G73" s="14">
        <v>74.19</v>
      </c>
      <c r="H73" s="14">
        <v>74.19</v>
      </c>
    </row>
    <row r="74" spans="1:8" ht="22.5" x14ac:dyDescent="0.25">
      <c r="A74" s="11" t="s">
        <v>41</v>
      </c>
      <c r="B74" s="12">
        <v>1</v>
      </c>
      <c r="C74" s="13"/>
      <c r="D74" s="13"/>
      <c r="E74" s="13"/>
      <c r="F74" s="12">
        <v>1</v>
      </c>
      <c r="G74" s="14">
        <v>100</v>
      </c>
      <c r="H74" s="14">
        <v>100</v>
      </c>
    </row>
    <row r="75" spans="1:8" ht="22.5" x14ac:dyDescent="0.25">
      <c r="A75" s="11" t="s">
        <v>42</v>
      </c>
      <c r="B75" s="12">
        <v>2</v>
      </c>
      <c r="C75" s="12">
        <v>5</v>
      </c>
      <c r="D75" s="13"/>
      <c r="E75" s="12">
        <v>1</v>
      </c>
      <c r="F75" s="12">
        <v>8</v>
      </c>
      <c r="G75" s="14">
        <v>28.57</v>
      </c>
      <c r="H75" s="14">
        <v>25</v>
      </c>
    </row>
    <row r="76" spans="1:8" ht="22.5" x14ac:dyDescent="0.25">
      <c r="A76" s="11" t="s">
        <v>43</v>
      </c>
      <c r="B76" s="12">
        <v>10</v>
      </c>
      <c r="C76" s="12">
        <v>5</v>
      </c>
      <c r="D76" s="12">
        <v>1</v>
      </c>
      <c r="E76" s="13"/>
      <c r="F76" s="12">
        <v>16</v>
      </c>
      <c r="G76" s="14">
        <v>62.5</v>
      </c>
      <c r="H76" s="14">
        <v>62.5</v>
      </c>
    </row>
    <row r="77" spans="1:8" ht="22.5" x14ac:dyDescent="0.25">
      <c r="A77" s="11" t="s">
        <v>44</v>
      </c>
      <c r="B77" s="12">
        <v>8</v>
      </c>
      <c r="C77" s="12">
        <v>7</v>
      </c>
      <c r="D77" s="13"/>
      <c r="E77" s="13"/>
      <c r="F77" s="12">
        <v>15</v>
      </c>
      <c r="G77" s="14">
        <v>53.33</v>
      </c>
      <c r="H77" s="14">
        <v>53.33</v>
      </c>
    </row>
    <row r="78" spans="1:8" ht="22.5" x14ac:dyDescent="0.25">
      <c r="A78" s="11" t="s">
        <v>45</v>
      </c>
      <c r="B78" s="12">
        <v>2</v>
      </c>
      <c r="C78" s="12">
        <v>7</v>
      </c>
      <c r="D78" s="13"/>
      <c r="E78" s="13"/>
      <c r="F78" s="12">
        <v>9</v>
      </c>
      <c r="G78" s="14">
        <v>22.22</v>
      </c>
      <c r="H78" s="14">
        <v>22.22</v>
      </c>
    </row>
    <row r="79" spans="1:8" ht="22.5" x14ac:dyDescent="0.25">
      <c r="A79" s="11" t="s">
        <v>204</v>
      </c>
      <c r="B79" s="12">
        <v>2</v>
      </c>
      <c r="C79" s="13"/>
      <c r="D79" s="13"/>
      <c r="E79" s="12">
        <v>1</v>
      </c>
      <c r="F79" s="12">
        <v>3</v>
      </c>
      <c r="G79" s="14">
        <v>100</v>
      </c>
      <c r="H79" s="14">
        <v>66.67</v>
      </c>
    </row>
    <row r="80" spans="1:8" ht="22.5" x14ac:dyDescent="0.25">
      <c r="A80" s="11" t="s">
        <v>205</v>
      </c>
      <c r="B80" s="12">
        <v>1</v>
      </c>
      <c r="C80" s="13"/>
      <c r="D80" s="13"/>
      <c r="E80" s="13"/>
      <c r="F80" s="12">
        <v>1</v>
      </c>
      <c r="G80" s="14">
        <v>100</v>
      </c>
      <c r="H80" s="14">
        <v>100</v>
      </c>
    </row>
    <row r="81" spans="1:8" ht="22.5" x14ac:dyDescent="0.25">
      <c r="A81" s="11" t="s">
        <v>206</v>
      </c>
      <c r="B81" s="12">
        <v>0</v>
      </c>
      <c r="C81" s="13"/>
      <c r="D81" s="13"/>
      <c r="E81" s="12">
        <v>1</v>
      </c>
      <c r="F81" s="12">
        <v>1</v>
      </c>
      <c r="G81" s="13"/>
      <c r="H81" s="14">
        <v>0</v>
      </c>
    </row>
    <row r="82" spans="1:8" ht="22.5" x14ac:dyDescent="0.25">
      <c r="A82" s="11" t="s">
        <v>46</v>
      </c>
      <c r="B82" s="12">
        <v>1</v>
      </c>
      <c r="C82" s="12">
        <v>1</v>
      </c>
      <c r="D82" s="13"/>
      <c r="E82" s="13"/>
      <c r="F82" s="12">
        <v>2</v>
      </c>
      <c r="G82" s="14">
        <v>50</v>
      </c>
      <c r="H82" s="14">
        <v>50</v>
      </c>
    </row>
    <row r="83" spans="1:8" ht="22.5" x14ac:dyDescent="0.25">
      <c r="A83" s="11" t="s">
        <v>47</v>
      </c>
      <c r="B83" s="12">
        <v>80</v>
      </c>
      <c r="C83" s="12">
        <v>61</v>
      </c>
      <c r="D83" s="12">
        <v>1</v>
      </c>
      <c r="E83" s="13"/>
      <c r="F83" s="12">
        <v>142</v>
      </c>
      <c r="G83" s="14">
        <v>56.34</v>
      </c>
      <c r="H83" s="14">
        <v>56.34</v>
      </c>
    </row>
    <row r="84" spans="1:8" ht="22.5" x14ac:dyDescent="0.25">
      <c r="A84" s="11" t="s">
        <v>48</v>
      </c>
      <c r="B84" s="12">
        <v>8</v>
      </c>
      <c r="C84" s="12">
        <v>3</v>
      </c>
      <c r="D84" s="13"/>
      <c r="E84" s="13"/>
      <c r="F84" s="12">
        <v>11</v>
      </c>
      <c r="G84" s="14">
        <v>72.73</v>
      </c>
      <c r="H84" s="14">
        <v>72.73</v>
      </c>
    </row>
    <row r="85" spans="1:8" ht="22.5" x14ac:dyDescent="0.25">
      <c r="A85" s="11" t="s">
        <v>49</v>
      </c>
      <c r="B85" s="12">
        <v>33</v>
      </c>
      <c r="C85" s="12">
        <v>1</v>
      </c>
      <c r="D85" s="13"/>
      <c r="E85" s="13"/>
      <c r="F85" s="12">
        <v>34</v>
      </c>
      <c r="G85" s="14">
        <v>97.06</v>
      </c>
      <c r="H85" s="14">
        <v>97.06</v>
      </c>
    </row>
    <row r="86" spans="1:8" ht="22.5" x14ac:dyDescent="0.25">
      <c r="A86" s="11" t="s">
        <v>50</v>
      </c>
      <c r="B86" s="12">
        <v>1</v>
      </c>
      <c r="C86" s="13"/>
      <c r="D86" s="13"/>
      <c r="E86" s="13"/>
      <c r="F86" s="12">
        <v>1</v>
      </c>
      <c r="G86" s="14">
        <v>100</v>
      </c>
      <c r="H86" s="14">
        <v>100</v>
      </c>
    </row>
    <row r="87" spans="1:8" ht="22.5" x14ac:dyDescent="0.25">
      <c r="A87" s="11" t="s">
        <v>51</v>
      </c>
      <c r="B87" s="12">
        <v>11</v>
      </c>
      <c r="C87" s="12">
        <v>3</v>
      </c>
      <c r="D87" s="12">
        <v>2</v>
      </c>
      <c r="E87" s="13"/>
      <c r="F87" s="12">
        <v>16</v>
      </c>
      <c r="G87" s="14">
        <v>68.75</v>
      </c>
      <c r="H87" s="14">
        <v>68.75</v>
      </c>
    </row>
    <row r="88" spans="1:8" ht="22.5" x14ac:dyDescent="0.25">
      <c r="A88" s="11" t="s">
        <v>52</v>
      </c>
      <c r="B88" s="12">
        <v>6</v>
      </c>
      <c r="C88" s="12">
        <v>3</v>
      </c>
      <c r="D88" s="13"/>
      <c r="E88" s="13"/>
      <c r="F88" s="12">
        <v>9</v>
      </c>
      <c r="G88" s="14">
        <v>66.67</v>
      </c>
      <c r="H88" s="14">
        <v>66.67</v>
      </c>
    </row>
    <row r="89" spans="1:8" ht="22.5" x14ac:dyDescent="0.25">
      <c r="A89" s="11" t="s">
        <v>53</v>
      </c>
      <c r="B89" s="12">
        <v>31</v>
      </c>
      <c r="C89" s="12">
        <v>5</v>
      </c>
      <c r="D89" s="12">
        <v>1</v>
      </c>
      <c r="E89" s="12">
        <v>1</v>
      </c>
      <c r="F89" s="12">
        <v>38</v>
      </c>
      <c r="G89" s="14">
        <v>83.78</v>
      </c>
      <c r="H89" s="14">
        <v>81.58</v>
      </c>
    </row>
    <row r="90" spans="1:8" ht="22.5" x14ac:dyDescent="0.25">
      <c r="A90" s="11" t="s">
        <v>54</v>
      </c>
      <c r="B90" s="12">
        <v>5</v>
      </c>
      <c r="C90" s="12">
        <v>5</v>
      </c>
      <c r="D90" s="13"/>
      <c r="E90" s="13"/>
      <c r="F90" s="12">
        <v>10</v>
      </c>
      <c r="G90" s="14">
        <v>50</v>
      </c>
      <c r="H90" s="14">
        <v>50</v>
      </c>
    </row>
    <row r="91" spans="1:8" ht="22.5" x14ac:dyDescent="0.25">
      <c r="A91" s="11" t="s">
        <v>55</v>
      </c>
      <c r="B91" s="12">
        <v>90</v>
      </c>
      <c r="C91" s="12">
        <v>17</v>
      </c>
      <c r="D91" s="12">
        <v>2</v>
      </c>
      <c r="E91" s="12">
        <v>1</v>
      </c>
      <c r="F91" s="12">
        <v>110</v>
      </c>
      <c r="G91" s="14">
        <v>82.57</v>
      </c>
      <c r="H91" s="14">
        <v>81.819999999999993</v>
      </c>
    </row>
    <row r="92" spans="1:8" ht="22.5" x14ac:dyDescent="0.25">
      <c r="A92" s="11" t="s">
        <v>122</v>
      </c>
      <c r="B92" s="12">
        <v>0</v>
      </c>
      <c r="C92" s="12">
        <v>4</v>
      </c>
      <c r="D92" s="13"/>
      <c r="E92" s="13"/>
      <c r="F92" s="12">
        <v>4</v>
      </c>
      <c r="G92" s="13"/>
      <c r="H92" s="14">
        <v>0</v>
      </c>
    </row>
    <row r="93" spans="1:8" ht="22.5" x14ac:dyDescent="0.25">
      <c r="A93" s="11" t="s">
        <v>123</v>
      </c>
      <c r="B93" s="12">
        <v>0</v>
      </c>
      <c r="C93" s="12">
        <v>10</v>
      </c>
      <c r="D93" s="13"/>
      <c r="E93" s="13"/>
      <c r="F93" s="12">
        <v>10</v>
      </c>
      <c r="G93" s="13"/>
      <c r="H93" s="14">
        <v>0</v>
      </c>
    </row>
    <row r="94" spans="1:8" ht="22.5" x14ac:dyDescent="0.25">
      <c r="A94" s="11" t="s">
        <v>56</v>
      </c>
      <c r="B94" s="12">
        <v>111</v>
      </c>
      <c r="C94" s="12">
        <v>18</v>
      </c>
      <c r="D94" s="12">
        <v>1</v>
      </c>
      <c r="E94" s="12">
        <v>1</v>
      </c>
      <c r="F94" s="12">
        <v>131</v>
      </c>
      <c r="G94" s="14">
        <v>85.38</v>
      </c>
      <c r="H94" s="14">
        <v>84.73</v>
      </c>
    </row>
    <row r="95" spans="1:8" ht="22.5" x14ac:dyDescent="0.25">
      <c r="A95" s="11" t="s">
        <v>57</v>
      </c>
      <c r="B95" s="12">
        <v>82</v>
      </c>
      <c r="C95" s="12">
        <v>24</v>
      </c>
      <c r="D95" s="12">
        <v>1</v>
      </c>
      <c r="E95" s="12">
        <v>3</v>
      </c>
      <c r="F95" s="12">
        <v>110</v>
      </c>
      <c r="G95" s="14">
        <v>76.64</v>
      </c>
      <c r="H95" s="14">
        <v>74.55</v>
      </c>
    </row>
    <row r="96" spans="1:8" ht="22.5" x14ac:dyDescent="0.25">
      <c r="A96" s="11" t="s">
        <v>58</v>
      </c>
      <c r="B96" s="12">
        <v>8</v>
      </c>
      <c r="C96" s="13"/>
      <c r="D96" s="13"/>
      <c r="E96" s="13"/>
      <c r="F96" s="12">
        <v>8</v>
      </c>
      <c r="G96" s="14">
        <v>100</v>
      </c>
      <c r="H96" s="14">
        <v>100</v>
      </c>
    </row>
    <row r="97" spans="1:8" ht="22.5" x14ac:dyDescent="0.25">
      <c r="A97" s="11" t="s">
        <v>59</v>
      </c>
      <c r="B97" s="12">
        <v>42</v>
      </c>
      <c r="C97" s="12">
        <v>8</v>
      </c>
      <c r="D97" s="13"/>
      <c r="E97" s="12">
        <v>2</v>
      </c>
      <c r="F97" s="12">
        <v>52</v>
      </c>
      <c r="G97" s="14">
        <v>84</v>
      </c>
      <c r="H97" s="14">
        <v>80.77</v>
      </c>
    </row>
    <row r="98" spans="1:8" ht="22.5" x14ac:dyDescent="0.25">
      <c r="A98" s="11" t="s">
        <v>60</v>
      </c>
      <c r="B98" s="12">
        <v>15</v>
      </c>
      <c r="C98" s="12">
        <v>3</v>
      </c>
      <c r="D98" s="13"/>
      <c r="E98" s="13"/>
      <c r="F98" s="12">
        <v>18</v>
      </c>
      <c r="G98" s="14">
        <v>83.33</v>
      </c>
      <c r="H98" s="14">
        <v>83.33</v>
      </c>
    </row>
    <row r="99" spans="1:8" ht="22.5" x14ac:dyDescent="0.25">
      <c r="A99" s="11" t="s">
        <v>61</v>
      </c>
      <c r="B99" s="12">
        <v>31</v>
      </c>
      <c r="C99" s="12">
        <v>10</v>
      </c>
      <c r="D99" s="13"/>
      <c r="E99" s="13"/>
      <c r="F99" s="12">
        <v>41</v>
      </c>
      <c r="G99" s="14">
        <v>75.61</v>
      </c>
      <c r="H99" s="14">
        <v>75.61</v>
      </c>
    </row>
    <row r="100" spans="1:8" ht="22.5" x14ac:dyDescent="0.25">
      <c r="A100" s="11" t="s">
        <v>62</v>
      </c>
      <c r="B100" s="12">
        <v>37</v>
      </c>
      <c r="C100" s="12">
        <v>9</v>
      </c>
      <c r="D100" s="12">
        <v>1</v>
      </c>
      <c r="E100" s="13"/>
      <c r="F100" s="12">
        <v>47</v>
      </c>
      <c r="G100" s="14">
        <v>78.72</v>
      </c>
      <c r="H100" s="14">
        <v>78.72</v>
      </c>
    </row>
    <row r="101" spans="1:8" ht="22.5" x14ac:dyDescent="0.25">
      <c r="A101" s="11" t="s">
        <v>63</v>
      </c>
      <c r="B101" s="12">
        <v>37</v>
      </c>
      <c r="C101" s="12">
        <v>15</v>
      </c>
      <c r="D101" s="12">
        <v>1</v>
      </c>
      <c r="E101" s="13"/>
      <c r="F101" s="12">
        <v>53</v>
      </c>
      <c r="G101" s="14">
        <v>69.81</v>
      </c>
      <c r="H101" s="14">
        <v>69.81</v>
      </c>
    </row>
    <row r="102" spans="1:8" ht="22.5" x14ac:dyDescent="0.25">
      <c r="A102" s="11" t="s">
        <v>64</v>
      </c>
      <c r="B102" s="12">
        <v>46</v>
      </c>
      <c r="C102" s="12">
        <v>19</v>
      </c>
      <c r="D102" s="13"/>
      <c r="E102" s="13"/>
      <c r="F102" s="12">
        <v>65</v>
      </c>
      <c r="G102" s="14">
        <v>70.77</v>
      </c>
      <c r="H102" s="14">
        <v>70.77</v>
      </c>
    </row>
    <row r="103" spans="1:8" ht="22.5" x14ac:dyDescent="0.25">
      <c r="A103" s="11" t="s">
        <v>65</v>
      </c>
      <c r="B103" s="12">
        <v>45</v>
      </c>
      <c r="C103" s="12">
        <v>10</v>
      </c>
      <c r="D103" s="13"/>
      <c r="E103" s="13"/>
      <c r="F103" s="12">
        <v>55</v>
      </c>
      <c r="G103" s="14">
        <v>81.819999999999993</v>
      </c>
      <c r="H103" s="14">
        <v>81.819999999999993</v>
      </c>
    </row>
    <row r="104" spans="1:8" ht="22.5" x14ac:dyDescent="0.25">
      <c r="A104" s="11" t="s">
        <v>66</v>
      </c>
      <c r="B104" s="12">
        <v>119</v>
      </c>
      <c r="C104" s="12">
        <v>34</v>
      </c>
      <c r="D104" s="12">
        <v>1</v>
      </c>
      <c r="E104" s="12">
        <v>3</v>
      </c>
      <c r="F104" s="12">
        <v>157</v>
      </c>
      <c r="G104" s="14">
        <v>77.27</v>
      </c>
      <c r="H104" s="14">
        <v>75.8</v>
      </c>
    </row>
    <row r="105" spans="1:8" ht="22.5" x14ac:dyDescent="0.25">
      <c r="A105" s="11" t="s">
        <v>67</v>
      </c>
      <c r="B105" s="12">
        <v>19</v>
      </c>
      <c r="C105" s="12">
        <v>8</v>
      </c>
      <c r="D105" s="13"/>
      <c r="E105" s="13"/>
      <c r="F105" s="12">
        <v>27</v>
      </c>
      <c r="G105" s="14">
        <v>70.37</v>
      </c>
      <c r="H105" s="14">
        <v>70.37</v>
      </c>
    </row>
    <row r="106" spans="1:8" ht="22.5" x14ac:dyDescent="0.25">
      <c r="A106" s="11" t="s">
        <v>68</v>
      </c>
      <c r="B106" s="12">
        <v>43</v>
      </c>
      <c r="C106" s="12">
        <v>16</v>
      </c>
      <c r="D106" s="13"/>
      <c r="E106" s="13"/>
      <c r="F106" s="12">
        <v>59</v>
      </c>
      <c r="G106" s="14">
        <v>72.88</v>
      </c>
      <c r="H106" s="14">
        <v>72.88</v>
      </c>
    </row>
    <row r="107" spans="1:8" ht="22.5" x14ac:dyDescent="0.25">
      <c r="A107" s="11" t="s">
        <v>69</v>
      </c>
      <c r="B107" s="12">
        <v>81</v>
      </c>
      <c r="C107" s="12">
        <v>35</v>
      </c>
      <c r="D107" s="12">
        <v>1</v>
      </c>
      <c r="E107" s="13"/>
      <c r="F107" s="12">
        <v>117</v>
      </c>
      <c r="G107" s="14">
        <v>69.23</v>
      </c>
      <c r="H107" s="14">
        <v>69.23</v>
      </c>
    </row>
    <row r="108" spans="1:8" ht="22.5" x14ac:dyDescent="0.25">
      <c r="A108" s="11" t="s">
        <v>70</v>
      </c>
      <c r="B108" s="12">
        <v>99</v>
      </c>
      <c r="C108" s="12">
        <v>20</v>
      </c>
      <c r="D108" s="13"/>
      <c r="E108" s="13"/>
      <c r="F108" s="12">
        <v>119</v>
      </c>
      <c r="G108" s="14">
        <v>83.19</v>
      </c>
      <c r="H108" s="14">
        <v>83.19</v>
      </c>
    </row>
    <row r="109" spans="1:8" ht="22.5" x14ac:dyDescent="0.25">
      <c r="A109" s="11" t="s">
        <v>71</v>
      </c>
      <c r="B109" s="12">
        <v>30</v>
      </c>
      <c r="C109" s="12">
        <v>24</v>
      </c>
      <c r="D109" s="13"/>
      <c r="E109" s="13"/>
      <c r="F109" s="12">
        <v>54</v>
      </c>
      <c r="G109" s="14">
        <v>55.56</v>
      </c>
      <c r="H109" s="14">
        <v>55.56</v>
      </c>
    </row>
    <row r="110" spans="1:8" ht="22.5" x14ac:dyDescent="0.25">
      <c r="A110" s="11" t="s">
        <v>72</v>
      </c>
      <c r="B110" s="12">
        <v>38</v>
      </c>
      <c r="C110" s="12">
        <v>13</v>
      </c>
      <c r="D110" s="13"/>
      <c r="E110" s="12">
        <v>2</v>
      </c>
      <c r="F110" s="12">
        <v>53</v>
      </c>
      <c r="G110" s="14">
        <v>74.510000000000005</v>
      </c>
      <c r="H110" s="14">
        <v>71.7</v>
      </c>
    </row>
    <row r="111" spans="1:8" ht="22.5" x14ac:dyDescent="0.25">
      <c r="A111" s="11" t="s">
        <v>73</v>
      </c>
      <c r="B111" s="12">
        <v>29</v>
      </c>
      <c r="C111" s="12">
        <v>16</v>
      </c>
      <c r="D111" s="13"/>
      <c r="E111" s="13"/>
      <c r="F111" s="12">
        <v>45</v>
      </c>
      <c r="G111" s="14">
        <v>64.44</v>
      </c>
      <c r="H111" s="14">
        <v>64.44</v>
      </c>
    </row>
    <row r="112" spans="1:8" ht="22.5" x14ac:dyDescent="0.25">
      <c r="A112" s="11" t="s">
        <v>74</v>
      </c>
      <c r="B112" s="12">
        <v>25</v>
      </c>
      <c r="C112" s="12">
        <v>16</v>
      </c>
      <c r="D112" s="13"/>
      <c r="E112" s="12">
        <v>2</v>
      </c>
      <c r="F112" s="12">
        <v>43</v>
      </c>
      <c r="G112" s="14">
        <v>60.98</v>
      </c>
      <c r="H112" s="14">
        <v>58.14</v>
      </c>
    </row>
    <row r="113" spans="1:8" ht="22.5" x14ac:dyDescent="0.25">
      <c r="A113" s="11" t="s">
        <v>75</v>
      </c>
      <c r="B113" s="12">
        <v>25</v>
      </c>
      <c r="C113" s="12">
        <v>21</v>
      </c>
      <c r="D113" s="13"/>
      <c r="E113" s="13"/>
      <c r="F113" s="12">
        <v>46</v>
      </c>
      <c r="G113" s="14">
        <v>54.35</v>
      </c>
      <c r="H113" s="14">
        <v>54.35</v>
      </c>
    </row>
    <row r="114" spans="1:8" ht="22.5" x14ac:dyDescent="0.25">
      <c r="A114" s="11" t="s">
        <v>76</v>
      </c>
      <c r="B114" s="12">
        <v>2</v>
      </c>
      <c r="C114" s="13"/>
      <c r="D114" s="13"/>
      <c r="E114" s="13"/>
      <c r="F114" s="12">
        <v>2</v>
      </c>
      <c r="G114" s="14">
        <v>100</v>
      </c>
      <c r="H114" s="14">
        <v>100</v>
      </c>
    </row>
    <row r="115" spans="1:8" ht="22.5" x14ac:dyDescent="0.25">
      <c r="A115" s="11" t="s">
        <v>77</v>
      </c>
      <c r="B115" s="12">
        <v>42</v>
      </c>
      <c r="C115" s="12">
        <v>6</v>
      </c>
      <c r="D115" s="13"/>
      <c r="E115" s="13"/>
      <c r="F115" s="12">
        <v>48</v>
      </c>
      <c r="G115" s="14">
        <v>87.5</v>
      </c>
      <c r="H115" s="14">
        <v>87.5</v>
      </c>
    </row>
    <row r="116" spans="1:8" ht="22.5" x14ac:dyDescent="0.25">
      <c r="A116" s="11" t="s">
        <v>78</v>
      </c>
      <c r="B116" s="12">
        <v>26</v>
      </c>
      <c r="C116" s="12">
        <v>9</v>
      </c>
      <c r="D116" s="13"/>
      <c r="E116" s="13"/>
      <c r="F116" s="12">
        <v>35</v>
      </c>
      <c r="G116" s="14">
        <v>74.290000000000006</v>
      </c>
      <c r="H116" s="14">
        <v>74.290000000000006</v>
      </c>
    </row>
    <row r="117" spans="1:8" ht="22.5" x14ac:dyDescent="0.25">
      <c r="A117" s="11" t="s">
        <v>79</v>
      </c>
      <c r="B117" s="12">
        <v>18</v>
      </c>
      <c r="C117" s="13"/>
      <c r="D117" s="13"/>
      <c r="E117" s="13"/>
      <c r="F117" s="12">
        <v>18</v>
      </c>
      <c r="G117" s="14">
        <v>100</v>
      </c>
      <c r="H117" s="14">
        <v>100</v>
      </c>
    </row>
    <row r="118" spans="1:8" ht="22.5" x14ac:dyDescent="0.25">
      <c r="A118" s="11" t="s">
        <v>80</v>
      </c>
      <c r="B118" s="12">
        <v>25</v>
      </c>
      <c r="C118" s="12">
        <v>4</v>
      </c>
      <c r="D118" s="13"/>
      <c r="E118" s="13"/>
      <c r="F118" s="12">
        <v>29</v>
      </c>
      <c r="G118" s="14">
        <v>86.21</v>
      </c>
      <c r="H118" s="14">
        <v>86.21</v>
      </c>
    </row>
    <row r="119" spans="1:8" ht="22.5" x14ac:dyDescent="0.25">
      <c r="A119" s="11" t="s">
        <v>81</v>
      </c>
      <c r="B119" s="12">
        <v>10</v>
      </c>
      <c r="C119" s="13"/>
      <c r="D119" s="13"/>
      <c r="E119" s="13"/>
      <c r="F119" s="12">
        <v>10</v>
      </c>
      <c r="G119" s="14">
        <v>100</v>
      </c>
      <c r="H119" s="14">
        <v>100</v>
      </c>
    </row>
    <row r="120" spans="1:8" ht="22.5" x14ac:dyDescent="0.25">
      <c r="A120" s="11" t="s">
        <v>82</v>
      </c>
      <c r="B120" s="12">
        <v>41</v>
      </c>
      <c r="C120" s="12">
        <v>4</v>
      </c>
      <c r="D120" s="12">
        <v>2</v>
      </c>
      <c r="E120" s="13"/>
      <c r="F120" s="12">
        <v>47</v>
      </c>
      <c r="G120" s="14">
        <v>87.23</v>
      </c>
      <c r="H120" s="14">
        <v>87.23</v>
      </c>
    </row>
    <row r="121" spans="1:8" ht="22.5" x14ac:dyDescent="0.25">
      <c r="A121" s="11" t="s">
        <v>83</v>
      </c>
      <c r="B121" s="12">
        <v>26</v>
      </c>
      <c r="C121" s="12">
        <v>2</v>
      </c>
      <c r="D121" s="12">
        <v>1</v>
      </c>
      <c r="E121" s="13"/>
      <c r="F121" s="12">
        <v>29</v>
      </c>
      <c r="G121" s="14">
        <v>89.66</v>
      </c>
      <c r="H121" s="14">
        <v>89.66</v>
      </c>
    </row>
    <row r="122" spans="1:8" ht="22.5" x14ac:dyDescent="0.25">
      <c r="A122" s="11" t="s">
        <v>84</v>
      </c>
      <c r="B122" s="12">
        <v>4</v>
      </c>
      <c r="C122" s="13"/>
      <c r="D122" s="12">
        <v>1</v>
      </c>
      <c r="E122" s="12">
        <v>2</v>
      </c>
      <c r="F122" s="12">
        <v>7</v>
      </c>
      <c r="G122" s="14">
        <v>80</v>
      </c>
      <c r="H122" s="14">
        <v>57.14</v>
      </c>
    </row>
    <row r="123" spans="1:8" ht="22.5" x14ac:dyDescent="0.25">
      <c r="A123" s="11" t="s">
        <v>85</v>
      </c>
      <c r="B123" s="12">
        <v>0</v>
      </c>
      <c r="C123" s="12">
        <v>1</v>
      </c>
      <c r="D123" s="13"/>
      <c r="E123" s="13"/>
      <c r="F123" s="12">
        <v>1</v>
      </c>
      <c r="G123" s="13"/>
      <c r="H123" s="14">
        <v>0</v>
      </c>
    </row>
    <row r="124" spans="1:8" ht="22.5" x14ac:dyDescent="0.25">
      <c r="A124" s="11" t="s">
        <v>86</v>
      </c>
      <c r="B124" s="12">
        <v>57</v>
      </c>
      <c r="C124" s="12">
        <v>12</v>
      </c>
      <c r="D124" s="12">
        <v>1</v>
      </c>
      <c r="E124" s="12">
        <v>2</v>
      </c>
      <c r="F124" s="12">
        <v>72</v>
      </c>
      <c r="G124" s="14">
        <v>81.430000000000007</v>
      </c>
      <c r="H124" s="14">
        <v>79.17</v>
      </c>
    </row>
    <row r="125" spans="1:8" ht="22.5" x14ac:dyDescent="0.25">
      <c r="A125" s="11" t="s">
        <v>87</v>
      </c>
      <c r="B125" s="12">
        <v>10</v>
      </c>
      <c r="C125" s="12">
        <v>1</v>
      </c>
      <c r="D125" s="13"/>
      <c r="E125" s="12">
        <v>2</v>
      </c>
      <c r="F125" s="12">
        <v>13</v>
      </c>
      <c r="G125" s="14">
        <v>90.91</v>
      </c>
      <c r="H125" s="14">
        <v>76.92</v>
      </c>
    </row>
    <row r="126" spans="1:8" ht="22.5" x14ac:dyDescent="0.25">
      <c r="A126" s="11" t="s">
        <v>88</v>
      </c>
      <c r="B126" s="12">
        <v>3</v>
      </c>
      <c r="C126" s="12">
        <v>1</v>
      </c>
      <c r="D126" s="13"/>
      <c r="E126" s="13"/>
      <c r="F126" s="12">
        <v>4</v>
      </c>
      <c r="G126" s="14">
        <v>75</v>
      </c>
      <c r="H126" s="14">
        <v>75</v>
      </c>
    </row>
    <row r="127" spans="1:8" ht="22.5" x14ac:dyDescent="0.25">
      <c r="A127" s="11" t="s">
        <v>89</v>
      </c>
      <c r="B127" s="12">
        <v>31</v>
      </c>
      <c r="C127" s="12">
        <v>5</v>
      </c>
      <c r="D127" s="13"/>
      <c r="E127" s="13"/>
      <c r="F127" s="12">
        <v>36</v>
      </c>
      <c r="G127" s="14">
        <v>86.11</v>
      </c>
      <c r="H127" s="14">
        <v>86.11</v>
      </c>
    </row>
    <row r="128" spans="1:8" ht="22.5" x14ac:dyDescent="0.25">
      <c r="A128" s="11" t="s">
        <v>90</v>
      </c>
      <c r="B128" s="12">
        <v>61</v>
      </c>
      <c r="C128" s="12">
        <v>15</v>
      </c>
      <c r="D128" s="12">
        <v>1</v>
      </c>
      <c r="E128" s="12">
        <v>1</v>
      </c>
      <c r="F128" s="12">
        <v>78</v>
      </c>
      <c r="G128" s="14">
        <v>79.22</v>
      </c>
      <c r="H128" s="14">
        <v>78.209999999999994</v>
      </c>
    </row>
    <row r="129" spans="1:8" ht="22.5" x14ac:dyDescent="0.25">
      <c r="A129" s="11" t="s">
        <v>91</v>
      </c>
      <c r="B129" s="12">
        <v>10</v>
      </c>
      <c r="C129" s="12">
        <v>2</v>
      </c>
      <c r="D129" s="13"/>
      <c r="E129" s="12">
        <v>1</v>
      </c>
      <c r="F129" s="12">
        <v>13</v>
      </c>
      <c r="G129" s="14">
        <v>83.33</v>
      </c>
      <c r="H129" s="14">
        <v>76.92</v>
      </c>
    </row>
    <row r="130" spans="1:8" ht="22.5" x14ac:dyDescent="0.25">
      <c r="A130" s="11" t="s">
        <v>92</v>
      </c>
      <c r="B130" s="12">
        <v>3</v>
      </c>
      <c r="C130" s="12">
        <v>1</v>
      </c>
      <c r="D130" s="12">
        <v>1</v>
      </c>
      <c r="E130" s="13"/>
      <c r="F130" s="12">
        <v>5</v>
      </c>
      <c r="G130" s="14">
        <v>60</v>
      </c>
      <c r="H130" s="14">
        <v>60</v>
      </c>
    </row>
    <row r="131" spans="1:8" ht="22.5" x14ac:dyDescent="0.25">
      <c r="A131" s="11" t="s">
        <v>93</v>
      </c>
      <c r="B131" s="12">
        <v>54</v>
      </c>
      <c r="C131" s="12">
        <v>6</v>
      </c>
      <c r="D131" s="12">
        <v>2</v>
      </c>
      <c r="E131" s="13"/>
      <c r="F131" s="12">
        <v>62</v>
      </c>
      <c r="G131" s="14">
        <v>87.1</v>
      </c>
      <c r="H131" s="14">
        <v>87.1</v>
      </c>
    </row>
    <row r="132" spans="1:8" ht="22.5" x14ac:dyDescent="0.25">
      <c r="A132" s="11" t="s">
        <v>94</v>
      </c>
      <c r="B132" s="12">
        <v>3</v>
      </c>
      <c r="C132" s="12">
        <v>2</v>
      </c>
      <c r="D132" s="13"/>
      <c r="E132" s="12">
        <v>1</v>
      </c>
      <c r="F132" s="12">
        <v>6</v>
      </c>
      <c r="G132" s="14">
        <v>60</v>
      </c>
      <c r="H132" s="14">
        <v>50</v>
      </c>
    </row>
    <row r="133" spans="1:8" ht="22.5" x14ac:dyDescent="0.25">
      <c r="A133" s="11" t="s">
        <v>95</v>
      </c>
      <c r="B133" s="12">
        <v>6</v>
      </c>
      <c r="C133" s="13"/>
      <c r="D133" s="13"/>
      <c r="E133" s="12">
        <v>2</v>
      </c>
      <c r="F133" s="12">
        <v>8</v>
      </c>
      <c r="G133" s="14">
        <v>100</v>
      </c>
      <c r="H133" s="14">
        <v>75</v>
      </c>
    </row>
    <row r="134" spans="1:8" ht="22.5" x14ac:dyDescent="0.25">
      <c r="A134" s="11" t="s">
        <v>96</v>
      </c>
      <c r="B134" s="12">
        <v>2</v>
      </c>
      <c r="C134" s="13"/>
      <c r="D134" s="13"/>
      <c r="E134" s="12">
        <v>2</v>
      </c>
      <c r="F134" s="12">
        <v>4</v>
      </c>
      <c r="G134" s="14">
        <v>100</v>
      </c>
      <c r="H134" s="14">
        <v>50</v>
      </c>
    </row>
    <row r="135" spans="1:8" ht="22.5" x14ac:dyDescent="0.25">
      <c r="A135" s="11" t="s">
        <v>97</v>
      </c>
      <c r="B135" s="12">
        <v>2</v>
      </c>
      <c r="C135" s="13"/>
      <c r="D135" s="13"/>
      <c r="E135" s="13"/>
      <c r="F135" s="12">
        <v>2</v>
      </c>
      <c r="G135" s="14">
        <v>100</v>
      </c>
      <c r="H135" s="14">
        <v>100</v>
      </c>
    </row>
    <row r="136" spans="1:8" ht="22.5" x14ac:dyDescent="0.25">
      <c r="A136" s="11" t="s">
        <v>124</v>
      </c>
      <c r="B136" s="12">
        <v>5</v>
      </c>
      <c r="C136" s="13"/>
      <c r="D136" s="13"/>
      <c r="E136" s="13"/>
      <c r="F136" s="12">
        <v>5</v>
      </c>
      <c r="G136" s="14">
        <v>100</v>
      </c>
      <c r="H136" s="14">
        <v>100</v>
      </c>
    </row>
    <row r="137" spans="1:8" ht="22.5" x14ac:dyDescent="0.25">
      <c r="A137" s="11" t="s">
        <v>98</v>
      </c>
      <c r="B137" s="12">
        <v>15</v>
      </c>
      <c r="C137" s="12">
        <v>5</v>
      </c>
      <c r="D137" s="13"/>
      <c r="E137" s="13"/>
      <c r="F137" s="12">
        <v>20</v>
      </c>
      <c r="G137" s="14">
        <v>75</v>
      </c>
      <c r="H137" s="14">
        <v>75</v>
      </c>
    </row>
    <row r="138" spans="1:8" ht="22.5" x14ac:dyDescent="0.25">
      <c r="A138" s="11" t="s">
        <v>99</v>
      </c>
      <c r="B138" s="12">
        <v>14</v>
      </c>
      <c r="C138" s="12">
        <v>3</v>
      </c>
      <c r="D138" s="13"/>
      <c r="E138" s="13"/>
      <c r="F138" s="12">
        <v>17</v>
      </c>
      <c r="G138" s="14">
        <v>82.35</v>
      </c>
      <c r="H138" s="14">
        <v>82.35</v>
      </c>
    </row>
    <row r="139" spans="1:8" ht="22.5" x14ac:dyDescent="0.25">
      <c r="A139" s="11" t="s">
        <v>100</v>
      </c>
      <c r="B139" s="12">
        <v>14</v>
      </c>
      <c r="C139" s="12">
        <v>2</v>
      </c>
      <c r="D139" s="13"/>
      <c r="E139" s="13"/>
      <c r="F139" s="12">
        <v>16</v>
      </c>
      <c r="G139" s="14">
        <v>87.5</v>
      </c>
      <c r="H139" s="14">
        <v>87.5</v>
      </c>
    </row>
    <row r="140" spans="1:8" ht="22.5" x14ac:dyDescent="0.25">
      <c r="A140" s="11" t="s">
        <v>125</v>
      </c>
      <c r="B140" s="12">
        <v>0</v>
      </c>
      <c r="C140" s="12">
        <v>2</v>
      </c>
      <c r="D140" s="13"/>
      <c r="E140" s="13"/>
      <c r="F140" s="12">
        <v>2</v>
      </c>
      <c r="G140" s="13"/>
      <c r="H140" s="14">
        <v>0</v>
      </c>
    </row>
    <row r="141" spans="1:8" ht="22.5" x14ac:dyDescent="0.25">
      <c r="A141" s="11" t="s">
        <v>101</v>
      </c>
      <c r="B141" s="12">
        <v>19</v>
      </c>
      <c r="C141" s="12">
        <v>4</v>
      </c>
      <c r="D141" s="13"/>
      <c r="E141" s="13"/>
      <c r="F141" s="12">
        <v>23</v>
      </c>
      <c r="G141" s="14">
        <v>82.61</v>
      </c>
      <c r="H141" s="14">
        <v>82.61</v>
      </c>
    </row>
    <row r="142" spans="1:8" ht="22.5" x14ac:dyDescent="0.25">
      <c r="A142" s="11" t="s">
        <v>126</v>
      </c>
      <c r="B142" s="12">
        <v>6</v>
      </c>
      <c r="C142" s="12">
        <v>3</v>
      </c>
      <c r="D142" s="13"/>
      <c r="E142" s="13"/>
      <c r="F142" s="12">
        <v>9</v>
      </c>
      <c r="G142" s="14">
        <v>66.67</v>
      </c>
      <c r="H142" s="14">
        <v>66.67</v>
      </c>
    </row>
    <row r="143" spans="1:8" ht="22.5" x14ac:dyDescent="0.25">
      <c r="A143" s="11" t="s">
        <v>102</v>
      </c>
      <c r="B143" s="12">
        <v>24</v>
      </c>
      <c r="C143" s="12">
        <v>3</v>
      </c>
      <c r="D143" s="13"/>
      <c r="E143" s="13"/>
      <c r="F143" s="12">
        <v>27</v>
      </c>
      <c r="G143" s="14">
        <v>88.89</v>
      </c>
      <c r="H143" s="14">
        <v>88.89</v>
      </c>
    </row>
    <row r="144" spans="1:8" ht="22.5" x14ac:dyDescent="0.25">
      <c r="A144" s="11" t="s">
        <v>127</v>
      </c>
      <c r="B144" s="12">
        <v>7</v>
      </c>
      <c r="C144" s="12">
        <v>9</v>
      </c>
      <c r="D144" s="13"/>
      <c r="E144" s="13"/>
      <c r="F144" s="12">
        <v>16</v>
      </c>
      <c r="G144" s="14">
        <v>43.75</v>
      </c>
      <c r="H144" s="14">
        <v>43.75</v>
      </c>
    </row>
    <row r="145" spans="1:8" ht="22.5" x14ac:dyDescent="0.25">
      <c r="A145" s="11" t="s">
        <v>128</v>
      </c>
      <c r="B145" s="12">
        <v>3</v>
      </c>
      <c r="C145" s="13"/>
      <c r="D145" s="13"/>
      <c r="E145" s="13"/>
      <c r="F145" s="12">
        <v>3</v>
      </c>
      <c r="G145" s="14">
        <v>100</v>
      </c>
      <c r="H145" s="14">
        <v>100</v>
      </c>
    </row>
    <row r="146" spans="1:8" ht="22.5" x14ac:dyDescent="0.25">
      <c r="A146" s="11" t="s">
        <v>103</v>
      </c>
      <c r="B146" s="12">
        <v>23</v>
      </c>
      <c r="C146" s="12">
        <v>6</v>
      </c>
      <c r="D146" s="12">
        <v>1</v>
      </c>
      <c r="E146" s="13"/>
      <c r="F146" s="12">
        <v>30</v>
      </c>
      <c r="G146" s="14">
        <v>76.67</v>
      </c>
      <c r="H146" s="14">
        <v>76.67</v>
      </c>
    </row>
    <row r="147" spans="1:8" ht="22.5" x14ac:dyDescent="0.25">
      <c r="A147" s="11" t="s">
        <v>129</v>
      </c>
      <c r="B147" s="12">
        <v>0</v>
      </c>
      <c r="C147" s="12">
        <v>8</v>
      </c>
      <c r="D147" s="13"/>
      <c r="E147" s="13"/>
      <c r="F147" s="12">
        <v>8</v>
      </c>
      <c r="G147" s="13"/>
      <c r="H147" s="14">
        <v>0</v>
      </c>
    </row>
    <row r="148" spans="1:8" ht="22.5" x14ac:dyDescent="0.25">
      <c r="A148" s="11" t="s">
        <v>104</v>
      </c>
      <c r="B148" s="12">
        <v>58</v>
      </c>
      <c r="C148" s="12">
        <v>11</v>
      </c>
      <c r="D148" s="12">
        <v>1</v>
      </c>
      <c r="E148" s="12">
        <v>1</v>
      </c>
      <c r="F148" s="12">
        <v>71</v>
      </c>
      <c r="G148" s="14">
        <v>82.86</v>
      </c>
      <c r="H148" s="14">
        <v>81.69</v>
      </c>
    </row>
    <row r="149" spans="1:8" ht="22.5" x14ac:dyDescent="0.25">
      <c r="A149" s="11" t="s">
        <v>130</v>
      </c>
      <c r="B149" s="12">
        <v>0</v>
      </c>
      <c r="C149" s="12">
        <v>1</v>
      </c>
      <c r="D149" s="13"/>
      <c r="E149" s="13"/>
      <c r="F149" s="12">
        <v>1</v>
      </c>
      <c r="G149" s="13"/>
      <c r="H149" s="14">
        <v>0</v>
      </c>
    </row>
    <row r="150" spans="1:8" ht="22.5" x14ac:dyDescent="0.25">
      <c r="A150" s="11" t="s">
        <v>105</v>
      </c>
      <c r="B150" s="12">
        <v>16</v>
      </c>
      <c r="C150" s="12">
        <v>14</v>
      </c>
      <c r="D150" s="13"/>
      <c r="E150" s="13"/>
      <c r="F150" s="12">
        <v>30</v>
      </c>
      <c r="G150" s="14">
        <v>53.33</v>
      </c>
      <c r="H150" s="14">
        <v>53.33</v>
      </c>
    </row>
    <row r="151" spans="1:8" ht="22.5" x14ac:dyDescent="0.25">
      <c r="A151" s="11" t="s">
        <v>106</v>
      </c>
      <c r="B151" s="12">
        <v>62</v>
      </c>
      <c r="C151" s="12">
        <v>9</v>
      </c>
      <c r="D151" s="13"/>
      <c r="E151" s="13"/>
      <c r="F151" s="12">
        <v>71</v>
      </c>
      <c r="G151" s="14">
        <v>87.32</v>
      </c>
      <c r="H151" s="14">
        <v>87.32</v>
      </c>
    </row>
    <row r="152" spans="1:8" ht="22.5" x14ac:dyDescent="0.25">
      <c r="A152" s="11" t="s">
        <v>131</v>
      </c>
      <c r="B152" s="12">
        <v>0</v>
      </c>
      <c r="C152" s="12">
        <v>3</v>
      </c>
      <c r="D152" s="13"/>
      <c r="E152" s="13"/>
      <c r="F152" s="12">
        <v>3</v>
      </c>
      <c r="G152" s="13"/>
      <c r="H152" s="14">
        <v>0</v>
      </c>
    </row>
    <row r="153" spans="1:8" ht="22.5" x14ac:dyDescent="0.25">
      <c r="A153" s="11" t="s">
        <v>107</v>
      </c>
      <c r="B153" s="12">
        <v>2</v>
      </c>
      <c r="C153" s="13"/>
      <c r="D153" s="13"/>
      <c r="E153" s="13"/>
      <c r="F153" s="12">
        <v>2</v>
      </c>
      <c r="G153" s="14">
        <v>100</v>
      </c>
      <c r="H153" s="14">
        <v>100</v>
      </c>
    </row>
    <row r="154" spans="1:8" ht="22.5" x14ac:dyDescent="0.25">
      <c r="A154" s="11" t="s">
        <v>108</v>
      </c>
      <c r="B154" s="12">
        <v>3</v>
      </c>
      <c r="C154" s="13"/>
      <c r="D154" s="13"/>
      <c r="E154" s="13"/>
      <c r="F154" s="12">
        <v>3</v>
      </c>
      <c r="G154" s="14">
        <v>100</v>
      </c>
      <c r="H154" s="14">
        <v>100</v>
      </c>
    </row>
    <row r="155" spans="1:8" ht="22.5" x14ac:dyDescent="0.25">
      <c r="A155" s="11" t="s">
        <v>109</v>
      </c>
      <c r="B155" s="12">
        <v>1</v>
      </c>
      <c r="C155" s="13"/>
      <c r="D155" s="13"/>
      <c r="E155" s="13"/>
      <c r="F155" s="12">
        <v>1</v>
      </c>
      <c r="G155" s="14">
        <v>100</v>
      </c>
      <c r="H155" s="14">
        <v>100</v>
      </c>
    </row>
    <row r="156" spans="1:8" ht="22.5" x14ac:dyDescent="0.25">
      <c r="A156" s="11" t="s">
        <v>110</v>
      </c>
      <c r="B156" s="12">
        <v>1</v>
      </c>
      <c r="C156" s="13"/>
      <c r="D156" s="13"/>
      <c r="E156" s="13"/>
      <c r="F156" s="12">
        <v>1</v>
      </c>
      <c r="G156" s="14">
        <v>100</v>
      </c>
      <c r="H156" s="14">
        <v>100</v>
      </c>
    </row>
    <row r="157" spans="1:8" ht="22.5" x14ac:dyDescent="0.25">
      <c r="A157" s="11" t="s">
        <v>111</v>
      </c>
      <c r="B157" s="12">
        <v>1</v>
      </c>
      <c r="C157" s="13"/>
      <c r="D157" s="13"/>
      <c r="E157" s="13"/>
      <c r="F157" s="12">
        <v>1</v>
      </c>
      <c r="G157" s="14">
        <v>100</v>
      </c>
      <c r="H157" s="14">
        <v>100</v>
      </c>
    </row>
    <row r="158" spans="1:8" ht="22.5" x14ac:dyDescent="0.25">
      <c r="A158" s="11" t="s">
        <v>112</v>
      </c>
      <c r="B158" s="12">
        <v>4</v>
      </c>
      <c r="C158" s="13"/>
      <c r="D158" s="13"/>
      <c r="E158" s="13"/>
      <c r="F158" s="12">
        <v>4</v>
      </c>
      <c r="G158" s="14">
        <v>100</v>
      </c>
      <c r="H158" s="14">
        <v>100</v>
      </c>
    </row>
    <row r="159" spans="1:8" ht="22.5" x14ac:dyDescent="0.25">
      <c r="A159" s="11" t="s">
        <v>113</v>
      </c>
      <c r="B159" s="12">
        <v>5</v>
      </c>
      <c r="C159" s="13"/>
      <c r="D159" s="13"/>
      <c r="E159" s="13"/>
      <c r="F159" s="12">
        <v>5</v>
      </c>
      <c r="G159" s="14">
        <v>100</v>
      </c>
      <c r="H159" s="14">
        <v>100</v>
      </c>
    </row>
    <row r="160" spans="1:8" ht="22.5" x14ac:dyDescent="0.25">
      <c r="A160" s="11" t="s">
        <v>114</v>
      </c>
      <c r="B160" s="12">
        <v>11</v>
      </c>
      <c r="C160" s="12">
        <v>4</v>
      </c>
      <c r="D160" s="12">
        <v>2</v>
      </c>
      <c r="E160" s="13"/>
      <c r="F160" s="12">
        <v>17</v>
      </c>
      <c r="G160" s="14">
        <v>64.709999999999994</v>
      </c>
      <c r="H160" s="14">
        <v>64.709999999999994</v>
      </c>
    </row>
    <row r="161" spans="1:8" ht="22.5" x14ac:dyDescent="0.25">
      <c r="A161" s="11" t="s">
        <v>115</v>
      </c>
      <c r="B161" s="12">
        <v>5</v>
      </c>
      <c r="C161" s="12">
        <v>2</v>
      </c>
      <c r="D161" s="13"/>
      <c r="E161" s="13"/>
      <c r="F161" s="12">
        <v>7</v>
      </c>
      <c r="G161" s="14">
        <v>71.430000000000007</v>
      </c>
      <c r="H161" s="14">
        <v>71.430000000000007</v>
      </c>
    </row>
    <row r="162" spans="1:8" ht="22.5" x14ac:dyDescent="0.25">
      <c r="A162" s="11" t="s">
        <v>116</v>
      </c>
      <c r="B162" s="12">
        <v>3</v>
      </c>
      <c r="C162" s="12">
        <v>5</v>
      </c>
      <c r="D162" s="13"/>
      <c r="E162" s="13"/>
      <c r="F162" s="12">
        <v>8</v>
      </c>
      <c r="G162" s="14">
        <v>37.5</v>
      </c>
      <c r="H162" s="14">
        <v>37.5</v>
      </c>
    </row>
    <row r="163" spans="1:8" ht="22.5" x14ac:dyDescent="0.25">
      <c r="A163" s="11" t="s">
        <v>117</v>
      </c>
      <c r="B163" s="12">
        <v>1</v>
      </c>
      <c r="C163" s="13"/>
      <c r="D163" s="13"/>
      <c r="E163" s="13"/>
      <c r="F163" s="12">
        <v>1</v>
      </c>
      <c r="G163" s="14">
        <v>100</v>
      </c>
      <c r="H163" s="14">
        <v>100</v>
      </c>
    </row>
    <row r="164" spans="1:8" ht="22.5" x14ac:dyDescent="0.25">
      <c r="A164" s="11" t="s">
        <v>118</v>
      </c>
      <c r="B164" s="12">
        <v>2</v>
      </c>
      <c r="C164" s="13"/>
      <c r="D164" s="13"/>
      <c r="E164" s="13"/>
      <c r="F164" s="12">
        <v>2</v>
      </c>
      <c r="G164" s="14">
        <v>100</v>
      </c>
      <c r="H164" s="14">
        <v>100</v>
      </c>
    </row>
    <row r="165" spans="1:8" ht="22.5" x14ac:dyDescent="0.25">
      <c r="A165" s="11" t="s">
        <v>119</v>
      </c>
      <c r="B165" s="12">
        <v>3</v>
      </c>
      <c r="C165" s="12">
        <v>3</v>
      </c>
      <c r="D165" s="13"/>
      <c r="E165" s="13"/>
      <c r="F165" s="12">
        <v>6</v>
      </c>
      <c r="G165" s="14">
        <v>50</v>
      </c>
      <c r="H165" s="14">
        <v>50</v>
      </c>
    </row>
    <row r="166" spans="1:8" ht="22.5" x14ac:dyDescent="0.25">
      <c r="A166" s="11" t="s">
        <v>120</v>
      </c>
      <c r="B166" s="12">
        <v>1</v>
      </c>
      <c r="C166" s="13"/>
      <c r="D166" s="13"/>
      <c r="E166" s="13"/>
      <c r="F166" s="12">
        <v>1</v>
      </c>
      <c r="G166" s="14">
        <v>100</v>
      </c>
      <c r="H166" s="14">
        <v>100</v>
      </c>
    </row>
    <row r="167" spans="1:8" ht="22.5" x14ac:dyDescent="0.25">
      <c r="A167" s="11" t="s">
        <v>208</v>
      </c>
      <c r="B167" s="12">
        <v>2</v>
      </c>
      <c r="C167" s="13"/>
      <c r="D167" s="13"/>
      <c r="E167" s="13"/>
      <c r="F167" s="12">
        <v>2</v>
      </c>
      <c r="G167" s="14">
        <v>100</v>
      </c>
      <c r="H167" s="14">
        <v>100</v>
      </c>
    </row>
    <row r="168" spans="1:8" ht="22.5" x14ac:dyDescent="0.25">
      <c r="A168" s="11" t="s">
        <v>209</v>
      </c>
      <c r="B168" s="12">
        <v>10</v>
      </c>
      <c r="C168" s="12">
        <v>5</v>
      </c>
      <c r="D168" s="13"/>
      <c r="E168" s="12">
        <v>4</v>
      </c>
      <c r="F168" s="12">
        <v>19</v>
      </c>
      <c r="G168" s="14">
        <v>66.67</v>
      </c>
      <c r="H168" s="14">
        <v>52.63</v>
      </c>
    </row>
    <row r="169" spans="1:8" ht="22.5" x14ac:dyDescent="0.25">
      <c r="A169" s="11" t="s">
        <v>211</v>
      </c>
      <c r="B169" s="12">
        <v>0</v>
      </c>
      <c r="C169" s="13"/>
      <c r="D169" s="12">
        <v>1</v>
      </c>
      <c r="E169" s="13"/>
      <c r="F169" s="12">
        <v>1</v>
      </c>
      <c r="G169" s="13"/>
      <c r="H169" s="14">
        <v>0</v>
      </c>
    </row>
    <row r="170" spans="1:8" ht="22.5" x14ac:dyDescent="0.25">
      <c r="A170" s="11" t="s">
        <v>210</v>
      </c>
      <c r="B170" s="12">
        <v>0</v>
      </c>
      <c r="C170" s="13"/>
      <c r="D170" s="13"/>
      <c r="E170" s="12">
        <v>1</v>
      </c>
      <c r="F170" s="12">
        <v>1</v>
      </c>
      <c r="G170" s="13"/>
      <c r="H170" s="14">
        <v>0</v>
      </c>
    </row>
    <row r="171" spans="1:8" x14ac:dyDescent="0.25">
      <c r="A171" s="15" t="s">
        <v>1</v>
      </c>
      <c r="B171" s="16">
        <v>3686</v>
      </c>
      <c r="C171" s="16">
        <v>1164</v>
      </c>
      <c r="D171" s="17">
        <v>50</v>
      </c>
      <c r="E171" s="17">
        <v>65</v>
      </c>
      <c r="F171" s="16">
        <v>4965</v>
      </c>
      <c r="G171" s="18">
        <v>75.22</v>
      </c>
      <c r="H171" s="18">
        <v>74.239999999999995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5"/>
  <sheetViews>
    <sheetView topLeftCell="A37" workbookViewId="0">
      <selection sqref="A1:H175"/>
    </sheetView>
  </sheetViews>
  <sheetFormatPr defaultRowHeight="15" x14ac:dyDescent="0.25"/>
  <sheetData>
    <row r="1" spans="1:8" ht="14.45" customHeight="1" x14ac:dyDescent="0.25">
      <c r="A1" s="151" t="s">
        <v>0</v>
      </c>
      <c r="B1" s="152" t="s">
        <v>1</v>
      </c>
      <c r="C1" s="152"/>
      <c r="D1" s="152"/>
      <c r="E1" s="152"/>
      <c r="F1" s="152"/>
      <c r="G1" s="152"/>
      <c r="H1" s="152"/>
    </row>
    <row r="2" spans="1:8" ht="38.25" x14ac:dyDescent="0.25">
      <c r="A2" s="151"/>
      <c r="B2" s="19" t="s">
        <v>2</v>
      </c>
      <c r="C2" s="19" t="s">
        <v>3</v>
      </c>
      <c r="D2" s="19" t="s">
        <v>160</v>
      </c>
      <c r="E2" s="19" t="s">
        <v>161</v>
      </c>
      <c r="F2" s="19" t="s">
        <v>4</v>
      </c>
      <c r="G2" s="19" t="s">
        <v>162</v>
      </c>
      <c r="H2" s="19" t="s">
        <v>5</v>
      </c>
    </row>
    <row r="3" spans="1:8" ht="67.5" x14ac:dyDescent="0.25">
      <c r="A3" s="20" t="s">
        <v>186</v>
      </c>
      <c r="B3" s="21">
        <v>10</v>
      </c>
      <c r="C3" s="21">
        <v>4</v>
      </c>
      <c r="D3" s="22"/>
      <c r="E3" s="21">
        <v>2</v>
      </c>
      <c r="F3" s="21">
        <v>16</v>
      </c>
      <c r="G3" s="23">
        <v>71.430000000000007</v>
      </c>
      <c r="H3" s="23">
        <v>62.5</v>
      </c>
    </row>
    <row r="4" spans="1:8" ht="67.5" x14ac:dyDescent="0.25">
      <c r="A4" s="20" t="s">
        <v>177</v>
      </c>
      <c r="B4" s="21">
        <v>1</v>
      </c>
      <c r="C4" s="22"/>
      <c r="D4" s="22"/>
      <c r="E4" s="22"/>
      <c r="F4" s="21">
        <v>1</v>
      </c>
      <c r="G4" s="23">
        <v>100</v>
      </c>
      <c r="H4" s="23">
        <v>100</v>
      </c>
    </row>
    <row r="5" spans="1:8" ht="78.75" x14ac:dyDescent="0.25">
      <c r="A5" s="20" t="s">
        <v>187</v>
      </c>
      <c r="B5" s="21">
        <v>7</v>
      </c>
      <c r="C5" s="21">
        <v>5</v>
      </c>
      <c r="D5" s="22"/>
      <c r="E5" s="21">
        <v>1</v>
      </c>
      <c r="F5" s="21">
        <v>13</v>
      </c>
      <c r="G5" s="23">
        <v>58.33</v>
      </c>
      <c r="H5" s="23">
        <v>53.85</v>
      </c>
    </row>
    <row r="6" spans="1:8" ht="67.5" x14ac:dyDescent="0.25">
      <c r="A6" s="20" t="s">
        <v>178</v>
      </c>
      <c r="B6" s="21">
        <v>5</v>
      </c>
      <c r="C6" s="21">
        <v>1</v>
      </c>
      <c r="D6" s="22"/>
      <c r="E6" s="22"/>
      <c r="F6" s="21">
        <v>6</v>
      </c>
      <c r="G6" s="23">
        <v>83.33</v>
      </c>
      <c r="H6" s="23">
        <v>83.33</v>
      </c>
    </row>
    <row r="7" spans="1:8" ht="67.5" x14ac:dyDescent="0.25">
      <c r="A7" s="20" t="s">
        <v>179</v>
      </c>
      <c r="B7" s="21">
        <v>1</v>
      </c>
      <c r="C7" s="21">
        <v>1</v>
      </c>
      <c r="D7" s="22"/>
      <c r="E7" s="22"/>
      <c r="F7" s="21">
        <v>2</v>
      </c>
      <c r="G7" s="23">
        <v>50</v>
      </c>
      <c r="H7" s="23">
        <v>50</v>
      </c>
    </row>
    <row r="8" spans="1:8" ht="78.75" x14ac:dyDescent="0.25">
      <c r="A8" s="20" t="s">
        <v>188</v>
      </c>
      <c r="B8" s="21">
        <v>1</v>
      </c>
      <c r="C8" s="22"/>
      <c r="D8" s="22"/>
      <c r="E8" s="22"/>
      <c r="F8" s="21">
        <v>1</v>
      </c>
      <c r="G8" s="23">
        <v>100</v>
      </c>
      <c r="H8" s="23">
        <v>100</v>
      </c>
    </row>
    <row r="9" spans="1:8" ht="78.75" x14ac:dyDescent="0.25">
      <c r="A9" s="20" t="s">
        <v>189</v>
      </c>
      <c r="B9" s="21">
        <v>4</v>
      </c>
      <c r="C9" s="21">
        <v>2</v>
      </c>
      <c r="D9" s="22"/>
      <c r="E9" s="21">
        <v>1</v>
      </c>
      <c r="F9" s="21">
        <v>7</v>
      </c>
      <c r="G9" s="23">
        <v>66.67</v>
      </c>
      <c r="H9" s="23">
        <v>57.14</v>
      </c>
    </row>
    <row r="10" spans="1:8" ht="67.5" x14ac:dyDescent="0.25">
      <c r="A10" s="20" t="s">
        <v>180</v>
      </c>
      <c r="B10" s="21">
        <v>2</v>
      </c>
      <c r="C10" s="22"/>
      <c r="D10" s="22"/>
      <c r="E10" s="22"/>
      <c r="F10" s="21">
        <v>2</v>
      </c>
      <c r="G10" s="23">
        <v>100</v>
      </c>
      <c r="H10" s="23">
        <v>100</v>
      </c>
    </row>
    <row r="11" spans="1:8" ht="67.5" x14ac:dyDescent="0.25">
      <c r="A11" s="20" t="s">
        <v>181</v>
      </c>
      <c r="B11" s="21">
        <v>5</v>
      </c>
      <c r="C11" s="21">
        <v>2</v>
      </c>
      <c r="D11" s="22"/>
      <c r="E11" s="22"/>
      <c r="F11" s="21">
        <v>7</v>
      </c>
      <c r="G11" s="23">
        <v>71.430000000000007</v>
      </c>
      <c r="H11" s="23">
        <v>71.430000000000007</v>
      </c>
    </row>
    <row r="12" spans="1:8" ht="78.75" x14ac:dyDescent="0.25">
      <c r="A12" s="20" t="s">
        <v>182</v>
      </c>
      <c r="B12" s="21">
        <v>4</v>
      </c>
      <c r="C12" s="21">
        <v>2</v>
      </c>
      <c r="D12" s="22"/>
      <c r="E12" s="22"/>
      <c r="F12" s="21">
        <v>6</v>
      </c>
      <c r="G12" s="23">
        <v>66.67</v>
      </c>
      <c r="H12" s="23">
        <v>66.67</v>
      </c>
    </row>
    <row r="13" spans="1:8" ht="56.25" x14ac:dyDescent="0.25">
      <c r="A13" s="20" t="s">
        <v>213</v>
      </c>
      <c r="B13" s="21">
        <v>5</v>
      </c>
      <c r="C13" s="21">
        <v>3</v>
      </c>
      <c r="D13" s="22"/>
      <c r="E13" s="21">
        <v>1</v>
      </c>
      <c r="F13" s="21">
        <v>9</v>
      </c>
      <c r="G13" s="23">
        <v>62.5</v>
      </c>
      <c r="H13" s="23">
        <v>55.56</v>
      </c>
    </row>
    <row r="14" spans="1:8" ht="56.25" x14ac:dyDescent="0.25">
      <c r="A14" s="20" t="s">
        <v>214</v>
      </c>
      <c r="B14" s="21">
        <v>1</v>
      </c>
      <c r="C14" s="21">
        <v>2</v>
      </c>
      <c r="D14" s="22"/>
      <c r="E14" s="22"/>
      <c r="F14" s="21">
        <v>3</v>
      </c>
      <c r="G14" s="23">
        <v>33.33</v>
      </c>
      <c r="H14" s="23">
        <v>33.33</v>
      </c>
    </row>
    <row r="15" spans="1:8" ht="67.5" x14ac:dyDescent="0.25">
      <c r="A15" s="20" t="s">
        <v>190</v>
      </c>
      <c r="B15" s="21">
        <v>1</v>
      </c>
      <c r="C15" s="21">
        <v>1</v>
      </c>
      <c r="D15" s="22"/>
      <c r="E15" s="22"/>
      <c r="F15" s="21">
        <v>2</v>
      </c>
      <c r="G15" s="23">
        <v>50</v>
      </c>
      <c r="H15" s="23">
        <v>50</v>
      </c>
    </row>
    <row r="16" spans="1:8" ht="67.5" x14ac:dyDescent="0.25">
      <c r="A16" s="20" t="s">
        <v>184</v>
      </c>
      <c r="B16" s="21">
        <v>3</v>
      </c>
      <c r="C16" s="22"/>
      <c r="D16" s="22"/>
      <c r="E16" s="22"/>
      <c r="F16" s="21">
        <v>3</v>
      </c>
      <c r="G16" s="23">
        <v>100</v>
      </c>
      <c r="H16" s="23">
        <v>100</v>
      </c>
    </row>
    <row r="17" spans="1:8" ht="67.5" x14ac:dyDescent="0.25">
      <c r="A17" s="20" t="s">
        <v>183</v>
      </c>
      <c r="B17" s="21">
        <v>1</v>
      </c>
      <c r="C17" s="22"/>
      <c r="D17" s="22"/>
      <c r="E17" s="22"/>
      <c r="F17" s="21">
        <v>1</v>
      </c>
      <c r="G17" s="23">
        <v>100</v>
      </c>
      <c r="H17" s="23">
        <v>100</v>
      </c>
    </row>
    <row r="18" spans="1:8" ht="67.5" x14ac:dyDescent="0.25">
      <c r="A18" s="20" t="s">
        <v>215</v>
      </c>
      <c r="B18" s="21">
        <v>3</v>
      </c>
      <c r="C18" s="21">
        <v>2</v>
      </c>
      <c r="D18" s="22"/>
      <c r="E18" s="22"/>
      <c r="F18" s="21">
        <v>5</v>
      </c>
      <c r="G18" s="23">
        <v>60</v>
      </c>
      <c r="H18" s="23">
        <v>60</v>
      </c>
    </row>
    <row r="19" spans="1:8" ht="67.5" x14ac:dyDescent="0.25">
      <c r="A19" s="20" t="s">
        <v>216</v>
      </c>
      <c r="B19" s="21">
        <v>2</v>
      </c>
      <c r="C19" s="21">
        <v>1</v>
      </c>
      <c r="D19" s="22"/>
      <c r="E19" s="21">
        <v>2</v>
      </c>
      <c r="F19" s="21">
        <v>5</v>
      </c>
      <c r="G19" s="23">
        <v>66.67</v>
      </c>
      <c r="H19" s="23">
        <v>40</v>
      </c>
    </row>
    <row r="20" spans="1:8" ht="67.5" x14ac:dyDescent="0.25">
      <c r="A20" s="20" t="s">
        <v>217</v>
      </c>
      <c r="B20" s="21">
        <v>0</v>
      </c>
      <c r="C20" s="22"/>
      <c r="D20" s="22"/>
      <c r="E20" s="21">
        <v>1</v>
      </c>
      <c r="F20" s="21">
        <v>1</v>
      </c>
      <c r="G20" s="22"/>
      <c r="H20" s="23">
        <v>0</v>
      </c>
    </row>
    <row r="21" spans="1:8" ht="67.5" x14ac:dyDescent="0.25">
      <c r="A21" s="20" t="s">
        <v>218</v>
      </c>
      <c r="B21" s="21">
        <v>0</v>
      </c>
      <c r="C21" s="21">
        <v>2</v>
      </c>
      <c r="D21" s="22"/>
      <c r="E21" s="22"/>
      <c r="F21" s="21">
        <v>2</v>
      </c>
      <c r="G21" s="22"/>
      <c r="H21" s="23">
        <v>0</v>
      </c>
    </row>
    <row r="22" spans="1:8" ht="67.5" x14ac:dyDescent="0.25">
      <c r="A22" s="20" t="s">
        <v>219</v>
      </c>
      <c r="B22" s="21">
        <v>1</v>
      </c>
      <c r="C22" s="22"/>
      <c r="D22" s="22"/>
      <c r="E22" s="22"/>
      <c r="F22" s="21">
        <v>1</v>
      </c>
      <c r="G22" s="23">
        <v>100</v>
      </c>
      <c r="H22" s="23">
        <v>100</v>
      </c>
    </row>
    <row r="23" spans="1:8" ht="90" x14ac:dyDescent="0.25">
      <c r="A23" s="20" t="s">
        <v>191</v>
      </c>
      <c r="B23" s="21">
        <v>79</v>
      </c>
      <c r="C23" s="21">
        <v>22</v>
      </c>
      <c r="D23" s="22"/>
      <c r="E23" s="21">
        <v>1</v>
      </c>
      <c r="F23" s="21">
        <v>102</v>
      </c>
      <c r="G23" s="23">
        <v>78.22</v>
      </c>
      <c r="H23" s="23">
        <v>77.45</v>
      </c>
    </row>
    <row r="24" spans="1:8" ht="90" x14ac:dyDescent="0.25">
      <c r="A24" s="20" t="s">
        <v>192</v>
      </c>
      <c r="B24" s="21">
        <v>16</v>
      </c>
      <c r="C24" s="21">
        <v>7</v>
      </c>
      <c r="D24" s="22"/>
      <c r="E24" s="22"/>
      <c r="F24" s="21">
        <v>23</v>
      </c>
      <c r="G24" s="23">
        <v>69.569999999999993</v>
      </c>
      <c r="H24" s="23">
        <v>69.569999999999993</v>
      </c>
    </row>
    <row r="25" spans="1:8" ht="90" x14ac:dyDescent="0.25">
      <c r="A25" s="20" t="s">
        <v>193</v>
      </c>
      <c r="B25" s="21">
        <v>1</v>
      </c>
      <c r="C25" s="21">
        <v>2</v>
      </c>
      <c r="D25" s="22"/>
      <c r="E25" s="21">
        <v>2</v>
      </c>
      <c r="F25" s="21">
        <v>5</v>
      </c>
      <c r="G25" s="23">
        <v>33.33</v>
      </c>
      <c r="H25" s="23">
        <v>20</v>
      </c>
    </row>
    <row r="26" spans="1:8" ht="90" x14ac:dyDescent="0.25">
      <c r="A26" s="20" t="s">
        <v>194</v>
      </c>
      <c r="B26" s="21">
        <v>3</v>
      </c>
      <c r="C26" s="21">
        <v>1</v>
      </c>
      <c r="D26" s="22"/>
      <c r="E26" s="22"/>
      <c r="F26" s="21">
        <v>4</v>
      </c>
      <c r="G26" s="23">
        <v>75</v>
      </c>
      <c r="H26" s="23">
        <v>75</v>
      </c>
    </row>
    <row r="27" spans="1:8" ht="67.5" x14ac:dyDescent="0.25">
      <c r="A27" s="20" t="s">
        <v>195</v>
      </c>
      <c r="B27" s="21">
        <v>2</v>
      </c>
      <c r="C27" s="22"/>
      <c r="D27" s="22"/>
      <c r="E27" s="22"/>
      <c r="F27" s="21">
        <v>2</v>
      </c>
      <c r="G27" s="23">
        <v>100</v>
      </c>
      <c r="H27" s="23">
        <v>100</v>
      </c>
    </row>
    <row r="28" spans="1:8" ht="67.5" x14ac:dyDescent="0.25">
      <c r="A28" s="20" t="s">
        <v>196</v>
      </c>
      <c r="B28" s="21">
        <v>1</v>
      </c>
      <c r="C28" s="22"/>
      <c r="D28" s="22"/>
      <c r="E28" s="22"/>
      <c r="F28" s="21">
        <v>1</v>
      </c>
      <c r="G28" s="23">
        <v>100</v>
      </c>
      <c r="H28" s="23">
        <v>100</v>
      </c>
    </row>
    <row r="29" spans="1:8" ht="67.5" x14ac:dyDescent="0.25">
      <c r="A29" s="20" t="s">
        <v>197</v>
      </c>
      <c r="B29" s="21">
        <v>3</v>
      </c>
      <c r="C29" s="22"/>
      <c r="D29" s="22"/>
      <c r="E29" s="22"/>
      <c r="F29" s="21">
        <v>3</v>
      </c>
      <c r="G29" s="23">
        <v>100</v>
      </c>
      <c r="H29" s="23">
        <v>100</v>
      </c>
    </row>
    <row r="30" spans="1:8" ht="67.5" x14ac:dyDescent="0.25">
      <c r="A30" s="20" t="s">
        <v>198</v>
      </c>
      <c r="B30" s="21">
        <v>1</v>
      </c>
      <c r="C30" s="21">
        <v>1</v>
      </c>
      <c r="D30" s="22"/>
      <c r="E30" s="22"/>
      <c r="F30" s="21">
        <v>2</v>
      </c>
      <c r="G30" s="23">
        <v>50</v>
      </c>
      <c r="H30" s="23">
        <v>50</v>
      </c>
    </row>
    <row r="31" spans="1:8" ht="90" x14ac:dyDescent="0.25">
      <c r="A31" s="20" t="s">
        <v>199</v>
      </c>
      <c r="B31" s="21">
        <v>1</v>
      </c>
      <c r="C31" s="21">
        <v>1</v>
      </c>
      <c r="D31" s="22"/>
      <c r="E31" s="22"/>
      <c r="F31" s="21">
        <v>2</v>
      </c>
      <c r="G31" s="23">
        <v>50</v>
      </c>
      <c r="H31" s="23">
        <v>50</v>
      </c>
    </row>
    <row r="32" spans="1:8" ht="90" x14ac:dyDescent="0.25">
      <c r="A32" s="20" t="s">
        <v>200</v>
      </c>
      <c r="B32" s="21">
        <v>2</v>
      </c>
      <c r="C32" s="22"/>
      <c r="D32" s="22"/>
      <c r="E32" s="22"/>
      <c r="F32" s="21">
        <v>2</v>
      </c>
      <c r="G32" s="23">
        <v>100</v>
      </c>
      <c r="H32" s="23">
        <v>100</v>
      </c>
    </row>
    <row r="33" spans="1:8" ht="67.5" x14ac:dyDescent="0.25">
      <c r="A33" s="20" t="s">
        <v>201</v>
      </c>
      <c r="B33" s="21">
        <v>9</v>
      </c>
      <c r="C33" s="22"/>
      <c r="D33" s="22"/>
      <c r="E33" s="22"/>
      <c r="F33" s="21">
        <v>9</v>
      </c>
      <c r="G33" s="23">
        <v>100</v>
      </c>
      <c r="H33" s="23">
        <v>100</v>
      </c>
    </row>
    <row r="34" spans="1:8" ht="67.5" x14ac:dyDescent="0.25">
      <c r="A34" s="20" t="s">
        <v>202</v>
      </c>
      <c r="B34" s="21">
        <v>1</v>
      </c>
      <c r="C34" s="22"/>
      <c r="D34" s="22"/>
      <c r="E34" s="22"/>
      <c r="F34" s="21">
        <v>1</v>
      </c>
      <c r="G34" s="23">
        <v>100</v>
      </c>
      <c r="H34" s="23">
        <v>100</v>
      </c>
    </row>
    <row r="35" spans="1:8" ht="67.5" x14ac:dyDescent="0.25">
      <c r="A35" s="20" t="s">
        <v>203</v>
      </c>
      <c r="B35" s="21">
        <v>1</v>
      </c>
      <c r="C35" s="22"/>
      <c r="D35" s="22"/>
      <c r="E35" s="22"/>
      <c r="F35" s="21">
        <v>1</v>
      </c>
      <c r="G35" s="23">
        <v>100</v>
      </c>
      <c r="H35" s="23">
        <v>100</v>
      </c>
    </row>
    <row r="36" spans="1:8" ht="78.75" x14ac:dyDescent="0.25">
      <c r="A36" s="20" t="s">
        <v>207</v>
      </c>
      <c r="B36" s="21">
        <v>3</v>
      </c>
      <c r="C36" s="21">
        <v>2</v>
      </c>
      <c r="D36" s="22"/>
      <c r="E36" s="22"/>
      <c r="F36" s="21">
        <v>5</v>
      </c>
      <c r="G36" s="23">
        <v>60</v>
      </c>
      <c r="H36" s="23">
        <v>60</v>
      </c>
    </row>
    <row r="37" spans="1:8" ht="67.5" x14ac:dyDescent="0.25">
      <c r="A37" s="20" t="s">
        <v>6</v>
      </c>
      <c r="B37" s="21">
        <v>14</v>
      </c>
      <c r="C37" s="21">
        <v>3</v>
      </c>
      <c r="D37" s="22"/>
      <c r="E37" s="22"/>
      <c r="F37" s="21">
        <v>17</v>
      </c>
      <c r="G37" s="23">
        <v>82.35</v>
      </c>
      <c r="H37" s="23">
        <v>82.35</v>
      </c>
    </row>
    <row r="38" spans="1:8" ht="67.5" x14ac:dyDescent="0.25">
      <c r="A38" s="20" t="s">
        <v>7</v>
      </c>
      <c r="B38" s="21">
        <v>10</v>
      </c>
      <c r="C38" s="21">
        <v>2</v>
      </c>
      <c r="D38" s="22"/>
      <c r="E38" s="21">
        <v>1</v>
      </c>
      <c r="F38" s="21">
        <v>13</v>
      </c>
      <c r="G38" s="23">
        <v>83.33</v>
      </c>
      <c r="H38" s="23">
        <v>76.92</v>
      </c>
    </row>
    <row r="39" spans="1:8" ht="67.5" x14ac:dyDescent="0.25">
      <c r="A39" s="20" t="s">
        <v>8</v>
      </c>
      <c r="B39" s="21">
        <v>11</v>
      </c>
      <c r="C39" s="21">
        <v>2</v>
      </c>
      <c r="D39" s="22"/>
      <c r="E39" s="22"/>
      <c r="F39" s="21">
        <v>14</v>
      </c>
      <c r="G39" s="23">
        <v>84.62</v>
      </c>
      <c r="H39" s="23">
        <v>84.62</v>
      </c>
    </row>
    <row r="40" spans="1:8" ht="67.5" x14ac:dyDescent="0.25">
      <c r="A40" s="20" t="s">
        <v>9</v>
      </c>
      <c r="B40" s="21">
        <v>125</v>
      </c>
      <c r="C40" s="21">
        <v>48</v>
      </c>
      <c r="D40" s="21">
        <v>3</v>
      </c>
      <c r="E40" s="21">
        <v>2</v>
      </c>
      <c r="F40" s="21">
        <v>178</v>
      </c>
      <c r="G40" s="23">
        <v>71.02</v>
      </c>
      <c r="H40" s="23">
        <v>70.22</v>
      </c>
    </row>
    <row r="41" spans="1:8" ht="67.5" x14ac:dyDescent="0.25">
      <c r="A41" s="20" t="s">
        <v>10</v>
      </c>
      <c r="B41" s="21">
        <v>11</v>
      </c>
      <c r="C41" s="21">
        <v>4</v>
      </c>
      <c r="D41" s="22"/>
      <c r="E41" s="22"/>
      <c r="F41" s="21">
        <v>15</v>
      </c>
      <c r="G41" s="23">
        <v>73.33</v>
      </c>
      <c r="H41" s="23">
        <v>73.33</v>
      </c>
    </row>
    <row r="42" spans="1:8" ht="67.5" x14ac:dyDescent="0.25">
      <c r="A42" s="20" t="s">
        <v>11</v>
      </c>
      <c r="B42" s="21">
        <v>22</v>
      </c>
      <c r="C42" s="21">
        <v>6</v>
      </c>
      <c r="D42" s="21">
        <v>1</v>
      </c>
      <c r="E42" s="22"/>
      <c r="F42" s="21">
        <v>29</v>
      </c>
      <c r="G42" s="23">
        <v>75.86</v>
      </c>
      <c r="H42" s="23">
        <v>75.86</v>
      </c>
    </row>
    <row r="43" spans="1:8" ht="78.75" x14ac:dyDescent="0.25">
      <c r="A43" s="20" t="s">
        <v>12</v>
      </c>
      <c r="B43" s="21">
        <v>29</v>
      </c>
      <c r="C43" s="21">
        <v>8</v>
      </c>
      <c r="D43" s="22"/>
      <c r="E43" s="21">
        <v>1</v>
      </c>
      <c r="F43" s="21">
        <v>38</v>
      </c>
      <c r="G43" s="23">
        <v>78.38</v>
      </c>
      <c r="H43" s="23">
        <v>76.319999999999993</v>
      </c>
    </row>
    <row r="44" spans="1:8" ht="67.5" x14ac:dyDescent="0.25">
      <c r="A44" s="20" t="s">
        <v>13</v>
      </c>
      <c r="B44" s="21">
        <v>7</v>
      </c>
      <c r="C44" s="21">
        <v>2</v>
      </c>
      <c r="D44" s="22"/>
      <c r="E44" s="22"/>
      <c r="F44" s="21">
        <v>9</v>
      </c>
      <c r="G44" s="23">
        <v>77.78</v>
      </c>
      <c r="H44" s="23">
        <v>77.78</v>
      </c>
    </row>
    <row r="45" spans="1:8" ht="67.5" x14ac:dyDescent="0.25">
      <c r="A45" s="20" t="s">
        <v>14</v>
      </c>
      <c r="B45" s="21">
        <v>76</v>
      </c>
      <c r="C45" s="21">
        <v>8</v>
      </c>
      <c r="D45" s="21">
        <v>1</v>
      </c>
      <c r="E45" s="21">
        <v>2</v>
      </c>
      <c r="F45" s="21">
        <v>87</v>
      </c>
      <c r="G45" s="23">
        <v>89.41</v>
      </c>
      <c r="H45" s="23">
        <v>87.36</v>
      </c>
    </row>
    <row r="46" spans="1:8" ht="67.5" x14ac:dyDescent="0.25">
      <c r="A46" s="20" t="s">
        <v>15</v>
      </c>
      <c r="B46" s="21">
        <v>17</v>
      </c>
      <c r="C46" s="21">
        <v>11</v>
      </c>
      <c r="D46" s="22"/>
      <c r="E46" s="22"/>
      <c r="F46" s="21">
        <v>28</v>
      </c>
      <c r="G46" s="23">
        <v>60.71</v>
      </c>
      <c r="H46" s="23">
        <v>60.71</v>
      </c>
    </row>
    <row r="47" spans="1:8" ht="67.5" x14ac:dyDescent="0.25">
      <c r="A47" s="20" t="s">
        <v>16</v>
      </c>
      <c r="B47" s="21">
        <v>16</v>
      </c>
      <c r="C47" s="21">
        <v>6</v>
      </c>
      <c r="D47" s="22"/>
      <c r="E47" s="22"/>
      <c r="F47" s="21">
        <v>22</v>
      </c>
      <c r="G47" s="23">
        <v>72.73</v>
      </c>
      <c r="H47" s="23">
        <v>72.73</v>
      </c>
    </row>
    <row r="48" spans="1:8" ht="67.5" x14ac:dyDescent="0.25">
      <c r="A48" s="20" t="s">
        <v>17</v>
      </c>
      <c r="B48" s="21">
        <v>73</v>
      </c>
      <c r="C48" s="21">
        <v>12</v>
      </c>
      <c r="D48" s="22"/>
      <c r="E48" s="22"/>
      <c r="F48" s="21">
        <v>85</v>
      </c>
      <c r="G48" s="23">
        <v>85.88</v>
      </c>
      <c r="H48" s="23">
        <v>85.88</v>
      </c>
    </row>
    <row r="49" spans="1:8" ht="67.5" x14ac:dyDescent="0.25">
      <c r="A49" s="20" t="s">
        <v>18</v>
      </c>
      <c r="B49" s="21">
        <v>11</v>
      </c>
      <c r="C49" s="21">
        <v>1</v>
      </c>
      <c r="D49" s="22"/>
      <c r="E49" s="21">
        <v>1</v>
      </c>
      <c r="F49" s="21">
        <v>13</v>
      </c>
      <c r="G49" s="23">
        <v>91.67</v>
      </c>
      <c r="H49" s="23">
        <v>84.62</v>
      </c>
    </row>
    <row r="50" spans="1:8" ht="67.5" x14ac:dyDescent="0.25">
      <c r="A50" s="20" t="s">
        <v>19</v>
      </c>
      <c r="B50" s="21">
        <v>15</v>
      </c>
      <c r="C50" s="21">
        <v>3</v>
      </c>
      <c r="D50" s="21">
        <v>3</v>
      </c>
      <c r="E50" s="21">
        <v>1</v>
      </c>
      <c r="F50" s="21">
        <v>22</v>
      </c>
      <c r="G50" s="23">
        <v>71.430000000000007</v>
      </c>
      <c r="H50" s="23">
        <v>68.180000000000007</v>
      </c>
    </row>
    <row r="51" spans="1:8" ht="67.5" x14ac:dyDescent="0.25">
      <c r="A51" s="20" t="s">
        <v>20</v>
      </c>
      <c r="B51" s="21">
        <v>78</v>
      </c>
      <c r="C51" s="21">
        <v>18</v>
      </c>
      <c r="D51" s="22"/>
      <c r="E51" s="21">
        <v>2</v>
      </c>
      <c r="F51" s="21">
        <v>98</v>
      </c>
      <c r="G51" s="23">
        <v>81.25</v>
      </c>
      <c r="H51" s="23">
        <v>79.59</v>
      </c>
    </row>
    <row r="52" spans="1:8" ht="67.5" x14ac:dyDescent="0.25">
      <c r="A52" s="20" t="s">
        <v>21</v>
      </c>
      <c r="B52" s="21">
        <v>111</v>
      </c>
      <c r="C52" s="21">
        <v>35</v>
      </c>
      <c r="D52" s="21">
        <v>3</v>
      </c>
      <c r="E52" s="21">
        <v>1</v>
      </c>
      <c r="F52" s="21">
        <v>150</v>
      </c>
      <c r="G52" s="23">
        <v>74.5</v>
      </c>
      <c r="H52" s="23">
        <v>74</v>
      </c>
    </row>
    <row r="53" spans="1:8" ht="67.5" x14ac:dyDescent="0.25">
      <c r="A53" s="20" t="s">
        <v>22</v>
      </c>
      <c r="B53" s="21">
        <v>24</v>
      </c>
      <c r="C53" s="21">
        <v>19</v>
      </c>
      <c r="D53" s="22"/>
      <c r="E53" s="22"/>
      <c r="F53" s="21">
        <v>43</v>
      </c>
      <c r="G53" s="23">
        <v>55.81</v>
      </c>
      <c r="H53" s="23">
        <v>55.81</v>
      </c>
    </row>
    <row r="54" spans="1:8" ht="67.5" x14ac:dyDescent="0.25">
      <c r="A54" s="20" t="s">
        <v>23</v>
      </c>
      <c r="B54" s="21">
        <v>1</v>
      </c>
      <c r="C54" s="21">
        <v>4</v>
      </c>
      <c r="D54" s="22"/>
      <c r="E54" s="22"/>
      <c r="F54" s="21">
        <v>5</v>
      </c>
      <c r="G54" s="23">
        <v>20</v>
      </c>
      <c r="H54" s="23">
        <v>20</v>
      </c>
    </row>
    <row r="55" spans="1:8" ht="67.5" x14ac:dyDescent="0.25">
      <c r="A55" s="20" t="s">
        <v>24</v>
      </c>
      <c r="B55" s="21">
        <v>71</v>
      </c>
      <c r="C55" s="21">
        <v>31</v>
      </c>
      <c r="D55" s="21">
        <v>1</v>
      </c>
      <c r="E55" s="21">
        <v>1</v>
      </c>
      <c r="F55" s="21">
        <v>104</v>
      </c>
      <c r="G55" s="23">
        <v>68.930000000000007</v>
      </c>
      <c r="H55" s="23">
        <v>68.27</v>
      </c>
    </row>
    <row r="56" spans="1:8" ht="67.5" x14ac:dyDescent="0.25">
      <c r="A56" s="20" t="s">
        <v>25</v>
      </c>
      <c r="B56" s="21">
        <v>22</v>
      </c>
      <c r="C56" s="21">
        <v>3</v>
      </c>
      <c r="D56" s="22"/>
      <c r="E56" s="22"/>
      <c r="F56" s="21">
        <v>25</v>
      </c>
      <c r="G56" s="23">
        <v>88</v>
      </c>
      <c r="H56" s="23">
        <v>88</v>
      </c>
    </row>
    <row r="57" spans="1:8" ht="67.5" x14ac:dyDescent="0.25">
      <c r="A57" s="20" t="s">
        <v>26</v>
      </c>
      <c r="B57" s="21">
        <v>169</v>
      </c>
      <c r="C57" s="21">
        <v>53</v>
      </c>
      <c r="D57" s="21">
        <v>3</v>
      </c>
      <c r="E57" s="21">
        <v>1</v>
      </c>
      <c r="F57" s="21">
        <v>226</v>
      </c>
      <c r="G57" s="23">
        <v>75.11</v>
      </c>
      <c r="H57" s="23">
        <v>74.78</v>
      </c>
    </row>
    <row r="58" spans="1:8" ht="67.5" x14ac:dyDescent="0.25">
      <c r="A58" s="20" t="s">
        <v>132</v>
      </c>
      <c r="B58" s="21">
        <v>4</v>
      </c>
      <c r="C58" s="21">
        <v>6</v>
      </c>
      <c r="D58" s="22"/>
      <c r="E58" s="22"/>
      <c r="F58" s="21">
        <v>10</v>
      </c>
      <c r="G58" s="23">
        <v>40</v>
      </c>
      <c r="H58" s="23">
        <v>40</v>
      </c>
    </row>
    <row r="59" spans="1:8" ht="67.5" x14ac:dyDescent="0.25">
      <c r="A59" s="20" t="s">
        <v>27</v>
      </c>
      <c r="B59" s="21">
        <v>189</v>
      </c>
      <c r="C59" s="21">
        <v>53</v>
      </c>
      <c r="D59" s="21">
        <v>2</v>
      </c>
      <c r="E59" s="21">
        <v>1</v>
      </c>
      <c r="F59" s="21">
        <v>245</v>
      </c>
      <c r="G59" s="23">
        <v>77.459999999999994</v>
      </c>
      <c r="H59" s="23">
        <v>77.14</v>
      </c>
    </row>
    <row r="60" spans="1:8" ht="67.5" x14ac:dyDescent="0.25">
      <c r="A60" s="20" t="s">
        <v>28</v>
      </c>
      <c r="B60" s="21">
        <v>128</v>
      </c>
      <c r="C60" s="21">
        <v>46</v>
      </c>
      <c r="D60" s="21">
        <v>2</v>
      </c>
      <c r="E60" s="21">
        <v>2</v>
      </c>
      <c r="F60" s="21">
        <v>178</v>
      </c>
      <c r="G60" s="23">
        <v>72.73</v>
      </c>
      <c r="H60" s="23">
        <v>71.91</v>
      </c>
    </row>
    <row r="61" spans="1:8" ht="67.5" x14ac:dyDescent="0.25">
      <c r="A61" s="20" t="s">
        <v>29</v>
      </c>
      <c r="B61" s="21">
        <v>146</v>
      </c>
      <c r="C61" s="21">
        <v>26</v>
      </c>
      <c r="D61" s="21">
        <v>1</v>
      </c>
      <c r="E61" s="21">
        <v>3</v>
      </c>
      <c r="F61" s="21">
        <v>176</v>
      </c>
      <c r="G61" s="23">
        <v>84.39</v>
      </c>
      <c r="H61" s="23">
        <v>82.95</v>
      </c>
    </row>
    <row r="62" spans="1:8" ht="67.5" x14ac:dyDescent="0.25">
      <c r="A62" s="20" t="s">
        <v>121</v>
      </c>
      <c r="B62" s="21">
        <v>7</v>
      </c>
      <c r="C62" s="22"/>
      <c r="D62" s="22"/>
      <c r="E62" s="22"/>
      <c r="F62" s="21">
        <v>7</v>
      </c>
      <c r="G62" s="23">
        <v>100</v>
      </c>
      <c r="H62" s="23">
        <v>100</v>
      </c>
    </row>
    <row r="63" spans="1:8" ht="90" x14ac:dyDescent="0.25">
      <c r="A63" s="20" t="s">
        <v>185</v>
      </c>
      <c r="B63" s="21">
        <v>38</v>
      </c>
      <c r="C63" s="21">
        <v>7</v>
      </c>
      <c r="D63" s="22"/>
      <c r="E63" s="21">
        <v>1</v>
      </c>
      <c r="F63" s="21">
        <v>46</v>
      </c>
      <c r="G63" s="23">
        <v>84.44</v>
      </c>
      <c r="H63" s="23">
        <v>82.61</v>
      </c>
    </row>
    <row r="64" spans="1:8" ht="67.5" x14ac:dyDescent="0.25">
      <c r="A64" s="20" t="s">
        <v>30</v>
      </c>
      <c r="B64" s="21">
        <v>12</v>
      </c>
      <c r="C64" s="21">
        <v>9</v>
      </c>
      <c r="D64" s="21">
        <v>2</v>
      </c>
      <c r="E64" s="22"/>
      <c r="F64" s="21">
        <v>23</v>
      </c>
      <c r="G64" s="23">
        <v>52.17</v>
      </c>
      <c r="H64" s="23">
        <v>52.17</v>
      </c>
    </row>
    <row r="65" spans="1:8" ht="78.75" x14ac:dyDescent="0.25">
      <c r="A65" s="20" t="s">
        <v>31</v>
      </c>
      <c r="B65" s="21">
        <v>10</v>
      </c>
      <c r="C65" s="21">
        <v>3</v>
      </c>
      <c r="D65" s="22"/>
      <c r="E65" s="22"/>
      <c r="F65" s="21">
        <v>13</v>
      </c>
      <c r="G65" s="23">
        <v>76.92</v>
      </c>
      <c r="H65" s="23">
        <v>76.92</v>
      </c>
    </row>
    <row r="66" spans="1:8" ht="67.5" x14ac:dyDescent="0.25">
      <c r="A66" s="20" t="s">
        <v>32</v>
      </c>
      <c r="B66" s="21">
        <v>4</v>
      </c>
      <c r="C66" s="21">
        <v>2</v>
      </c>
      <c r="D66" s="21">
        <v>1</v>
      </c>
      <c r="E66" s="22"/>
      <c r="F66" s="21">
        <v>7</v>
      </c>
      <c r="G66" s="23">
        <v>57.14</v>
      </c>
      <c r="H66" s="23">
        <v>57.14</v>
      </c>
    </row>
    <row r="67" spans="1:8" ht="67.5" x14ac:dyDescent="0.25">
      <c r="A67" s="20" t="s">
        <v>33</v>
      </c>
      <c r="B67" s="21">
        <v>12</v>
      </c>
      <c r="C67" s="21">
        <v>3</v>
      </c>
      <c r="D67" s="22"/>
      <c r="E67" s="22"/>
      <c r="F67" s="21">
        <v>15</v>
      </c>
      <c r="G67" s="23">
        <v>80</v>
      </c>
      <c r="H67" s="23">
        <v>80</v>
      </c>
    </row>
    <row r="68" spans="1:8" ht="78.75" x14ac:dyDescent="0.25">
      <c r="A68" s="20" t="s">
        <v>34</v>
      </c>
      <c r="B68" s="21">
        <v>41</v>
      </c>
      <c r="C68" s="21">
        <v>9</v>
      </c>
      <c r="D68" s="21">
        <v>1</v>
      </c>
      <c r="E68" s="22"/>
      <c r="F68" s="21">
        <v>51</v>
      </c>
      <c r="G68" s="23">
        <v>80.39</v>
      </c>
      <c r="H68" s="23">
        <v>80.39</v>
      </c>
    </row>
    <row r="69" spans="1:8" ht="78.75" x14ac:dyDescent="0.25">
      <c r="A69" s="20" t="s">
        <v>35</v>
      </c>
      <c r="B69" s="21">
        <v>54</v>
      </c>
      <c r="C69" s="21">
        <v>24</v>
      </c>
      <c r="D69" s="22"/>
      <c r="E69" s="22"/>
      <c r="F69" s="21">
        <v>78</v>
      </c>
      <c r="G69" s="23">
        <v>69.23</v>
      </c>
      <c r="H69" s="23">
        <v>69.23</v>
      </c>
    </row>
    <row r="70" spans="1:8" ht="78.75" x14ac:dyDescent="0.25">
      <c r="A70" s="20" t="s">
        <v>36</v>
      </c>
      <c r="B70" s="21">
        <v>2</v>
      </c>
      <c r="C70" s="22"/>
      <c r="D70" s="22"/>
      <c r="E70" s="22"/>
      <c r="F70" s="21">
        <v>2</v>
      </c>
      <c r="G70" s="23">
        <v>100</v>
      </c>
      <c r="H70" s="23">
        <v>100</v>
      </c>
    </row>
    <row r="71" spans="1:8" ht="78.75" x14ac:dyDescent="0.25">
      <c r="A71" s="20" t="s">
        <v>37</v>
      </c>
      <c r="B71" s="21">
        <v>29</v>
      </c>
      <c r="C71" s="21">
        <v>6</v>
      </c>
      <c r="D71" s="21">
        <v>2</v>
      </c>
      <c r="E71" s="22"/>
      <c r="F71" s="21">
        <v>37</v>
      </c>
      <c r="G71" s="23">
        <v>78.38</v>
      </c>
      <c r="H71" s="23">
        <v>78.38</v>
      </c>
    </row>
    <row r="72" spans="1:8" ht="78.75" x14ac:dyDescent="0.25">
      <c r="A72" s="20" t="s">
        <v>38</v>
      </c>
      <c r="B72" s="21">
        <v>22</v>
      </c>
      <c r="C72" s="21">
        <v>4</v>
      </c>
      <c r="D72" s="21">
        <v>1</v>
      </c>
      <c r="E72" s="22"/>
      <c r="F72" s="21">
        <v>27</v>
      </c>
      <c r="G72" s="23">
        <v>81.48</v>
      </c>
      <c r="H72" s="23">
        <v>81.48</v>
      </c>
    </row>
    <row r="73" spans="1:8" ht="78.75" x14ac:dyDescent="0.25">
      <c r="A73" s="20" t="s">
        <v>39</v>
      </c>
      <c r="B73" s="21">
        <v>4</v>
      </c>
      <c r="C73" s="21">
        <v>3</v>
      </c>
      <c r="D73" s="22"/>
      <c r="E73" s="22"/>
      <c r="F73" s="21">
        <v>7</v>
      </c>
      <c r="G73" s="23">
        <v>57.14</v>
      </c>
      <c r="H73" s="23">
        <v>57.14</v>
      </c>
    </row>
    <row r="74" spans="1:8" ht="78.75" x14ac:dyDescent="0.25">
      <c r="A74" s="20" t="s">
        <v>40</v>
      </c>
      <c r="B74" s="21">
        <v>22</v>
      </c>
      <c r="C74" s="21">
        <v>10</v>
      </c>
      <c r="D74" s="22"/>
      <c r="E74" s="22"/>
      <c r="F74" s="21">
        <v>32</v>
      </c>
      <c r="G74" s="23">
        <v>68.75</v>
      </c>
      <c r="H74" s="23">
        <v>68.75</v>
      </c>
    </row>
    <row r="75" spans="1:8" ht="90" x14ac:dyDescent="0.25">
      <c r="A75" s="20" t="s">
        <v>41</v>
      </c>
      <c r="B75" s="21">
        <v>1</v>
      </c>
      <c r="C75" s="22"/>
      <c r="D75" s="22"/>
      <c r="E75" s="22"/>
      <c r="F75" s="21">
        <v>1</v>
      </c>
      <c r="G75" s="23">
        <v>100</v>
      </c>
      <c r="H75" s="23">
        <v>100</v>
      </c>
    </row>
    <row r="76" spans="1:8" ht="67.5" x14ac:dyDescent="0.25">
      <c r="A76" s="20" t="s">
        <v>42</v>
      </c>
      <c r="B76" s="21">
        <v>3</v>
      </c>
      <c r="C76" s="21">
        <v>3</v>
      </c>
      <c r="D76" s="21">
        <v>1</v>
      </c>
      <c r="E76" s="21">
        <v>1</v>
      </c>
      <c r="F76" s="21">
        <v>8</v>
      </c>
      <c r="G76" s="23">
        <v>42.86</v>
      </c>
      <c r="H76" s="23">
        <v>37.5</v>
      </c>
    </row>
    <row r="77" spans="1:8" ht="67.5" x14ac:dyDescent="0.25">
      <c r="A77" s="20" t="s">
        <v>43</v>
      </c>
      <c r="B77" s="21">
        <v>10</v>
      </c>
      <c r="C77" s="21">
        <v>5</v>
      </c>
      <c r="D77" s="22"/>
      <c r="E77" s="21">
        <v>1</v>
      </c>
      <c r="F77" s="21">
        <v>16</v>
      </c>
      <c r="G77" s="23">
        <v>66.67</v>
      </c>
      <c r="H77" s="23">
        <v>62.5</v>
      </c>
    </row>
    <row r="78" spans="1:8" ht="67.5" x14ac:dyDescent="0.25">
      <c r="A78" s="20" t="s">
        <v>44</v>
      </c>
      <c r="B78" s="21">
        <v>7</v>
      </c>
      <c r="C78" s="21">
        <v>8</v>
      </c>
      <c r="D78" s="22"/>
      <c r="E78" s="22"/>
      <c r="F78" s="21">
        <v>15</v>
      </c>
      <c r="G78" s="23">
        <v>46.67</v>
      </c>
      <c r="H78" s="23">
        <v>46.67</v>
      </c>
    </row>
    <row r="79" spans="1:8" ht="67.5" x14ac:dyDescent="0.25">
      <c r="A79" s="20" t="s">
        <v>45</v>
      </c>
      <c r="B79" s="21">
        <v>9</v>
      </c>
      <c r="C79" s="22"/>
      <c r="D79" s="22"/>
      <c r="E79" s="22"/>
      <c r="F79" s="21">
        <v>9</v>
      </c>
      <c r="G79" s="23">
        <v>100</v>
      </c>
      <c r="H79" s="23">
        <v>100</v>
      </c>
    </row>
    <row r="80" spans="1:8" ht="78.75" x14ac:dyDescent="0.25">
      <c r="A80" s="20" t="s">
        <v>204</v>
      </c>
      <c r="B80" s="21">
        <v>2</v>
      </c>
      <c r="C80" s="22"/>
      <c r="D80" s="22"/>
      <c r="E80" s="21">
        <v>1</v>
      </c>
      <c r="F80" s="21">
        <v>3</v>
      </c>
      <c r="G80" s="23">
        <v>100</v>
      </c>
      <c r="H80" s="23">
        <v>66.67</v>
      </c>
    </row>
    <row r="81" spans="1:8" ht="78.75" x14ac:dyDescent="0.25">
      <c r="A81" s="20" t="s">
        <v>205</v>
      </c>
      <c r="B81" s="21">
        <v>1</v>
      </c>
      <c r="C81" s="22"/>
      <c r="D81" s="22"/>
      <c r="E81" s="22"/>
      <c r="F81" s="21">
        <v>1</v>
      </c>
      <c r="G81" s="23">
        <v>100</v>
      </c>
      <c r="H81" s="23">
        <v>100</v>
      </c>
    </row>
    <row r="82" spans="1:8" ht="90" x14ac:dyDescent="0.25">
      <c r="A82" s="20" t="s">
        <v>206</v>
      </c>
      <c r="B82" s="21">
        <v>0</v>
      </c>
      <c r="C82" s="22"/>
      <c r="D82" s="22"/>
      <c r="E82" s="21">
        <v>1</v>
      </c>
      <c r="F82" s="21">
        <v>1</v>
      </c>
      <c r="G82" s="22"/>
      <c r="H82" s="23">
        <v>0</v>
      </c>
    </row>
    <row r="83" spans="1:8" ht="78.75" x14ac:dyDescent="0.25">
      <c r="A83" s="20" t="s">
        <v>133</v>
      </c>
      <c r="B83" s="21">
        <v>2</v>
      </c>
      <c r="C83" s="21">
        <v>8</v>
      </c>
      <c r="D83" s="22"/>
      <c r="E83" s="22"/>
      <c r="F83" s="21">
        <v>10</v>
      </c>
      <c r="G83" s="23">
        <v>20</v>
      </c>
      <c r="H83" s="23">
        <v>20</v>
      </c>
    </row>
    <row r="84" spans="1:8" ht="78.75" x14ac:dyDescent="0.25">
      <c r="A84" s="20" t="s">
        <v>46</v>
      </c>
      <c r="B84" s="21">
        <v>1</v>
      </c>
      <c r="C84" s="21">
        <v>1</v>
      </c>
      <c r="D84" s="22"/>
      <c r="E84" s="22"/>
      <c r="F84" s="21">
        <v>2</v>
      </c>
      <c r="G84" s="23">
        <v>50</v>
      </c>
      <c r="H84" s="23">
        <v>50</v>
      </c>
    </row>
    <row r="85" spans="1:8" ht="78.75" x14ac:dyDescent="0.25">
      <c r="A85" s="20" t="s">
        <v>47</v>
      </c>
      <c r="B85" s="21">
        <v>94</v>
      </c>
      <c r="C85" s="21">
        <v>59</v>
      </c>
      <c r="D85" s="21">
        <v>2</v>
      </c>
      <c r="E85" s="22"/>
      <c r="F85" s="21">
        <v>155</v>
      </c>
      <c r="G85" s="23">
        <v>60.65</v>
      </c>
      <c r="H85" s="23">
        <v>60.65</v>
      </c>
    </row>
    <row r="86" spans="1:8" ht="78.75" x14ac:dyDescent="0.25">
      <c r="A86" s="20" t="s">
        <v>48</v>
      </c>
      <c r="B86" s="21">
        <v>8</v>
      </c>
      <c r="C86" s="21">
        <v>3</v>
      </c>
      <c r="D86" s="22"/>
      <c r="E86" s="22"/>
      <c r="F86" s="21">
        <v>11</v>
      </c>
      <c r="G86" s="23">
        <v>72.73</v>
      </c>
      <c r="H86" s="23">
        <v>72.73</v>
      </c>
    </row>
    <row r="87" spans="1:8" ht="78.75" x14ac:dyDescent="0.25">
      <c r="A87" s="20" t="s">
        <v>49</v>
      </c>
      <c r="B87" s="21">
        <v>29</v>
      </c>
      <c r="C87" s="21">
        <v>5</v>
      </c>
      <c r="D87" s="22"/>
      <c r="E87" s="22"/>
      <c r="F87" s="21">
        <v>34</v>
      </c>
      <c r="G87" s="23">
        <v>85.29</v>
      </c>
      <c r="H87" s="23">
        <v>85.29</v>
      </c>
    </row>
    <row r="88" spans="1:8" ht="67.5" x14ac:dyDescent="0.25">
      <c r="A88" s="20" t="s">
        <v>50</v>
      </c>
      <c r="B88" s="21">
        <v>1</v>
      </c>
      <c r="C88" s="22"/>
      <c r="D88" s="22"/>
      <c r="E88" s="22"/>
      <c r="F88" s="21">
        <v>1</v>
      </c>
      <c r="G88" s="23">
        <v>100</v>
      </c>
      <c r="H88" s="23">
        <v>100</v>
      </c>
    </row>
    <row r="89" spans="1:8" ht="67.5" x14ac:dyDescent="0.25">
      <c r="A89" s="20" t="s">
        <v>51</v>
      </c>
      <c r="B89" s="21">
        <v>8</v>
      </c>
      <c r="C89" s="21">
        <v>7</v>
      </c>
      <c r="D89" s="21">
        <v>1</v>
      </c>
      <c r="E89" s="22"/>
      <c r="F89" s="21">
        <v>16</v>
      </c>
      <c r="G89" s="23">
        <v>50</v>
      </c>
      <c r="H89" s="23">
        <v>50</v>
      </c>
    </row>
    <row r="90" spans="1:8" ht="67.5" x14ac:dyDescent="0.25">
      <c r="A90" s="20" t="s">
        <v>52</v>
      </c>
      <c r="B90" s="21">
        <v>6</v>
      </c>
      <c r="C90" s="21">
        <v>3</v>
      </c>
      <c r="D90" s="22"/>
      <c r="E90" s="22"/>
      <c r="F90" s="21">
        <v>9</v>
      </c>
      <c r="G90" s="23">
        <v>66.67</v>
      </c>
      <c r="H90" s="23">
        <v>66.67</v>
      </c>
    </row>
    <row r="91" spans="1:8" ht="67.5" x14ac:dyDescent="0.25">
      <c r="A91" s="20" t="s">
        <v>53</v>
      </c>
      <c r="B91" s="21">
        <v>29</v>
      </c>
      <c r="C91" s="21">
        <v>8</v>
      </c>
      <c r="D91" s="22"/>
      <c r="E91" s="21">
        <v>1</v>
      </c>
      <c r="F91" s="21">
        <v>38</v>
      </c>
      <c r="G91" s="23">
        <v>78.38</v>
      </c>
      <c r="H91" s="23">
        <v>76.319999999999993</v>
      </c>
    </row>
    <row r="92" spans="1:8" ht="67.5" x14ac:dyDescent="0.25">
      <c r="A92" s="20" t="s">
        <v>54</v>
      </c>
      <c r="B92" s="21">
        <v>5</v>
      </c>
      <c r="C92" s="21">
        <v>5</v>
      </c>
      <c r="D92" s="22"/>
      <c r="E92" s="22"/>
      <c r="F92" s="21">
        <v>10</v>
      </c>
      <c r="G92" s="23">
        <v>50</v>
      </c>
      <c r="H92" s="23">
        <v>50</v>
      </c>
    </row>
    <row r="93" spans="1:8" ht="67.5" x14ac:dyDescent="0.25">
      <c r="A93" s="20" t="s">
        <v>55</v>
      </c>
      <c r="B93" s="21">
        <v>95</v>
      </c>
      <c r="C93" s="21">
        <v>28</v>
      </c>
      <c r="D93" s="22"/>
      <c r="E93" s="21">
        <v>1</v>
      </c>
      <c r="F93" s="21">
        <v>124</v>
      </c>
      <c r="G93" s="23">
        <v>77.239999999999995</v>
      </c>
      <c r="H93" s="23">
        <v>76.61</v>
      </c>
    </row>
    <row r="94" spans="1:8" ht="78.75" x14ac:dyDescent="0.25">
      <c r="A94" s="20" t="s">
        <v>122</v>
      </c>
      <c r="B94" s="21">
        <v>19</v>
      </c>
      <c r="C94" s="21">
        <v>15</v>
      </c>
      <c r="D94" s="22"/>
      <c r="E94" s="22"/>
      <c r="F94" s="21">
        <v>34</v>
      </c>
      <c r="G94" s="23">
        <v>55.88</v>
      </c>
      <c r="H94" s="23">
        <v>55.88</v>
      </c>
    </row>
    <row r="95" spans="1:8" ht="78.75" x14ac:dyDescent="0.25">
      <c r="A95" s="20" t="s">
        <v>123</v>
      </c>
      <c r="B95" s="21">
        <v>13</v>
      </c>
      <c r="C95" s="21">
        <v>7</v>
      </c>
      <c r="D95" s="22"/>
      <c r="E95" s="21">
        <v>1</v>
      </c>
      <c r="F95" s="21">
        <v>21</v>
      </c>
      <c r="G95" s="23">
        <v>65</v>
      </c>
      <c r="H95" s="23">
        <v>61.9</v>
      </c>
    </row>
    <row r="96" spans="1:8" ht="67.5" x14ac:dyDescent="0.25">
      <c r="A96" s="20" t="s">
        <v>56</v>
      </c>
      <c r="B96" s="21">
        <v>115</v>
      </c>
      <c r="C96" s="21">
        <v>19</v>
      </c>
      <c r="D96" s="21">
        <v>1</v>
      </c>
      <c r="E96" s="21">
        <v>1</v>
      </c>
      <c r="F96" s="21">
        <v>136</v>
      </c>
      <c r="G96" s="23">
        <v>85.19</v>
      </c>
      <c r="H96" s="23">
        <v>84.56</v>
      </c>
    </row>
    <row r="97" spans="1:8" ht="90" x14ac:dyDescent="0.25">
      <c r="A97" s="20" t="s">
        <v>57</v>
      </c>
      <c r="B97" s="21">
        <v>98</v>
      </c>
      <c r="C97" s="21">
        <v>40</v>
      </c>
      <c r="D97" s="21">
        <v>3</v>
      </c>
      <c r="E97" s="21">
        <v>3</v>
      </c>
      <c r="F97" s="21">
        <v>144</v>
      </c>
      <c r="G97" s="23">
        <v>69.5</v>
      </c>
      <c r="H97" s="23">
        <v>68.06</v>
      </c>
    </row>
    <row r="98" spans="1:8" ht="90" x14ac:dyDescent="0.25">
      <c r="A98" s="20" t="s">
        <v>58</v>
      </c>
      <c r="B98" s="21">
        <v>6</v>
      </c>
      <c r="C98" s="21">
        <v>2</v>
      </c>
      <c r="D98" s="22"/>
      <c r="E98" s="22"/>
      <c r="F98" s="21">
        <v>8</v>
      </c>
      <c r="G98" s="23">
        <v>75</v>
      </c>
      <c r="H98" s="23">
        <v>75</v>
      </c>
    </row>
    <row r="99" spans="1:8" ht="90" x14ac:dyDescent="0.25">
      <c r="A99" s="20" t="s">
        <v>59</v>
      </c>
      <c r="B99" s="21">
        <v>45</v>
      </c>
      <c r="C99" s="21">
        <v>9</v>
      </c>
      <c r="D99" s="21">
        <v>1</v>
      </c>
      <c r="E99" s="21">
        <v>1</v>
      </c>
      <c r="F99" s="21">
        <v>56</v>
      </c>
      <c r="G99" s="23">
        <v>81.819999999999993</v>
      </c>
      <c r="H99" s="23">
        <v>80.36</v>
      </c>
    </row>
    <row r="100" spans="1:8" ht="90" x14ac:dyDescent="0.25">
      <c r="A100" s="20" t="s">
        <v>60</v>
      </c>
      <c r="B100" s="21">
        <v>17</v>
      </c>
      <c r="C100" s="21">
        <v>1</v>
      </c>
      <c r="D100" s="22"/>
      <c r="E100" s="22"/>
      <c r="F100" s="21">
        <v>18</v>
      </c>
      <c r="G100" s="23">
        <v>94.44</v>
      </c>
      <c r="H100" s="23">
        <v>94.44</v>
      </c>
    </row>
    <row r="101" spans="1:8" ht="78.75" x14ac:dyDescent="0.25">
      <c r="A101" s="20" t="s">
        <v>61</v>
      </c>
      <c r="B101" s="21">
        <v>44</v>
      </c>
      <c r="C101" s="21">
        <v>15</v>
      </c>
      <c r="D101" s="22"/>
      <c r="E101" s="21">
        <v>1</v>
      </c>
      <c r="F101" s="21">
        <v>60</v>
      </c>
      <c r="G101" s="23">
        <v>74.58</v>
      </c>
      <c r="H101" s="23">
        <v>73.33</v>
      </c>
    </row>
    <row r="102" spans="1:8" ht="90" x14ac:dyDescent="0.25">
      <c r="A102" s="20" t="s">
        <v>62</v>
      </c>
      <c r="B102" s="21">
        <v>52</v>
      </c>
      <c r="C102" s="21">
        <v>24</v>
      </c>
      <c r="D102" s="21">
        <v>1</v>
      </c>
      <c r="E102" s="22"/>
      <c r="F102" s="21">
        <v>77</v>
      </c>
      <c r="G102" s="23">
        <v>67.53</v>
      </c>
      <c r="H102" s="23">
        <v>67.53</v>
      </c>
    </row>
    <row r="103" spans="1:8" ht="78.75" x14ac:dyDescent="0.25">
      <c r="A103" s="20" t="s">
        <v>63</v>
      </c>
      <c r="B103" s="21">
        <v>39</v>
      </c>
      <c r="C103" s="21">
        <v>11</v>
      </c>
      <c r="D103" s="21">
        <v>2</v>
      </c>
      <c r="E103" s="21">
        <v>1</v>
      </c>
      <c r="F103" s="21">
        <v>53</v>
      </c>
      <c r="G103" s="23">
        <v>75</v>
      </c>
      <c r="H103" s="23">
        <v>73.58</v>
      </c>
    </row>
    <row r="104" spans="1:8" ht="90" x14ac:dyDescent="0.25">
      <c r="A104" s="20" t="s">
        <v>64</v>
      </c>
      <c r="B104" s="21">
        <v>48</v>
      </c>
      <c r="C104" s="21">
        <v>16</v>
      </c>
      <c r="D104" s="21">
        <v>1</v>
      </c>
      <c r="E104" s="22"/>
      <c r="F104" s="21">
        <v>65</v>
      </c>
      <c r="G104" s="23">
        <v>73.849999999999994</v>
      </c>
      <c r="H104" s="23">
        <v>73.849999999999994</v>
      </c>
    </row>
    <row r="105" spans="1:8" ht="78.75" x14ac:dyDescent="0.25">
      <c r="A105" s="20" t="s">
        <v>65</v>
      </c>
      <c r="B105" s="21">
        <v>47</v>
      </c>
      <c r="C105" s="21">
        <v>13</v>
      </c>
      <c r="D105" s="22"/>
      <c r="E105" s="22"/>
      <c r="F105" s="21">
        <v>60</v>
      </c>
      <c r="G105" s="23">
        <v>78.33</v>
      </c>
      <c r="H105" s="23">
        <v>78.33</v>
      </c>
    </row>
    <row r="106" spans="1:8" ht="90" x14ac:dyDescent="0.25">
      <c r="A106" s="20" t="s">
        <v>66</v>
      </c>
      <c r="B106" s="21">
        <v>122</v>
      </c>
      <c r="C106" s="21">
        <v>31</v>
      </c>
      <c r="D106" s="21">
        <v>2</v>
      </c>
      <c r="E106" s="21">
        <v>4</v>
      </c>
      <c r="F106" s="21">
        <v>159</v>
      </c>
      <c r="G106" s="23">
        <v>78.709999999999994</v>
      </c>
      <c r="H106" s="23">
        <v>76.73</v>
      </c>
    </row>
    <row r="107" spans="1:8" ht="90" x14ac:dyDescent="0.25">
      <c r="A107" s="20" t="s">
        <v>67</v>
      </c>
      <c r="B107" s="21">
        <v>18</v>
      </c>
      <c r="C107" s="21">
        <v>9</v>
      </c>
      <c r="D107" s="22"/>
      <c r="E107" s="22"/>
      <c r="F107" s="21">
        <v>27</v>
      </c>
      <c r="G107" s="23">
        <v>66.67</v>
      </c>
      <c r="H107" s="23">
        <v>66.67</v>
      </c>
    </row>
    <row r="108" spans="1:8" ht="78.75" x14ac:dyDescent="0.25">
      <c r="A108" s="20" t="s">
        <v>68</v>
      </c>
      <c r="B108" s="21">
        <v>54</v>
      </c>
      <c r="C108" s="21">
        <v>6</v>
      </c>
      <c r="D108" s="22"/>
      <c r="E108" s="22"/>
      <c r="F108" s="21">
        <v>60</v>
      </c>
      <c r="G108" s="23">
        <v>90</v>
      </c>
      <c r="H108" s="23">
        <v>90</v>
      </c>
    </row>
    <row r="109" spans="1:8" ht="90" x14ac:dyDescent="0.25">
      <c r="A109" s="20" t="s">
        <v>69</v>
      </c>
      <c r="B109" s="21">
        <v>95</v>
      </c>
      <c r="C109" s="21">
        <v>35</v>
      </c>
      <c r="D109" s="21">
        <v>1</v>
      </c>
      <c r="E109" s="21">
        <v>1</v>
      </c>
      <c r="F109" s="21">
        <v>132</v>
      </c>
      <c r="G109" s="23">
        <v>72.52</v>
      </c>
      <c r="H109" s="23">
        <v>71.97</v>
      </c>
    </row>
    <row r="110" spans="1:8" ht="90" x14ac:dyDescent="0.25">
      <c r="A110" s="20" t="s">
        <v>70</v>
      </c>
      <c r="B110" s="21">
        <v>87</v>
      </c>
      <c r="C110" s="21">
        <v>29</v>
      </c>
      <c r="D110" s="21">
        <v>2</v>
      </c>
      <c r="E110" s="21">
        <v>1</v>
      </c>
      <c r="F110" s="21">
        <v>119</v>
      </c>
      <c r="G110" s="23">
        <v>73.73</v>
      </c>
      <c r="H110" s="23">
        <v>73.11</v>
      </c>
    </row>
    <row r="111" spans="1:8" ht="78.75" x14ac:dyDescent="0.25">
      <c r="A111" s="20" t="s">
        <v>71</v>
      </c>
      <c r="B111" s="21">
        <v>49</v>
      </c>
      <c r="C111" s="21">
        <v>19</v>
      </c>
      <c r="D111" s="22"/>
      <c r="E111" s="22"/>
      <c r="F111" s="21">
        <v>68</v>
      </c>
      <c r="G111" s="23">
        <v>72.06</v>
      </c>
      <c r="H111" s="23">
        <v>72.06</v>
      </c>
    </row>
    <row r="112" spans="1:8" ht="90" x14ac:dyDescent="0.25">
      <c r="A112" s="20" t="s">
        <v>72</v>
      </c>
      <c r="B112" s="21">
        <v>76</v>
      </c>
      <c r="C112" s="21">
        <v>28</v>
      </c>
      <c r="D112" s="22"/>
      <c r="E112" s="21">
        <v>2</v>
      </c>
      <c r="F112" s="21">
        <v>106</v>
      </c>
      <c r="G112" s="23">
        <v>73.08</v>
      </c>
      <c r="H112" s="23">
        <v>71.7</v>
      </c>
    </row>
    <row r="113" spans="1:8" ht="78.75" x14ac:dyDescent="0.25">
      <c r="A113" s="20" t="s">
        <v>73</v>
      </c>
      <c r="B113" s="21">
        <v>34</v>
      </c>
      <c r="C113" s="21">
        <v>14</v>
      </c>
      <c r="D113" s="22"/>
      <c r="E113" s="21">
        <v>1</v>
      </c>
      <c r="F113" s="21">
        <v>49</v>
      </c>
      <c r="G113" s="23">
        <v>70.83</v>
      </c>
      <c r="H113" s="23">
        <v>69.39</v>
      </c>
    </row>
    <row r="114" spans="1:8" ht="90" x14ac:dyDescent="0.25">
      <c r="A114" s="20" t="s">
        <v>74</v>
      </c>
      <c r="B114" s="21">
        <v>39</v>
      </c>
      <c r="C114" s="21">
        <v>2</v>
      </c>
      <c r="D114" s="22"/>
      <c r="E114" s="21">
        <v>1</v>
      </c>
      <c r="F114" s="21">
        <v>42</v>
      </c>
      <c r="G114" s="23">
        <v>95.12</v>
      </c>
      <c r="H114" s="23">
        <v>92.86</v>
      </c>
    </row>
    <row r="115" spans="1:8" ht="112.5" x14ac:dyDescent="0.25">
      <c r="A115" s="20" t="s">
        <v>75</v>
      </c>
      <c r="B115" s="21">
        <v>24</v>
      </c>
      <c r="C115" s="21">
        <v>18</v>
      </c>
      <c r="D115" s="22"/>
      <c r="E115" s="21">
        <v>4</v>
      </c>
      <c r="F115" s="21">
        <v>46</v>
      </c>
      <c r="G115" s="23">
        <v>57.14</v>
      </c>
      <c r="H115" s="23">
        <v>52.17</v>
      </c>
    </row>
    <row r="116" spans="1:8" ht="112.5" x14ac:dyDescent="0.25">
      <c r="A116" s="20" t="s">
        <v>76</v>
      </c>
      <c r="B116" s="21">
        <v>2</v>
      </c>
      <c r="C116" s="22"/>
      <c r="D116" s="22"/>
      <c r="E116" s="22"/>
      <c r="F116" s="21">
        <v>2</v>
      </c>
      <c r="G116" s="23">
        <v>100</v>
      </c>
      <c r="H116" s="23">
        <v>100</v>
      </c>
    </row>
    <row r="117" spans="1:8" ht="78.75" x14ac:dyDescent="0.25">
      <c r="A117" s="20" t="s">
        <v>77</v>
      </c>
      <c r="B117" s="21">
        <v>41</v>
      </c>
      <c r="C117" s="21">
        <v>6</v>
      </c>
      <c r="D117" s="21">
        <v>1</v>
      </c>
      <c r="E117" s="22"/>
      <c r="F117" s="21">
        <v>48</v>
      </c>
      <c r="G117" s="23">
        <v>85.42</v>
      </c>
      <c r="H117" s="23">
        <v>85.42</v>
      </c>
    </row>
    <row r="118" spans="1:8" ht="78.75" x14ac:dyDescent="0.25">
      <c r="A118" s="20" t="s">
        <v>78</v>
      </c>
      <c r="B118" s="21">
        <v>26</v>
      </c>
      <c r="C118" s="21">
        <v>8</v>
      </c>
      <c r="D118" s="21">
        <v>1</v>
      </c>
      <c r="E118" s="22"/>
      <c r="F118" s="21">
        <v>35</v>
      </c>
      <c r="G118" s="23">
        <v>74.290000000000006</v>
      </c>
      <c r="H118" s="23">
        <v>74.290000000000006</v>
      </c>
    </row>
    <row r="119" spans="1:8" ht="78.75" x14ac:dyDescent="0.25">
      <c r="A119" s="20" t="s">
        <v>79</v>
      </c>
      <c r="B119" s="21">
        <v>14</v>
      </c>
      <c r="C119" s="21">
        <v>4</v>
      </c>
      <c r="D119" s="22"/>
      <c r="E119" s="22"/>
      <c r="F119" s="21">
        <v>18</v>
      </c>
      <c r="G119" s="23">
        <v>77.78</v>
      </c>
      <c r="H119" s="23">
        <v>77.78</v>
      </c>
    </row>
    <row r="120" spans="1:8" ht="78.75" x14ac:dyDescent="0.25">
      <c r="A120" s="20" t="s">
        <v>80</v>
      </c>
      <c r="B120" s="21">
        <v>31</v>
      </c>
      <c r="C120" s="21">
        <v>2</v>
      </c>
      <c r="D120" s="21">
        <v>2</v>
      </c>
      <c r="E120" s="22"/>
      <c r="F120" s="21">
        <v>35</v>
      </c>
      <c r="G120" s="23">
        <v>88.57</v>
      </c>
      <c r="H120" s="23">
        <v>88.57</v>
      </c>
    </row>
    <row r="121" spans="1:8" ht="78.75" x14ac:dyDescent="0.25">
      <c r="A121" s="20" t="s">
        <v>81</v>
      </c>
      <c r="B121" s="21">
        <v>10</v>
      </c>
      <c r="C121" s="22"/>
      <c r="D121" s="22"/>
      <c r="E121" s="22"/>
      <c r="F121" s="21">
        <v>10</v>
      </c>
      <c r="G121" s="23">
        <v>100</v>
      </c>
      <c r="H121" s="23">
        <v>100</v>
      </c>
    </row>
    <row r="122" spans="1:8" ht="67.5" x14ac:dyDescent="0.25">
      <c r="A122" s="20" t="s">
        <v>134</v>
      </c>
      <c r="B122" s="21">
        <v>16</v>
      </c>
      <c r="C122" s="21">
        <v>9</v>
      </c>
      <c r="D122" s="22"/>
      <c r="E122" s="22"/>
      <c r="F122" s="21">
        <v>25</v>
      </c>
      <c r="G122" s="23">
        <v>64</v>
      </c>
      <c r="H122" s="23">
        <v>64</v>
      </c>
    </row>
    <row r="123" spans="1:8" ht="78.75" x14ac:dyDescent="0.25">
      <c r="A123" s="20" t="s">
        <v>135</v>
      </c>
      <c r="B123" s="21">
        <v>1</v>
      </c>
      <c r="C123" s="21">
        <v>1</v>
      </c>
      <c r="D123" s="22"/>
      <c r="E123" s="22"/>
      <c r="F123" s="21">
        <v>2</v>
      </c>
      <c r="G123" s="23">
        <v>50</v>
      </c>
      <c r="H123" s="23">
        <v>50</v>
      </c>
    </row>
    <row r="124" spans="1:8" ht="78.75" x14ac:dyDescent="0.25">
      <c r="A124" s="20" t="s">
        <v>136</v>
      </c>
      <c r="B124" s="21">
        <v>0</v>
      </c>
      <c r="C124" s="21">
        <v>7</v>
      </c>
      <c r="D124" s="22"/>
      <c r="E124" s="22"/>
      <c r="F124" s="21">
        <v>7</v>
      </c>
      <c r="G124" s="22"/>
      <c r="H124" s="23">
        <v>0</v>
      </c>
    </row>
    <row r="125" spans="1:8" ht="67.5" x14ac:dyDescent="0.25">
      <c r="A125" s="20" t="s">
        <v>82</v>
      </c>
      <c r="B125" s="21">
        <v>38</v>
      </c>
      <c r="C125" s="21">
        <v>7</v>
      </c>
      <c r="D125" s="21">
        <v>2</v>
      </c>
      <c r="E125" s="22"/>
      <c r="F125" s="21">
        <v>47</v>
      </c>
      <c r="G125" s="23">
        <v>80.849999999999994</v>
      </c>
      <c r="H125" s="23">
        <v>80.849999999999994</v>
      </c>
    </row>
    <row r="126" spans="1:8" ht="67.5" x14ac:dyDescent="0.25">
      <c r="A126" s="20" t="s">
        <v>83</v>
      </c>
      <c r="B126" s="21">
        <v>23</v>
      </c>
      <c r="C126" s="21">
        <v>4</v>
      </c>
      <c r="D126" s="21">
        <v>1</v>
      </c>
      <c r="E126" s="21">
        <v>1</v>
      </c>
      <c r="F126" s="21">
        <v>29</v>
      </c>
      <c r="G126" s="23">
        <v>82.14</v>
      </c>
      <c r="H126" s="23">
        <v>79.31</v>
      </c>
    </row>
    <row r="127" spans="1:8" ht="67.5" x14ac:dyDescent="0.25">
      <c r="A127" s="20" t="s">
        <v>84</v>
      </c>
      <c r="B127" s="21">
        <v>4</v>
      </c>
      <c r="C127" s="21">
        <v>1</v>
      </c>
      <c r="D127" s="21">
        <v>1</v>
      </c>
      <c r="E127" s="21">
        <v>1</v>
      </c>
      <c r="F127" s="21">
        <v>7</v>
      </c>
      <c r="G127" s="23">
        <v>66.67</v>
      </c>
      <c r="H127" s="23">
        <v>57.14</v>
      </c>
    </row>
    <row r="128" spans="1:8" ht="67.5" x14ac:dyDescent="0.25">
      <c r="A128" s="20" t="s">
        <v>85</v>
      </c>
      <c r="B128" s="21">
        <v>0</v>
      </c>
      <c r="C128" s="21">
        <v>1</v>
      </c>
      <c r="D128" s="22"/>
      <c r="E128" s="22"/>
      <c r="F128" s="21">
        <v>1</v>
      </c>
      <c r="G128" s="22"/>
      <c r="H128" s="23">
        <v>0</v>
      </c>
    </row>
    <row r="129" spans="1:8" ht="67.5" x14ac:dyDescent="0.25">
      <c r="A129" s="20" t="s">
        <v>86</v>
      </c>
      <c r="B129" s="21">
        <v>54</v>
      </c>
      <c r="C129" s="21">
        <v>13</v>
      </c>
      <c r="D129" s="21">
        <v>4</v>
      </c>
      <c r="E129" s="21">
        <v>1</v>
      </c>
      <c r="F129" s="21">
        <v>72</v>
      </c>
      <c r="G129" s="23">
        <v>76.06</v>
      </c>
      <c r="H129" s="23">
        <v>75</v>
      </c>
    </row>
    <row r="130" spans="1:8" ht="67.5" x14ac:dyDescent="0.25">
      <c r="A130" s="20" t="s">
        <v>87</v>
      </c>
      <c r="B130" s="21">
        <v>10</v>
      </c>
      <c r="C130" s="21">
        <v>3</v>
      </c>
      <c r="D130" s="22"/>
      <c r="E130" s="22"/>
      <c r="F130" s="21">
        <v>13</v>
      </c>
      <c r="G130" s="23">
        <v>76.92</v>
      </c>
      <c r="H130" s="23">
        <v>76.92</v>
      </c>
    </row>
    <row r="131" spans="1:8" ht="67.5" x14ac:dyDescent="0.25">
      <c r="A131" s="20" t="s">
        <v>88</v>
      </c>
      <c r="B131" s="21">
        <v>2</v>
      </c>
      <c r="C131" s="21">
        <v>2</v>
      </c>
      <c r="D131" s="22"/>
      <c r="E131" s="22"/>
      <c r="F131" s="21">
        <v>4</v>
      </c>
      <c r="G131" s="23">
        <v>50</v>
      </c>
      <c r="H131" s="23">
        <v>50</v>
      </c>
    </row>
    <row r="132" spans="1:8" ht="67.5" x14ac:dyDescent="0.25">
      <c r="A132" s="20" t="s">
        <v>89</v>
      </c>
      <c r="B132" s="21">
        <v>28</v>
      </c>
      <c r="C132" s="21">
        <v>6</v>
      </c>
      <c r="D132" s="21">
        <v>2</v>
      </c>
      <c r="E132" s="22"/>
      <c r="F132" s="21">
        <v>36</v>
      </c>
      <c r="G132" s="23">
        <v>77.78</v>
      </c>
      <c r="H132" s="23">
        <v>77.78</v>
      </c>
    </row>
    <row r="133" spans="1:8" ht="67.5" x14ac:dyDescent="0.25">
      <c r="A133" s="20" t="s">
        <v>90</v>
      </c>
      <c r="B133" s="21">
        <v>61</v>
      </c>
      <c r="C133" s="21">
        <v>14</v>
      </c>
      <c r="D133" s="21">
        <v>2</v>
      </c>
      <c r="E133" s="21">
        <v>1</v>
      </c>
      <c r="F133" s="21">
        <v>78</v>
      </c>
      <c r="G133" s="23">
        <v>79.22</v>
      </c>
      <c r="H133" s="23">
        <v>78.209999999999994</v>
      </c>
    </row>
    <row r="134" spans="1:8" ht="67.5" x14ac:dyDescent="0.25">
      <c r="A134" s="20" t="s">
        <v>91</v>
      </c>
      <c r="B134" s="21">
        <v>9</v>
      </c>
      <c r="C134" s="21">
        <v>3</v>
      </c>
      <c r="D134" s="22"/>
      <c r="E134" s="21">
        <v>1</v>
      </c>
      <c r="F134" s="21">
        <v>13</v>
      </c>
      <c r="G134" s="23">
        <v>75</v>
      </c>
      <c r="H134" s="23">
        <v>69.23</v>
      </c>
    </row>
    <row r="135" spans="1:8" ht="67.5" x14ac:dyDescent="0.25">
      <c r="A135" s="20" t="s">
        <v>92</v>
      </c>
      <c r="B135" s="21">
        <v>5</v>
      </c>
      <c r="C135" s="22"/>
      <c r="D135" s="22"/>
      <c r="E135" s="22"/>
      <c r="F135" s="21">
        <v>5</v>
      </c>
      <c r="G135" s="23">
        <v>100</v>
      </c>
      <c r="H135" s="23">
        <v>100</v>
      </c>
    </row>
    <row r="136" spans="1:8" ht="67.5" x14ac:dyDescent="0.25">
      <c r="A136" s="20" t="s">
        <v>93</v>
      </c>
      <c r="B136" s="21">
        <v>44</v>
      </c>
      <c r="C136" s="21">
        <v>18</v>
      </c>
      <c r="D136" s="22"/>
      <c r="E136" s="22"/>
      <c r="F136" s="21">
        <v>62</v>
      </c>
      <c r="G136" s="23">
        <v>70.97</v>
      </c>
      <c r="H136" s="23">
        <v>70.97</v>
      </c>
    </row>
    <row r="137" spans="1:8" ht="67.5" x14ac:dyDescent="0.25">
      <c r="A137" s="20" t="s">
        <v>94</v>
      </c>
      <c r="B137" s="21">
        <v>4</v>
      </c>
      <c r="C137" s="22"/>
      <c r="D137" s="22"/>
      <c r="E137" s="21">
        <v>2</v>
      </c>
      <c r="F137" s="21">
        <v>6</v>
      </c>
      <c r="G137" s="23">
        <v>100</v>
      </c>
      <c r="H137" s="23">
        <v>66.67</v>
      </c>
    </row>
    <row r="138" spans="1:8" ht="67.5" x14ac:dyDescent="0.25">
      <c r="A138" s="20" t="s">
        <v>95</v>
      </c>
      <c r="B138" s="21">
        <v>5</v>
      </c>
      <c r="C138" s="21">
        <v>1</v>
      </c>
      <c r="D138" s="22"/>
      <c r="E138" s="21">
        <v>2</v>
      </c>
      <c r="F138" s="21">
        <v>8</v>
      </c>
      <c r="G138" s="23">
        <v>83.33</v>
      </c>
      <c r="H138" s="23">
        <v>62.5</v>
      </c>
    </row>
    <row r="139" spans="1:8" ht="67.5" x14ac:dyDescent="0.25">
      <c r="A139" s="20" t="s">
        <v>96</v>
      </c>
      <c r="B139" s="21">
        <v>2</v>
      </c>
      <c r="C139" s="22"/>
      <c r="D139" s="22"/>
      <c r="E139" s="21">
        <v>2</v>
      </c>
      <c r="F139" s="21">
        <v>4</v>
      </c>
      <c r="G139" s="23">
        <v>100</v>
      </c>
      <c r="H139" s="23">
        <v>50</v>
      </c>
    </row>
    <row r="140" spans="1:8" ht="78.75" x14ac:dyDescent="0.25">
      <c r="A140" s="20" t="s">
        <v>97</v>
      </c>
      <c r="B140" s="21">
        <v>2</v>
      </c>
      <c r="C140" s="22"/>
      <c r="D140" s="22"/>
      <c r="E140" s="22"/>
      <c r="F140" s="21">
        <v>2</v>
      </c>
      <c r="G140" s="23">
        <v>100</v>
      </c>
      <c r="H140" s="23">
        <v>100</v>
      </c>
    </row>
    <row r="141" spans="1:8" ht="78.75" x14ac:dyDescent="0.25">
      <c r="A141" s="20" t="s">
        <v>137</v>
      </c>
      <c r="B141" s="21">
        <v>3</v>
      </c>
      <c r="C141" s="22"/>
      <c r="D141" s="22"/>
      <c r="E141" s="22"/>
      <c r="F141" s="21">
        <v>3</v>
      </c>
      <c r="G141" s="23">
        <v>100</v>
      </c>
      <c r="H141" s="23">
        <v>100</v>
      </c>
    </row>
    <row r="142" spans="1:8" ht="78.75" x14ac:dyDescent="0.25">
      <c r="A142" s="20" t="s">
        <v>138</v>
      </c>
      <c r="B142" s="21">
        <v>2</v>
      </c>
      <c r="C142" s="22"/>
      <c r="D142" s="22"/>
      <c r="E142" s="22"/>
      <c r="F142" s="21">
        <v>2</v>
      </c>
      <c r="G142" s="23">
        <v>100</v>
      </c>
      <c r="H142" s="23">
        <v>100</v>
      </c>
    </row>
    <row r="143" spans="1:8" ht="78.75" x14ac:dyDescent="0.25">
      <c r="A143" s="20" t="s">
        <v>124</v>
      </c>
      <c r="B143" s="21">
        <v>12</v>
      </c>
      <c r="C143" s="21">
        <v>2</v>
      </c>
      <c r="D143" s="22"/>
      <c r="E143" s="22"/>
      <c r="F143" s="21">
        <v>14</v>
      </c>
      <c r="G143" s="23">
        <v>85.71</v>
      </c>
      <c r="H143" s="23">
        <v>85.71</v>
      </c>
    </row>
    <row r="144" spans="1:8" ht="78.75" x14ac:dyDescent="0.25">
      <c r="A144" s="20" t="s">
        <v>139</v>
      </c>
      <c r="B144" s="21">
        <v>6</v>
      </c>
      <c r="C144" s="21">
        <v>2</v>
      </c>
      <c r="D144" s="22"/>
      <c r="E144" s="22"/>
      <c r="F144" s="21">
        <v>8</v>
      </c>
      <c r="G144" s="23">
        <v>75</v>
      </c>
      <c r="H144" s="23">
        <v>75</v>
      </c>
    </row>
    <row r="145" spans="1:8" ht="78.75" x14ac:dyDescent="0.25">
      <c r="A145" s="20" t="s">
        <v>140</v>
      </c>
      <c r="B145" s="21">
        <v>7</v>
      </c>
      <c r="C145" s="21">
        <v>3</v>
      </c>
      <c r="D145" s="22"/>
      <c r="E145" s="22"/>
      <c r="F145" s="21">
        <v>10</v>
      </c>
      <c r="G145" s="23">
        <v>70</v>
      </c>
      <c r="H145" s="23">
        <v>70</v>
      </c>
    </row>
    <row r="146" spans="1:8" ht="78.75" x14ac:dyDescent="0.25">
      <c r="A146" s="20" t="s">
        <v>141</v>
      </c>
      <c r="B146" s="21">
        <v>3</v>
      </c>
      <c r="C146" s="21">
        <v>1</v>
      </c>
      <c r="D146" s="22"/>
      <c r="E146" s="22"/>
      <c r="F146" s="21">
        <v>4</v>
      </c>
      <c r="G146" s="23">
        <v>75</v>
      </c>
      <c r="H146" s="23">
        <v>75</v>
      </c>
    </row>
    <row r="147" spans="1:8" ht="78.75" x14ac:dyDescent="0.25">
      <c r="A147" s="20" t="s">
        <v>142</v>
      </c>
      <c r="B147" s="21">
        <v>5</v>
      </c>
      <c r="C147" s="21">
        <v>7</v>
      </c>
      <c r="D147" s="22"/>
      <c r="E147" s="22"/>
      <c r="F147" s="21">
        <v>12</v>
      </c>
      <c r="G147" s="23">
        <v>41.67</v>
      </c>
      <c r="H147" s="23">
        <v>41.67</v>
      </c>
    </row>
    <row r="148" spans="1:8" ht="78.75" x14ac:dyDescent="0.25">
      <c r="A148" s="20" t="s">
        <v>143</v>
      </c>
      <c r="B148" s="21">
        <v>14</v>
      </c>
      <c r="C148" s="21">
        <v>3</v>
      </c>
      <c r="D148" s="22"/>
      <c r="E148" s="22"/>
      <c r="F148" s="21">
        <v>17</v>
      </c>
      <c r="G148" s="23">
        <v>82.35</v>
      </c>
      <c r="H148" s="23">
        <v>82.35</v>
      </c>
    </row>
    <row r="149" spans="1:8" ht="78.75" x14ac:dyDescent="0.25">
      <c r="A149" s="20" t="s">
        <v>144</v>
      </c>
      <c r="B149" s="21">
        <v>6</v>
      </c>
      <c r="C149" s="22"/>
      <c r="D149" s="22"/>
      <c r="E149" s="22"/>
      <c r="F149" s="21">
        <v>6</v>
      </c>
      <c r="G149" s="23">
        <v>100</v>
      </c>
      <c r="H149" s="23">
        <v>100</v>
      </c>
    </row>
    <row r="150" spans="1:8" ht="78.75" x14ac:dyDescent="0.25">
      <c r="A150" s="20" t="s">
        <v>145</v>
      </c>
      <c r="B150" s="21">
        <v>5</v>
      </c>
      <c r="C150" s="22"/>
      <c r="D150" s="22"/>
      <c r="E150" s="22"/>
      <c r="F150" s="21">
        <v>5</v>
      </c>
      <c r="G150" s="23">
        <v>100</v>
      </c>
      <c r="H150" s="23">
        <v>100</v>
      </c>
    </row>
    <row r="151" spans="1:8" ht="78.75" x14ac:dyDescent="0.25">
      <c r="A151" s="20" t="s">
        <v>98</v>
      </c>
      <c r="B151" s="21">
        <v>17</v>
      </c>
      <c r="C151" s="21">
        <v>2</v>
      </c>
      <c r="D151" s="21">
        <v>1</v>
      </c>
      <c r="E151" s="22"/>
      <c r="F151" s="21">
        <v>20</v>
      </c>
      <c r="G151" s="23">
        <v>85</v>
      </c>
      <c r="H151" s="23">
        <v>85</v>
      </c>
    </row>
    <row r="152" spans="1:8" ht="78.75" x14ac:dyDescent="0.25">
      <c r="A152" s="20" t="s">
        <v>99</v>
      </c>
      <c r="B152" s="21">
        <v>12</v>
      </c>
      <c r="C152" s="21">
        <v>4</v>
      </c>
      <c r="D152" s="21">
        <v>1</v>
      </c>
      <c r="E152" s="22"/>
      <c r="F152" s="21">
        <v>17</v>
      </c>
      <c r="G152" s="23">
        <v>70.59</v>
      </c>
      <c r="H152" s="23">
        <v>70.59</v>
      </c>
    </row>
    <row r="153" spans="1:8" ht="78.75" x14ac:dyDescent="0.25">
      <c r="A153" s="20" t="s">
        <v>100</v>
      </c>
      <c r="B153" s="21">
        <v>14</v>
      </c>
      <c r="C153" s="21">
        <v>2</v>
      </c>
      <c r="D153" s="22"/>
      <c r="E153" s="22"/>
      <c r="F153" s="21">
        <v>16</v>
      </c>
      <c r="G153" s="23">
        <v>87.5</v>
      </c>
      <c r="H153" s="23">
        <v>87.5</v>
      </c>
    </row>
    <row r="154" spans="1:8" ht="78.75" x14ac:dyDescent="0.25">
      <c r="A154" s="20" t="s">
        <v>125</v>
      </c>
      <c r="B154" s="21">
        <v>6</v>
      </c>
      <c r="C154" s="21">
        <v>3</v>
      </c>
      <c r="D154" s="22"/>
      <c r="E154" s="22"/>
      <c r="F154" s="21">
        <v>9</v>
      </c>
      <c r="G154" s="23">
        <v>66.67</v>
      </c>
      <c r="H154" s="23">
        <v>66.67</v>
      </c>
    </row>
    <row r="155" spans="1:8" ht="78.75" x14ac:dyDescent="0.25">
      <c r="A155" s="20" t="s">
        <v>101</v>
      </c>
      <c r="B155" s="21">
        <v>20</v>
      </c>
      <c r="C155" s="21">
        <v>3</v>
      </c>
      <c r="D155" s="22"/>
      <c r="E155" s="22"/>
      <c r="F155" s="21">
        <v>23</v>
      </c>
      <c r="G155" s="23">
        <v>86.96</v>
      </c>
      <c r="H155" s="23">
        <v>86.96</v>
      </c>
    </row>
    <row r="156" spans="1:8" ht="90" x14ac:dyDescent="0.25">
      <c r="A156" s="20" t="s">
        <v>126</v>
      </c>
      <c r="B156" s="21">
        <v>10</v>
      </c>
      <c r="C156" s="21">
        <v>4</v>
      </c>
      <c r="D156" s="22"/>
      <c r="E156" s="22"/>
      <c r="F156" s="21">
        <v>14</v>
      </c>
      <c r="G156" s="23">
        <v>71.430000000000007</v>
      </c>
      <c r="H156" s="23">
        <v>71.430000000000007</v>
      </c>
    </row>
    <row r="157" spans="1:8" ht="101.25" x14ac:dyDescent="0.25">
      <c r="A157" s="20" t="s">
        <v>146</v>
      </c>
      <c r="B157" s="21">
        <v>0</v>
      </c>
      <c r="C157" s="21">
        <v>6</v>
      </c>
      <c r="D157" s="22"/>
      <c r="E157" s="22"/>
      <c r="F157" s="21">
        <v>6</v>
      </c>
      <c r="G157" s="22"/>
      <c r="H157" s="23">
        <v>0</v>
      </c>
    </row>
    <row r="158" spans="1:8" ht="78.75" x14ac:dyDescent="0.25">
      <c r="A158" s="20" t="s">
        <v>102</v>
      </c>
      <c r="B158" s="21">
        <v>22</v>
      </c>
      <c r="C158" s="21">
        <v>3</v>
      </c>
      <c r="D158" s="21">
        <v>2</v>
      </c>
      <c r="E158" s="22"/>
      <c r="F158" s="21">
        <v>27</v>
      </c>
      <c r="G158" s="23">
        <v>81.48</v>
      </c>
      <c r="H158" s="23">
        <v>81.48</v>
      </c>
    </row>
    <row r="159" spans="1:8" ht="90" x14ac:dyDescent="0.25">
      <c r="A159" s="20" t="s">
        <v>127</v>
      </c>
      <c r="B159" s="21">
        <v>16</v>
      </c>
      <c r="C159" s="22"/>
      <c r="D159" s="22"/>
      <c r="E159" s="22"/>
      <c r="F159" s="21">
        <v>16</v>
      </c>
      <c r="G159" s="23">
        <v>100</v>
      </c>
      <c r="H159" s="23">
        <v>100</v>
      </c>
    </row>
    <row r="160" spans="1:8" ht="90" x14ac:dyDescent="0.25">
      <c r="A160" s="20" t="s">
        <v>128</v>
      </c>
      <c r="B160" s="21">
        <v>7</v>
      </c>
      <c r="C160" s="21">
        <v>8</v>
      </c>
      <c r="D160" s="22"/>
      <c r="E160" s="22"/>
      <c r="F160" s="21">
        <v>15</v>
      </c>
      <c r="G160" s="23">
        <v>46.67</v>
      </c>
      <c r="H160" s="23">
        <v>46.67</v>
      </c>
    </row>
    <row r="161" spans="1:8" ht="78.75" x14ac:dyDescent="0.25">
      <c r="A161" s="20" t="s">
        <v>147</v>
      </c>
      <c r="B161" s="21">
        <v>3</v>
      </c>
      <c r="C161" s="21">
        <v>2</v>
      </c>
      <c r="D161" s="22"/>
      <c r="E161" s="22"/>
      <c r="F161" s="21">
        <v>5</v>
      </c>
      <c r="G161" s="23">
        <v>60</v>
      </c>
      <c r="H161" s="23">
        <v>60</v>
      </c>
    </row>
    <row r="162" spans="1:8" ht="78.75" x14ac:dyDescent="0.25">
      <c r="A162" s="20" t="s">
        <v>103</v>
      </c>
      <c r="B162" s="21">
        <v>19</v>
      </c>
      <c r="C162" s="21">
        <v>8</v>
      </c>
      <c r="D162" s="21">
        <v>2</v>
      </c>
      <c r="E162" s="21">
        <v>1</v>
      </c>
      <c r="F162" s="21">
        <v>30</v>
      </c>
      <c r="G162" s="23">
        <v>65.52</v>
      </c>
      <c r="H162" s="23">
        <v>63.33</v>
      </c>
    </row>
    <row r="163" spans="1:8" ht="90" x14ac:dyDescent="0.25">
      <c r="A163" s="20" t="s">
        <v>129</v>
      </c>
      <c r="B163" s="21">
        <v>22</v>
      </c>
      <c r="C163" s="21">
        <v>17</v>
      </c>
      <c r="D163" s="22"/>
      <c r="E163" s="22"/>
      <c r="F163" s="21">
        <v>39</v>
      </c>
      <c r="G163" s="23">
        <v>56.41</v>
      </c>
      <c r="H163" s="23">
        <v>56.41</v>
      </c>
    </row>
    <row r="164" spans="1:8" ht="90" x14ac:dyDescent="0.25">
      <c r="A164" s="20" t="s">
        <v>148</v>
      </c>
      <c r="B164" s="21">
        <v>0</v>
      </c>
      <c r="C164" s="21">
        <v>2</v>
      </c>
      <c r="D164" s="22"/>
      <c r="E164" s="22"/>
      <c r="F164" s="21">
        <v>2</v>
      </c>
      <c r="G164" s="22"/>
      <c r="H164" s="23">
        <v>0</v>
      </c>
    </row>
    <row r="165" spans="1:8" ht="78.75" x14ac:dyDescent="0.25">
      <c r="A165" s="20" t="s">
        <v>104</v>
      </c>
      <c r="B165" s="21">
        <v>60</v>
      </c>
      <c r="C165" s="21">
        <v>10</v>
      </c>
      <c r="D165" s="22"/>
      <c r="E165" s="21">
        <v>1</v>
      </c>
      <c r="F165" s="21">
        <v>71</v>
      </c>
      <c r="G165" s="23">
        <v>85.71</v>
      </c>
      <c r="H165" s="23">
        <v>84.51</v>
      </c>
    </row>
    <row r="166" spans="1:8" ht="90" x14ac:dyDescent="0.25">
      <c r="A166" s="20" t="s">
        <v>130</v>
      </c>
      <c r="B166" s="21">
        <v>5</v>
      </c>
      <c r="C166" s="21">
        <v>1</v>
      </c>
      <c r="D166" s="22"/>
      <c r="E166" s="22"/>
      <c r="F166" s="21">
        <v>6</v>
      </c>
      <c r="G166" s="23">
        <v>83.33</v>
      </c>
      <c r="H166" s="23">
        <v>83.33</v>
      </c>
    </row>
    <row r="167" spans="1:8" ht="90" x14ac:dyDescent="0.25">
      <c r="A167" s="20" t="s">
        <v>149</v>
      </c>
      <c r="B167" s="21">
        <v>0</v>
      </c>
      <c r="C167" s="21">
        <v>1</v>
      </c>
      <c r="D167" s="22"/>
      <c r="E167" s="22"/>
      <c r="F167" s="21">
        <v>1</v>
      </c>
      <c r="G167" s="22"/>
      <c r="H167" s="23">
        <v>0</v>
      </c>
    </row>
    <row r="168" spans="1:8" ht="101.25" x14ac:dyDescent="0.25">
      <c r="A168" s="20" t="s">
        <v>105</v>
      </c>
      <c r="B168" s="21">
        <v>25</v>
      </c>
      <c r="C168" s="21">
        <v>8</v>
      </c>
      <c r="D168" s="22"/>
      <c r="E168" s="22"/>
      <c r="F168" s="21">
        <v>33</v>
      </c>
      <c r="G168" s="23">
        <v>75.760000000000005</v>
      </c>
      <c r="H168" s="23">
        <v>75.760000000000005</v>
      </c>
    </row>
    <row r="169" spans="1:8" ht="78.75" x14ac:dyDescent="0.25">
      <c r="A169" s="20" t="s">
        <v>150</v>
      </c>
      <c r="B169" s="21">
        <v>0</v>
      </c>
      <c r="C169" s="21">
        <v>5</v>
      </c>
      <c r="D169" s="22"/>
      <c r="E169" s="22"/>
      <c r="F169" s="21">
        <v>5</v>
      </c>
      <c r="G169" s="22"/>
      <c r="H169" s="23">
        <v>0</v>
      </c>
    </row>
    <row r="170" spans="1:8" ht="78.75" x14ac:dyDescent="0.25">
      <c r="A170" s="20" t="s">
        <v>106</v>
      </c>
      <c r="B170" s="21">
        <v>54</v>
      </c>
      <c r="C170" s="21">
        <v>14</v>
      </c>
      <c r="D170" s="21">
        <v>3</v>
      </c>
      <c r="E170" s="22"/>
      <c r="F170" s="21">
        <v>71</v>
      </c>
      <c r="G170" s="23">
        <v>76.06</v>
      </c>
      <c r="H170" s="23">
        <v>76.06</v>
      </c>
    </row>
    <row r="171" spans="1:8" ht="90" x14ac:dyDescent="0.25">
      <c r="A171" s="20" t="s">
        <v>131</v>
      </c>
      <c r="B171" s="21">
        <v>10</v>
      </c>
      <c r="C171" s="21">
        <v>3</v>
      </c>
      <c r="D171" s="22"/>
      <c r="E171" s="22"/>
      <c r="F171" s="21">
        <v>13</v>
      </c>
      <c r="G171" s="23">
        <v>76.92</v>
      </c>
      <c r="H171" s="23">
        <v>76.92</v>
      </c>
    </row>
    <row r="172" spans="1:8" ht="67.5" x14ac:dyDescent="0.25">
      <c r="A172" s="20" t="s">
        <v>107</v>
      </c>
      <c r="B172" s="21">
        <v>2</v>
      </c>
      <c r="C172" s="22"/>
      <c r="D172" s="22"/>
      <c r="E172" s="22"/>
      <c r="F172" s="21">
        <v>2</v>
      </c>
      <c r="G172" s="23">
        <v>100</v>
      </c>
      <c r="H172" s="23">
        <v>100</v>
      </c>
    </row>
    <row r="173" spans="1:8" ht="67.5" x14ac:dyDescent="0.25">
      <c r="A173" s="20" t="s">
        <v>151</v>
      </c>
      <c r="B173" s="21">
        <v>0</v>
      </c>
      <c r="C173" s="21">
        <v>2</v>
      </c>
      <c r="D173" s="22"/>
      <c r="E173" s="22"/>
      <c r="F173" s="21">
        <v>2</v>
      </c>
      <c r="G173" s="22"/>
      <c r="H173" s="23">
        <v>0</v>
      </c>
    </row>
    <row r="174" spans="1:8" ht="78.75" x14ac:dyDescent="0.25">
      <c r="A174" s="20" t="s">
        <v>152</v>
      </c>
      <c r="B174" s="21">
        <v>0</v>
      </c>
      <c r="C174" s="21">
        <v>1</v>
      </c>
      <c r="D174" s="22"/>
      <c r="E174" s="22"/>
      <c r="F174" s="21">
        <v>1</v>
      </c>
      <c r="G174" s="22"/>
      <c r="H174" s="23">
        <v>0</v>
      </c>
    </row>
    <row r="175" spans="1:8" ht="67.5" x14ac:dyDescent="0.25">
      <c r="A175" s="20" t="s">
        <v>108</v>
      </c>
      <c r="B175" s="21">
        <v>3</v>
      </c>
      <c r="C175" s="22"/>
      <c r="D175" s="22"/>
      <c r="E175" s="22"/>
      <c r="F175" s="21">
        <v>3</v>
      </c>
      <c r="G175" s="23">
        <v>100</v>
      </c>
      <c r="H175" s="23">
        <v>100</v>
      </c>
    </row>
    <row r="176" spans="1:8" ht="67.5" x14ac:dyDescent="0.25">
      <c r="A176" s="20" t="s">
        <v>109</v>
      </c>
      <c r="B176" s="21">
        <v>1</v>
      </c>
      <c r="C176" s="22"/>
      <c r="D176" s="22"/>
      <c r="E176" s="22"/>
      <c r="F176" s="21">
        <v>1</v>
      </c>
      <c r="G176" s="23">
        <v>100</v>
      </c>
      <c r="H176" s="23">
        <v>100</v>
      </c>
    </row>
    <row r="177" spans="1:8" ht="78.75" x14ac:dyDescent="0.25">
      <c r="A177" s="20" t="s">
        <v>110</v>
      </c>
      <c r="B177" s="21">
        <v>1</v>
      </c>
      <c r="C177" s="22"/>
      <c r="D177" s="22"/>
      <c r="E177" s="22"/>
      <c r="F177" s="21">
        <v>1</v>
      </c>
      <c r="G177" s="23">
        <v>100</v>
      </c>
      <c r="H177" s="23">
        <v>100</v>
      </c>
    </row>
    <row r="178" spans="1:8" ht="78.75" x14ac:dyDescent="0.25">
      <c r="A178" s="20" t="s">
        <v>111</v>
      </c>
      <c r="B178" s="21">
        <v>1</v>
      </c>
      <c r="C178" s="22"/>
      <c r="D178" s="22"/>
      <c r="E178" s="22"/>
      <c r="F178" s="21">
        <v>1</v>
      </c>
      <c r="G178" s="23">
        <v>100</v>
      </c>
      <c r="H178" s="23">
        <v>100</v>
      </c>
    </row>
    <row r="179" spans="1:8" ht="67.5" x14ac:dyDescent="0.25">
      <c r="A179" s="20" t="s">
        <v>153</v>
      </c>
      <c r="B179" s="21">
        <v>0</v>
      </c>
      <c r="C179" s="21">
        <v>2</v>
      </c>
      <c r="D179" s="22"/>
      <c r="E179" s="21">
        <v>1</v>
      </c>
      <c r="F179" s="21">
        <v>3</v>
      </c>
      <c r="G179" s="22"/>
      <c r="H179" s="23">
        <v>0</v>
      </c>
    </row>
    <row r="180" spans="1:8" ht="67.5" x14ac:dyDescent="0.25">
      <c r="A180" s="20" t="s">
        <v>154</v>
      </c>
      <c r="B180" s="21">
        <v>0</v>
      </c>
      <c r="C180" s="21">
        <v>10</v>
      </c>
      <c r="D180" s="22"/>
      <c r="E180" s="22"/>
      <c r="F180" s="21">
        <v>10</v>
      </c>
      <c r="G180" s="22"/>
      <c r="H180" s="23">
        <v>0</v>
      </c>
    </row>
    <row r="181" spans="1:8" ht="67.5" x14ac:dyDescent="0.25">
      <c r="A181" s="20" t="s">
        <v>112</v>
      </c>
      <c r="B181" s="21">
        <v>4</v>
      </c>
      <c r="C181" s="22"/>
      <c r="D181" s="22"/>
      <c r="E181" s="22"/>
      <c r="F181" s="21">
        <v>4</v>
      </c>
      <c r="G181" s="23">
        <v>100</v>
      </c>
      <c r="H181" s="23">
        <v>100</v>
      </c>
    </row>
    <row r="182" spans="1:8" ht="67.5" x14ac:dyDescent="0.25">
      <c r="A182" s="20" t="s">
        <v>113</v>
      </c>
      <c r="B182" s="21">
        <v>3</v>
      </c>
      <c r="C182" s="21">
        <v>1</v>
      </c>
      <c r="D182" s="21">
        <v>1</v>
      </c>
      <c r="E182" s="22"/>
      <c r="F182" s="21">
        <v>5</v>
      </c>
      <c r="G182" s="23">
        <v>60</v>
      </c>
      <c r="H182" s="23">
        <v>60</v>
      </c>
    </row>
    <row r="183" spans="1:8" ht="67.5" x14ac:dyDescent="0.25">
      <c r="A183" s="20" t="s">
        <v>114</v>
      </c>
      <c r="B183" s="21">
        <v>10</v>
      </c>
      <c r="C183" s="21">
        <v>6</v>
      </c>
      <c r="D183" s="21">
        <v>1</v>
      </c>
      <c r="E183" s="22"/>
      <c r="F183" s="21">
        <v>17</v>
      </c>
      <c r="G183" s="23">
        <v>58.82</v>
      </c>
      <c r="H183" s="23">
        <v>58.82</v>
      </c>
    </row>
    <row r="184" spans="1:8" ht="67.5" x14ac:dyDescent="0.25">
      <c r="A184" s="20" t="s">
        <v>115</v>
      </c>
      <c r="B184" s="21">
        <v>4</v>
      </c>
      <c r="C184" s="21">
        <v>3</v>
      </c>
      <c r="D184" s="22"/>
      <c r="E184" s="22"/>
      <c r="F184" s="21">
        <v>7</v>
      </c>
      <c r="G184" s="23">
        <v>57.14</v>
      </c>
      <c r="H184" s="23">
        <v>57.14</v>
      </c>
    </row>
    <row r="185" spans="1:8" ht="67.5" x14ac:dyDescent="0.25">
      <c r="A185" s="20" t="s">
        <v>116</v>
      </c>
      <c r="B185" s="21">
        <v>5</v>
      </c>
      <c r="C185" s="21">
        <v>3</v>
      </c>
      <c r="D185" s="22"/>
      <c r="E185" s="22"/>
      <c r="F185" s="21">
        <v>8</v>
      </c>
      <c r="G185" s="23">
        <v>62.5</v>
      </c>
      <c r="H185" s="23">
        <v>62.5</v>
      </c>
    </row>
    <row r="186" spans="1:8" ht="67.5" x14ac:dyDescent="0.25">
      <c r="A186" s="20" t="s">
        <v>155</v>
      </c>
      <c r="B186" s="21">
        <v>0</v>
      </c>
      <c r="C186" s="21">
        <v>1</v>
      </c>
      <c r="D186" s="22"/>
      <c r="E186" s="22"/>
      <c r="F186" s="21">
        <v>1</v>
      </c>
      <c r="G186" s="22"/>
      <c r="H186" s="23">
        <v>0</v>
      </c>
    </row>
    <row r="187" spans="1:8" ht="67.5" x14ac:dyDescent="0.25">
      <c r="A187" s="20" t="s">
        <v>117</v>
      </c>
      <c r="B187" s="21">
        <v>1</v>
      </c>
      <c r="C187" s="22"/>
      <c r="D187" s="22"/>
      <c r="E187" s="22"/>
      <c r="F187" s="21">
        <v>1</v>
      </c>
      <c r="G187" s="23">
        <v>100</v>
      </c>
      <c r="H187" s="23">
        <v>100</v>
      </c>
    </row>
    <row r="188" spans="1:8" ht="67.5" x14ac:dyDescent="0.25">
      <c r="A188" s="20" t="s">
        <v>118</v>
      </c>
      <c r="B188" s="21">
        <v>1</v>
      </c>
      <c r="C188" s="22"/>
      <c r="D188" s="21">
        <v>1</v>
      </c>
      <c r="E188" s="22"/>
      <c r="F188" s="21">
        <v>2</v>
      </c>
      <c r="G188" s="23">
        <v>50</v>
      </c>
      <c r="H188" s="23">
        <v>50</v>
      </c>
    </row>
    <row r="189" spans="1:8" ht="67.5" x14ac:dyDescent="0.25">
      <c r="A189" s="20" t="s">
        <v>119</v>
      </c>
      <c r="B189" s="21">
        <v>2</v>
      </c>
      <c r="C189" s="21">
        <v>4</v>
      </c>
      <c r="D189" s="22"/>
      <c r="E189" s="22"/>
      <c r="F189" s="21">
        <v>6</v>
      </c>
      <c r="G189" s="23">
        <v>33.33</v>
      </c>
      <c r="H189" s="23">
        <v>33.33</v>
      </c>
    </row>
    <row r="190" spans="1:8" ht="67.5" x14ac:dyDescent="0.25">
      <c r="A190" s="20" t="s">
        <v>120</v>
      </c>
      <c r="B190" s="21">
        <v>1</v>
      </c>
      <c r="C190" s="22"/>
      <c r="D190" s="22"/>
      <c r="E190" s="22"/>
      <c r="F190" s="21">
        <v>1</v>
      </c>
      <c r="G190" s="23">
        <v>100</v>
      </c>
      <c r="H190" s="23">
        <v>100</v>
      </c>
    </row>
    <row r="191" spans="1:8" ht="56.25" x14ac:dyDescent="0.25">
      <c r="A191" s="20" t="s">
        <v>208</v>
      </c>
      <c r="B191" s="21">
        <v>2</v>
      </c>
      <c r="C191" s="22"/>
      <c r="D191" s="22"/>
      <c r="E191" s="22"/>
      <c r="F191" s="21">
        <v>2</v>
      </c>
      <c r="G191" s="23">
        <v>100</v>
      </c>
      <c r="H191" s="23">
        <v>100</v>
      </c>
    </row>
    <row r="192" spans="1:8" ht="56.25" x14ac:dyDescent="0.25">
      <c r="A192" s="20" t="s">
        <v>209</v>
      </c>
      <c r="B192" s="21">
        <v>9</v>
      </c>
      <c r="C192" s="21">
        <v>5</v>
      </c>
      <c r="D192" s="22"/>
      <c r="E192" s="21">
        <v>5</v>
      </c>
      <c r="F192" s="21">
        <v>19</v>
      </c>
      <c r="G192" s="23">
        <v>64.290000000000006</v>
      </c>
      <c r="H192" s="23">
        <v>47.37</v>
      </c>
    </row>
    <row r="193" spans="1:8" ht="67.5" x14ac:dyDescent="0.25">
      <c r="A193" s="20" t="s">
        <v>211</v>
      </c>
      <c r="B193" s="21">
        <v>1</v>
      </c>
      <c r="C193" s="22"/>
      <c r="D193" s="22"/>
      <c r="E193" s="22"/>
      <c r="F193" s="21">
        <v>1</v>
      </c>
      <c r="G193" s="23">
        <v>100</v>
      </c>
      <c r="H193" s="23">
        <v>100</v>
      </c>
    </row>
    <row r="194" spans="1:8" ht="67.5" x14ac:dyDescent="0.25">
      <c r="A194" s="20" t="s">
        <v>210</v>
      </c>
      <c r="B194" s="21">
        <v>0</v>
      </c>
      <c r="C194" s="22"/>
      <c r="D194" s="22"/>
      <c r="E194" s="21">
        <v>1</v>
      </c>
      <c r="F194" s="21">
        <v>1</v>
      </c>
      <c r="G194" s="22"/>
      <c r="H194" s="23">
        <v>0</v>
      </c>
    </row>
    <row r="195" spans="1:8" x14ac:dyDescent="0.25">
      <c r="A195" s="24" t="s">
        <v>1</v>
      </c>
      <c r="B195" s="25">
        <v>4138</v>
      </c>
      <c r="C195" s="25">
        <v>1332</v>
      </c>
      <c r="D195" s="26">
        <v>73</v>
      </c>
      <c r="E195" s="26">
        <v>79</v>
      </c>
      <c r="F195" s="25">
        <v>5622</v>
      </c>
      <c r="G195" s="27">
        <v>74.650000000000006</v>
      </c>
      <c r="H195" s="27">
        <v>73.599999999999994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8"/>
  <sheetViews>
    <sheetView topLeftCell="A130" workbookViewId="0">
      <selection activeCell="C150" sqref="C150"/>
    </sheetView>
  </sheetViews>
  <sheetFormatPr defaultRowHeight="15" x14ac:dyDescent="0.25"/>
  <cols>
    <col min="1" max="1" width="45.42578125" customWidth="1"/>
  </cols>
  <sheetData>
    <row r="1" spans="1:8" ht="14.45" customHeight="1" x14ac:dyDescent="0.25">
      <c r="A1" s="153" t="s">
        <v>0</v>
      </c>
      <c r="B1" s="154" t="s">
        <v>1</v>
      </c>
      <c r="C1" s="154"/>
      <c r="D1" s="154"/>
      <c r="E1" s="154"/>
      <c r="F1" s="154"/>
      <c r="G1" s="154"/>
      <c r="H1" s="154"/>
    </row>
    <row r="2" spans="1:8" ht="38.25" x14ac:dyDescent="0.25">
      <c r="A2" s="153"/>
      <c r="B2" s="28" t="s">
        <v>2</v>
      </c>
      <c r="C2" s="28" t="s">
        <v>3</v>
      </c>
      <c r="D2" s="28" t="s">
        <v>160</v>
      </c>
      <c r="E2" s="28" t="s">
        <v>161</v>
      </c>
      <c r="F2" s="28" t="s">
        <v>4</v>
      </c>
      <c r="G2" s="28" t="s">
        <v>162</v>
      </c>
      <c r="H2" s="28" t="s">
        <v>5</v>
      </c>
    </row>
    <row r="3" spans="1:8" x14ac:dyDescent="0.25">
      <c r="A3" s="29" t="s">
        <v>186</v>
      </c>
      <c r="B3" s="30">
        <v>12</v>
      </c>
      <c r="C3" s="30">
        <v>2</v>
      </c>
      <c r="D3" s="31"/>
      <c r="E3" s="30">
        <v>2</v>
      </c>
      <c r="F3" s="30">
        <v>16</v>
      </c>
      <c r="G3" s="32">
        <v>85.71</v>
      </c>
      <c r="H3" s="32">
        <v>75</v>
      </c>
    </row>
    <row r="4" spans="1:8" x14ac:dyDescent="0.25">
      <c r="A4" s="29" t="s">
        <v>177</v>
      </c>
      <c r="B4" s="30">
        <v>1</v>
      </c>
      <c r="C4" s="31"/>
      <c r="D4" s="31"/>
      <c r="E4" s="31"/>
      <c r="F4" s="30">
        <v>1</v>
      </c>
      <c r="G4" s="32">
        <v>100</v>
      </c>
      <c r="H4" s="32">
        <v>100</v>
      </c>
    </row>
    <row r="5" spans="1:8" x14ac:dyDescent="0.25">
      <c r="A5" s="29" t="s">
        <v>187</v>
      </c>
      <c r="B5" s="30">
        <v>7</v>
      </c>
      <c r="C5" s="30">
        <v>5</v>
      </c>
      <c r="D5" s="31"/>
      <c r="E5" s="30">
        <v>1</v>
      </c>
      <c r="F5" s="30">
        <v>13</v>
      </c>
      <c r="G5" s="32">
        <v>58.33</v>
      </c>
      <c r="H5" s="32">
        <v>53.85</v>
      </c>
    </row>
    <row r="6" spans="1:8" x14ac:dyDescent="0.25">
      <c r="A6" s="29" t="s">
        <v>178</v>
      </c>
      <c r="B6" s="30">
        <v>5</v>
      </c>
      <c r="C6" s="30">
        <v>1</v>
      </c>
      <c r="D6" s="31"/>
      <c r="E6" s="31"/>
      <c r="F6" s="30">
        <v>6</v>
      </c>
      <c r="G6" s="32">
        <v>83.33</v>
      </c>
      <c r="H6" s="32">
        <v>83.33</v>
      </c>
    </row>
    <row r="7" spans="1:8" x14ac:dyDescent="0.25">
      <c r="A7" s="29" t="s">
        <v>179</v>
      </c>
      <c r="B7" s="30">
        <v>0</v>
      </c>
      <c r="C7" s="30">
        <v>2</v>
      </c>
      <c r="D7" s="31"/>
      <c r="E7" s="31"/>
      <c r="F7" s="30">
        <v>2</v>
      </c>
      <c r="G7" s="31"/>
      <c r="H7" s="32">
        <v>0</v>
      </c>
    </row>
    <row r="8" spans="1:8" x14ac:dyDescent="0.25">
      <c r="A8" s="29" t="s">
        <v>188</v>
      </c>
      <c r="B8" s="30">
        <v>1</v>
      </c>
      <c r="C8" s="31"/>
      <c r="D8" s="31"/>
      <c r="E8" s="31"/>
      <c r="F8" s="30">
        <v>1</v>
      </c>
      <c r="G8" s="32">
        <v>100</v>
      </c>
      <c r="H8" s="32">
        <v>100</v>
      </c>
    </row>
    <row r="9" spans="1:8" x14ac:dyDescent="0.25">
      <c r="A9" s="29" t="s">
        <v>189</v>
      </c>
      <c r="B9" s="30">
        <v>4</v>
      </c>
      <c r="C9" s="30">
        <v>1</v>
      </c>
      <c r="D9" s="30">
        <v>1</v>
      </c>
      <c r="E9" s="30">
        <v>1</v>
      </c>
      <c r="F9" s="30">
        <v>7</v>
      </c>
      <c r="G9" s="32">
        <v>66.67</v>
      </c>
      <c r="H9" s="32">
        <v>57.14</v>
      </c>
    </row>
    <row r="10" spans="1:8" x14ac:dyDescent="0.25">
      <c r="A10" s="29" t="s">
        <v>180</v>
      </c>
      <c r="B10" s="30">
        <v>1</v>
      </c>
      <c r="C10" s="30">
        <v>1</v>
      </c>
      <c r="D10" s="31"/>
      <c r="E10" s="31"/>
      <c r="F10" s="30">
        <v>2</v>
      </c>
      <c r="G10" s="32">
        <v>50</v>
      </c>
      <c r="H10" s="32">
        <v>50</v>
      </c>
    </row>
    <row r="11" spans="1:8" x14ac:dyDescent="0.25">
      <c r="A11" s="29" t="s">
        <v>181</v>
      </c>
      <c r="B11" s="30">
        <v>5</v>
      </c>
      <c r="C11" s="30">
        <v>2</v>
      </c>
      <c r="D11" s="31"/>
      <c r="E11" s="31"/>
      <c r="F11" s="30">
        <v>7</v>
      </c>
      <c r="G11" s="32">
        <v>71.430000000000007</v>
      </c>
      <c r="H11" s="32">
        <v>71.430000000000007</v>
      </c>
    </row>
    <row r="12" spans="1:8" ht="22.5" x14ac:dyDescent="0.25">
      <c r="A12" s="29" t="s">
        <v>182</v>
      </c>
      <c r="B12" s="30">
        <v>4</v>
      </c>
      <c r="C12" s="30">
        <v>2</v>
      </c>
      <c r="D12" s="31"/>
      <c r="E12" s="31"/>
      <c r="F12" s="30">
        <v>6</v>
      </c>
      <c r="G12" s="32">
        <v>66.67</v>
      </c>
      <c r="H12" s="32">
        <v>66.67</v>
      </c>
    </row>
    <row r="13" spans="1:8" x14ac:dyDescent="0.25">
      <c r="A13" s="29" t="s">
        <v>213</v>
      </c>
      <c r="B13" s="30">
        <v>6</v>
      </c>
      <c r="C13" s="30">
        <v>1</v>
      </c>
      <c r="D13" s="30">
        <v>1</v>
      </c>
      <c r="E13" s="30">
        <v>1</v>
      </c>
      <c r="F13" s="30">
        <v>9</v>
      </c>
      <c r="G13" s="32">
        <v>75</v>
      </c>
      <c r="H13" s="32">
        <v>66.67</v>
      </c>
    </row>
    <row r="14" spans="1:8" x14ac:dyDescent="0.25">
      <c r="A14" s="29" t="s">
        <v>214</v>
      </c>
      <c r="B14" s="30">
        <v>1</v>
      </c>
      <c r="C14" s="31"/>
      <c r="D14" s="30">
        <v>2</v>
      </c>
      <c r="E14" s="31"/>
      <c r="F14" s="30">
        <v>3</v>
      </c>
      <c r="G14" s="32">
        <v>33.33</v>
      </c>
      <c r="H14" s="32">
        <v>33.33</v>
      </c>
    </row>
    <row r="15" spans="1:8" x14ac:dyDescent="0.25">
      <c r="A15" s="29" t="s">
        <v>190</v>
      </c>
      <c r="B15" s="30">
        <v>2</v>
      </c>
      <c r="C15" s="31"/>
      <c r="D15" s="31"/>
      <c r="E15" s="31"/>
      <c r="F15" s="30">
        <v>2</v>
      </c>
      <c r="G15" s="32">
        <v>100</v>
      </c>
      <c r="H15" s="32">
        <v>100</v>
      </c>
    </row>
    <row r="16" spans="1:8" x14ac:dyDescent="0.25">
      <c r="A16" s="29" t="s">
        <v>184</v>
      </c>
      <c r="B16" s="30">
        <v>2</v>
      </c>
      <c r="C16" s="30">
        <v>1</v>
      </c>
      <c r="D16" s="31"/>
      <c r="E16" s="31"/>
      <c r="F16" s="30">
        <v>3</v>
      </c>
      <c r="G16" s="32">
        <v>66.67</v>
      </c>
      <c r="H16" s="32">
        <v>66.67</v>
      </c>
    </row>
    <row r="17" spans="1:8" x14ac:dyDescent="0.25">
      <c r="A17" s="29" t="s">
        <v>183</v>
      </c>
      <c r="B17" s="30">
        <v>1</v>
      </c>
      <c r="C17" s="31"/>
      <c r="D17" s="31"/>
      <c r="E17" s="31"/>
      <c r="F17" s="30">
        <v>1</v>
      </c>
      <c r="G17" s="32">
        <v>100</v>
      </c>
      <c r="H17" s="32">
        <v>100</v>
      </c>
    </row>
    <row r="18" spans="1:8" x14ac:dyDescent="0.25">
      <c r="A18" s="29" t="s">
        <v>215</v>
      </c>
      <c r="B18" s="30">
        <v>1</v>
      </c>
      <c r="C18" s="30">
        <v>3</v>
      </c>
      <c r="D18" s="30">
        <v>1</v>
      </c>
      <c r="E18" s="31"/>
      <c r="F18" s="30">
        <v>5</v>
      </c>
      <c r="G18" s="32">
        <v>20</v>
      </c>
      <c r="H18" s="32">
        <v>20</v>
      </c>
    </row>
    <row r="19" spans="1:8" x14ac:dyDescent="0.25">
      <c r="A19" s="29" t="s">
        <v>216</v>
      </c>
      <c r="B19" s="30">
        <v>3</v>
      </c>
      <c r="C19" s="31"/>
      <c r="D19" s="31"/>
      <c r="E19" s="30">
        <v>2</v>
      </c>
      <c r="F19" s="30">
        <v>5</v>
      </c>
      <c r="G19" s="32">
        <v>100</v>
      </c>
      <c r="H19" s="32">
        <v>60</v>
      </c>
    </row>
    <row r="20" spans="1:8" x14ac:dyDescent="0.25">
      <c r="A20" s="29" t="s">
        <v>217</v>
      </c>
      <c r="B20" s="30">
        <v>0</v>
      </c>
      <c r="C20" s="31"/>
      <c r="D20" s="31"/>
      <c r="E20" s="30">
        <v>1</v>
      </c>
      <c r="F20" s="30">
        <v>1</v>
      </c>
      <c r="G20" s="31"/>
      <c r="H20" s="32">
        <v>0</v>
      </c>
    </row>
    <row r="21" spans="1:8" x14ac:dyDescent="0.25">
      <c r="A21" s="29" t="s">
        <v>218</v>
      </c>
      <c r="B21" s="30">
        <v>0</v>
      </c>
      <c r="C21" s="30">
        <v>2</v>
      </c>
      <c r="D21" s="31"/>
      <c r="E21" s="31"/>
      <c r="F21" s="30">
        <v>2</v>
      </c>
      <c r="G21" s="31"/>
      <c r="H21" s="32">
        <v>0</v>
      </c>
    </row>
    <row r="22" spans="1:8" x14ac:dyDescent="0.25">
      <c r="A22" s="29" t="s">
        <v>219</v>
      </c>
      <c r="B22" s="30">
        <v>1</v>
      </c>
      <c r="C22" s="31"/>
      <c r="D22" s="31"/>
      <c r="E22" s="31"/>
      <c r="F22" s="30">
        <v>1</v>
      </c>
      <c r="G22" s="32">
        <v>100</v>
      </c>
      <c r="H22" s="32">
        <v>100</v>
      </c>
    </row>
    <row r="23" spans="1:8" x14ac:dyDescent="0.25">
      <c r="A23" s="29" t="s">
        <v>191</v>
      </c>
      <c r="B23" s="30">
        <v>77</v>
      </c>
      <c r="C23" s="30">
        <v>24</v>
      </c>
      <c r="D23" s="31"/>
      <c r="E23" s="30">
        <v>1</v>
      </c>
      <c r="F23" s="30">
        <v>102</v>
      </c>
      <c r="G23" s="32">
        <v>76.239999999999995</v>
      </c>
      <c r="H23" s="32">
        <v>75.489999999999995</v>
      </c>
    </row>
    <row r="24" spans="1:8" x14ac:dyDescent="0.25">
      <c r="A24" s="29" t="s">
        <v>192</v>
      </c>
      <c r="B24" s="30">
        <v>16</v>
      </c>
      <c r="C24" s="30">
        <v>7</v>
      </c>
      <c r="D24" s="31"/>
      <c r="E24" s="31"/>
      <c r="F24" s="30">
        <v>23</v>
      </c>
      <c r="G24" s="32">
        <v>69.569999999999993</v>
      </c>
      <c r="H24" s="32">
        <v>69.569999999999993</v>
      </c>
    </row>
    <row r="25" spans="1:8" ht="22.5" x14ac:dyDescent="0.25">
      <c r="A25" s="29" t="s">
        <v>193</v>
      </c>
      <c r="B25" s="30">
        <v>1</v>
      </c>
      <c r="C25" s="30">
        <v>2</v>
      </c>
      <c r="D25" s="31"/>
      <c r="E25" s="30">
        <v>2</v>
      </c>
      <c r="F25" s="30">
        <v>5</v>
      </c>
      <c r="G25" s="32">
        <v>33.33</v>
      </c>
      <c r="H25" s="32">
        <v>20</v>
      </c>
    </row>
    <row r="26" spans="1:8" ht="22.5" x14ac:dyDescent="0.25">
      <c r="A26" s="29" t="s">
        <v>194</v>
      </c>
      <c r="B26" s="30">
        <v>3</v>
      </c>
      <c r="C26" s="30">
        <v>1</v>
      </c>
      <c r="D26" s="31"/>
      <c r="E26" s="31"/>
      <c r="F26" s="30">
        <v>4</v>
      </c>
      <c r="G26" s="32">
        <v>75</v>
      </c>
      <c r="H26" s="32">
        <v>75</v>
      </c>
    </row>
    <row r="27" spans="1:8" x14ac:dyDescent="0.25">
      <c r="A27" s="29" t="s">
        <v>195</v>
      </c>
      <c r="B27" s="30">
        <v>2</v>
      </c>
      <c r="C27" s="31"/>
      <c r="D27" s="31"/>
      <c r="E27" s="31"/>
      <c r="F27" s="30">
        <v>2</v>
      </c>
      <c r="G27" s="32">
        <v>100</v>
      </c>
      <c r="H27" s="32">
        <v>100</v>
      </c>
    </row>
    <row r="28" spans="1:8" x14ac:dyDescent="0.25">
      <c r="A28" s="29" t="s">
        <v>196</v>
      </c>
      <c r="B28" s="30">
        <v>1</v>
      </c>
      <c r="C28" s="31"/>
      <c r="D28" s="31"/>
      <c r="E28" s="31"/>
      <c r="F28" s="30">
        <v>1</v>
      </c>
      <c r="G28" s="32">
        <v>100</v>
      </c>
      <c r="H28" s="32">
        <v>100</v>
      </c>
    </row>
    <row r="29" spans="1:8" x14ac:dyDescent="0.25">
      <c r="A29" s="29" t="s">
        <v>197</v>
      </c>
      <c r="B29" s="30">
        <v>2</v>
      </c>
      <c r="C29" s="30">
        <v>1</v>
      </c>
      <c r="D29" s="31"/>
      <c r="E29" s="31"/>
      <c r="F29" s="30">
        <v>3</v>
      </c>
      <c r="G29" s="32">
        <v>66.67</v>
      </c>
      <c r="H29" s="32">
        <v>66.67</v>
      </c>
    </row>
    <row r="30" spans="1:8" x14ac:dyDescent="0.25">
      <c r="A30" s="29" t="s">
        <v>198</v>
      </c>
      <c r="B30" s="30">
        <v>1</v>
      </c>
      <c r="C30" s="30">
        <v>1</v>
      </c>
      <c r="D30" s="31"/>
      <c r="E30" s="31"/>
      <c r="F30" s="30">
        <v>2</v>
      </c>
      <c r="G30" s="32">
        <v>50</v>
      </c>
      <c r="H30" s="32">
        <v>50</v>
      </c>
    </row>
    <row r="31" spans="1:8" ht="22.5" x14ac:dyDescent="0.25">
      <c r="A31" s="29" t="s">
        <v>199</v>
      </c>
      <c r="B31" s="30">
        <v>1</v>
      </c>
      <c r="C31" s="30">
        <v>1</v>
      </c>
      <c r="D31" s="31"/>
      <c r="E31" s="31"/>
      <c r="F31" s="30">
        <v>2</v>
      </c>
      <c r="G31" s="32">
        <v>50</v>
      </c>
      <c r="H31" s="32">
        <v>50</v>
      </c>
    </row>
    <row r="32" spans="1:8" ht="22.5" x14ac:dyDescent="0.25">
      <c r="A32" s="29" t="s">
        <v>200</v>
      </c>
      <c r="B32" s="30">
        <v>2</v>
      </c>
      <c r="C32" s="31"/>
      <c r="D32" s="31"/>
      <c r="E32" s="31"/>
      <c r="F32" s="30">
        <v>2</v>
      </c>
      <c r="G32" s="32">
        <v>100</v>
      </c>
      <c r="H32" s="32">
        <v>100</v>
      </c>
    </row>
    <row r="33" spans="1:8" x14ac:dyDescent="0.25">
      <c r="A33" s="29" t="s">
        <v>201</v>
      </c>
      <c r="B33" s="30">
        <v>9</v>
      </c>
      <c r="C33" s="31"/>
      <c r="D33" s="31"/>
      <c r="E33" s="31"/>
      <c r="F33" s="30">
        <v>9</v>
      </c>
      <c r="G33" s="32">
        <v>100</v>
      </c>
      <c r="H33" s="32">
        <v>100</v>
      </c>
    </row>
    <row r="34" spans="1:8" x14ac:dyDescent="0.25">
      <c r="A34" s="29" t="s">
        <v>202</v>
      </c>
      <c r="B34" s="30">
        <v>1</v>
      </c>
      <c r="C34" s="31"/>
      <c r="D34" s="31"/>
      <c r="E34" s="31"/>
      <c r="F34" s="30">
        <v>1</v>
      </c>
      <c r="G34" s="32">
        <v>100</v>
      </c>
      <c r="H34" s="32">
        <v>100</v>
      </c>
    </row>
    <row r="35" spans="1:8" x14ac:dyDescent="0.25">
      <c r="A35" s="29" t="s">
        <v>203</v>
      </c>
      <c r="B35" s="30">
        <v>1</v>
      </c>
      <c r="C35" s="31"/>
      <c r="D35" s="31"/>
      <c r="E35" s="31"/>
      <c r="F35" s="30">
        <v>1</v>
      </c>
      <c r="G35" s="32">
        <v>100</v>
      </c>
      <c r="H35" s="32">
        <v>100</v>
      </c>
    </row>
    <row r="36" spans="1:8" x14ac:dyDescent="0.25">
      <c r="A36" s="29" t="s">
        <v>207</v>
      </c>
      <c r="B36" s="30">
        <v>3</v>
      </c>
      <c r="C36" s="30">
        <v>2</v>
      </c>
      <c r="D36" s="31"/>
      <c r="E36" s="31"/>
      <c r="F36" s="30">
        <v>5</v>
      </c>
      <c r="G36" s="32">
        <v>60</v>
      </c>
      <c r="H36" s="32">
        <v>60</v>
      </c>
    </row>
    <row r="37" spans="1:8" x14ac:dyDescent="0.25">
      <c r="A37" s="29" t="s">
        <v>6</v>
      </c>
      <c r="B37" s="30">
        <v>14</v>
      </c>
      <c r="C37" s="30">
        <v>3</v>
      </c>
      <c r="D37" s="31"/>
      <c r="E37" s="31"/>
      <c r="F37" s="30">
        <v>17</v>
      </c>
      <c r="G37" s="32">
        <v>82.35</v>
      </c>
      <c r="H37" s="32">
        <v>82.35</v>
      </c>
    </row>
    <row r="38" spans="1:8" x14ac:dyDescent="0.25">
      <c r="A38" s="29" t="s">
        <v>7</v>
      </c>
      <c r="B38" s="30">
        <v>7</v>
      </c>
      <c r="C38" s="30">
        <v>5</v>
      </c>
      <c r="D38" s="31"/>
      <c r="E38" s="30">
        <v>1</v>
      </c>
      <c r="F38" s="30">
        <v>13</v>
      </c>
      <c r="G38" s="32">
        <v>58.33</v>
      </c>
      <c r="H38" s="32">
        <v>53.85</v>
      </c>
    </row>
    <row r="39" spans="1:8" x14ac:dyDescent="0.25">
      <c r="A39" s="29" t="s">
        <v>8</v>
      </c>
      <c r="B39" s="30">
        <v>9</v>
      </c>
      <c r="C39" s="30">
        <v>3</v>
      </c>
      <c r="D39" s="30">
        <v>1</v>
      </c>
      <c r="E39" s="31"/>
      <c r="F39" s="30">
        <v>14</v>
      </c>
      <c r="G39" s="32">
        <v>69.23</v>
      </c>
      <c r="H39" s="32">
        <v>69.23</v>
      </c>
    </row>
    <row r="40" spans="1:8" x14ac:dyDescent="0.25">
      <c r="A40" s="29" t="s">
        <v>9</v>
      </c>
      <c r="B40" s="30">
        <v>146</v>
      </c>
      <c r="C40" s="30">
        <v>36</v>
      </c>
      <c r="D40" s="30">
        <v>2</v>
      </c>
      <c r="E40" s="31"/>
      <c r="F40" s="30">
        <v>184</v>
      </c>
      <c r="G40" s="32">
        <v>79.349999999999994</v>
      </c>
      <c r="H40" s="32">
        <v>79.349999999999994</v>
      </c>
    </row>
    <row r="41" spans="1:8" x14ac:dyDescent="0.25">
      <c r="A41" s="29" t="s">
        <v>10</v>
      </c>
      <c r="B41" s="30">
        <v>9</v>
      </c>
      <c r="C41" s="30">
        <v>6</v>
      </c>
      <c r="D41" s="31"/>
      <c r="E41" s="31"/>
      <c r="F41" s="30">
        <v>15</v>
      </c>
      <c r="G41" s="32">
        <v>60</v>
      </c>
      <c r="H41" s="32">
        <v>60</v>
      </c>
    </row>
    <row r="42" spans="1:8" x14ac:dyDescent="0.25">
      <c r="A42" s="29" t="s">
        <v>11</v>
      </c>
      <c r="B42" s="30">
        <v>27</v>
      </c>
      <c r="C42" s="30">
        <v>2</v>
      </c>
      <c r="D42" s="31"/>
      <c r="E42" s="31"/>
      <c r="F42" s="30">
        <v>29</v>
      </c>
      <c r="G42" s="32">
        <v>93.1</v>
      </c>
      <c r="H42" s="32">
        <v>93.1</v>
      </c>
    </row>
    <row r="43" spans="1:8" x14ac:dyDescent="0.25">
      <c r="A43" s="29" t="s">
        <v>12</v>
      </c>
      <c r="B43" s="30">
        <v>23</v>
      </c>
      <c r="C43" s="30">
        <v>22</v>
      </c>
      <c r="D43" s="31"/>
      <c r="E43" s="30">
        <v>1</v>
      </c>
      <c r="F43" s="30">
        <v>46</v>
      </c>
      <c r="G43" s="32">
        <v>51.11</v>
      </c>
      <c r="H43" s="32">
        <v>50</v>
      </c>
    </row>
    <row r="44" spans="1:8" x14ac:dyDescent="0.25">
      <c r="A44" s="29" t="s">
        <v>13</v>
      </c>
      <c r="B44" s="30">
        <v>9</v>
      </c>
      <c r="C44" s="30">
        <v>1</v>
      </c>
      <c r="D44" s="31"/>
      <c r="E44" s="31"/>
      <c r="F44" s="30">
        <v>10</v>
      </c>
      <c r="G44" s="32">
        <v>90</v>
      </c>
      <c r="H44" s="32">
        <v>90</v>
      </c>
    </row>
    <row r="45" spans="1:8" x14ac:dyDescent="0.25">
      <c r="A45" s="29" t="s">
        <v>14</v>
      </c>
      <c r="B45" s="30">
        <v>70</v>
      </c>
      <c r="C45" s="30">
        <v>14</v>
      </c>
      <c r="D45" s="30">
        <v>1</v>
      </c>
      <c r="E45" s="30">
        <v>2</v>
      </c>
      <c r="F45" s="30">
        <v>87</v>
      </c>
      <c r="G45" s="32">
        <v>82.35</v>
      </c>
      <c r="H45" s="32">
        <v>80.459999999999994</v>
      </c>
    </row>
    <row r="46" spans="1:8" x14ac:dyDescent="0.25">
      <c r="A46" s="29" t="s">
        <v>15</v>
      </c>
      <c r="B46" s="30">
        <v>20</v>
      </c>
      <c r="C46" s="30">
        <v>8</v>
      </c>
      <c r="D46" s="31"/>
      <c r="E46" s="31"/>
      <c r="F46" s="30">
        <v>28</v>
      </c>
      <c r="G46" s="32">
        <v>71.430000000000007</v>
      </c>
      <c r="H46" s="32">
        <v>71.430000000000007</v>
      </c>
    </row>
    <row r="47" spans="1:8" x14ac:dyDescent="0.25">
      <c r="A47" s="29" t="s">
        <v>16</v>
      </c>
      <c r="B47" s="30">
        <v>20</v>
      </c>
      <c r="C47" s="30">
        <v>1</v>
      </c>
      <c r="D47" s="31"/>
      <c r="E47" s="30">
        <v>1</v>
      </c>
      <c r="F47" s="30">
        <v>22</v>
      </c>
      <c r="G47" s="32">
        <v>95.24</v>
      </c>
      <c r="H47" s="32">
        <v>90.91</v>
      </c>
    </row>
    <row r="48" spans="1:8" x14ac:dyDescent="0.25">
      <c r="A48" s="29" t="s">
        <v>17</v>
      </c>
      <c r="B48" s="30">
        <v>70</v>
      </c>
      <c r="C48" s="30">
        <v>13</v>
      </c>
      <c r="D48" s="30">
        <v>3</v>
      </c>
      <c r="E48" s="31"/>
      <c r="F48" s="30">
        <v>86</v>
      </c>
      <c r="G48" s="32">
        <v>81.400000000000006</v>
      </c>
      <c r="H48" s="32">
        <v>81.400000000000006</v>
      </c>
    </row>
    <row r="49" spans="1:8" x14ac:dyDescent="0.25">
      <c r="A49" s="29" t="s">
        <v>18</v>
      </c>
      <c r="B49" s="30">
        <v>10</v>
      </c>
      <c r="C49" s="30">
        <v>3</v>
      </c>
      <c r="D49" s="31"/>
      <c r="E49" s="31"/>
      <c r="F49" s="30">
        <v>13</v>
      </c>
      <c r="G49" s="32">
        <v>76.92</v>
      </c>
      <c r="H49" s="32">
        <v>76.92</v>
      </c>
    </row>
    <row r="50" spans="1:8" x14ac:dyDescent="0.25">
      <c r="A50" s="29" t="s">
        <v>19</v>
      </c>
      <c r="B50" s="30">
        <v>10</v>
      </c>
      <c r="C50" s="30">
        <v>10</v>
      </c>
      <c r="D50" s="30">
        <v>1</v>
      </c>
      <c r="E50" s="30">
        <v>1</v>
      </c>
      <c r="F50" s="30">
        <v>22</v>
      </c>
      <c r="G50" s="32">
        <v>47.62</v>
      </c>
      <c r="H50" s="32">
        <v>45.45</v>
      </c>
    </row>
    <row r="51" spans="1:8" x14ac:dyDescent="0.25">
      <c r="A51" s="29" t="s">
        <v>20</v>
      </c>
      <c r="B51" s="30">
        <v>70</v>
      </c>
      <c r="C51" s="30">
        <v>27</v>
      </c>
      <c r="D51" s="31"/>
      <c r="E51" s="30">
        <v>1</v>
      </c>
      <c r="F51" s="30">
        <v>98</v>
      </c>
      <c r="G51" s="32">
        <v>72.16</v>
      </c>
      <c r="H51" s="32">
        <v>71.430000000000007</v>
      </c>
    </row>
    <row r="52" spans="1:8" x14ac:dyDescent="0.25">
      <c r="A52" s="29" t="s">
        <v>21</v>
      </c>
      <c r="B52" s="30">
        <v>105</v>
      </c>
      <c r="C52" s="30">
        <v>33</v>
      </c>
      <c r="D52" s="30">
        <v>10</v>
      </c>
      <c r="E52" s="30">
        <v>2</v>
      </c>
      <c r="F52" s="30">
        <v>150</v>
      </c>
      <c r="G52" s="32">
        <v>70.95</v>
      </c>
      <c r="H52" s="32">
        <v>70</v>
      </c>
    </row>
    <row r="53" spans="1:8" x14ac:dyDescent="0.25">
      <c r="A53" s="29" t="s">
        <v>22</v>
      </c>
      <c r="B53" s="30">
        <v>27</v>
      </c>
      <c r="C53" s="30">
        <v>22</v>
      </c>
      <c r="D53" s="31"/>
      <c r="E53" s="31"/>
      <c r="F53" s="30">
        <v>49</v>
      </c>
      <c r="G53" s="32">
        <v>55.1</v>
      </c>
      <c r="H53" s="32">
        <v>55.1</v>
      </c>
    </row>
    <row r="54" spans="1:8" x14ac:dyDescent="0.25">
      <c r="A54" s="29" t="s">
        <v>23</v>
      </c>
      <c r="B54" s="30">
        <v>1</v>
      </c>
      <c r="C54" s="30">
        <v>4</v>
      </c>
      <c r="D54" s="31"/>
      <c r="E54" s="31"/>
      <c r="F54" s="30">
        <v>5</v>
      </c>
      <c r="G54" s="32">
        <v>20</v>
      </c>
      <c r="H54" s="32">
        <v>20</v>
      </c>
    </row>
    <row r="55" spans="1:8" x14ac:dyDescent="0.25">
      <c r="A55" s="29" t="s">
        <v>24</v>
      </c>
      <c r="B55" s="30">
        <v>65</v>
      </c>
      <c r="C55" s="30">
        <v>47</v>
      </c>
      <c r="D55" s="30">
        <v>1</v>
      </c>
      <c r="E55" s="30">
        <v>1</v>
      </c>
      <c r="F55" s="30">
        <v>114</v>
      </c>
      <c r="G55" s="32">
        <v>57.52</v>
      </c>
      <c r="H55" s="32">
        <v>57.02</v>
      </c>
    </row>
    <row r="56" spans="1:8" x14ac:dyDescent="0.25">
      <c r="A56" s="29" t="s">
        <v>25</v>
      </c>
      <c r="B56" s="30">
        <v>30</v>
      </c>
      <c r="C56" s="30">
        <v>1</v>
      </c>
      <c r="D56" s="31"/>
      <c r="E56" s="31"/>
      <c r="F56" s="30">
        <v>31</v>
      </c>
      <c r="G56" s="32">
        <v>96.77</v>
      </c>
      <c r="H56" s="32">
        <v>96.77</v>
      </c>
    </row>
    <row r="57" spans="1:8" x14ac:dyDescent="0.25">
      <c r="A57" s="29" t="s">
        <v>26</v>
      </c>
      <c r="B57" s="30">
        <v>176</v>
      </c>
      <c r="C57" s="30">
        <v>46</v>
      </c>
      <c r="D57" s="30">
        <v>4</v>
      </c>
      <c r="E57" s="31"/>
      <c r="F57" s="30">
        <v>226</v>
      </c>
      <c r="G57" s="32">
        <v>77.88</v>
      </c>
      <c r="H57" s="32">
        <v>77.88</v>
      </c>
    </row>
    <row r="58" spans="1:8" x14ac:dyDescent="0.25">
      <c r="A58" s="29" t="s">
        <v>132</v>
      </c>
      <c r="B58" s="30">
        <v>7</v>
      </c>
      <c r="C58" s="30">
        <v>8</v>
      </c>
      <c r="D58" s="31"/>
      <c r="E58" s="31"/>
      <c r="F58" s="30">
        <v>15</v>
      </c>
      <c r="G58" s="32">
        <v>46.67</v>
      </c>
      <c r="H58" s="32">
        <v>46.67</v>
      </c>
    </row>
    <row r="59" spans="1:8" x14ac:dyDescent="0.25">
      <c r="A59" s="29" t="s">
        <v>27</v>
      </c>
      <c r="B59" s="30">
        <v>202</v>
      </c>
      <c r="C59" s="30">
        <v>41</v>
      </c>
      <c r="D59" s="30">
        <v>3</v>
      </c>
      <c r="E59" s="31"/>
      <c r="F59" s="30">
        <v>246</v>
      </c>
      <c r="G59" s="32">
        <v>82.11</v>
      </c>
      <c r="H59" s="32">
        <v>82.11</v>
      </c>
    </row>
    <row r="60" spans="1:8" x14ac:dyDescent="0.25">
      <c r="A60" s="29" t="s">
        <v>28</v>
      </c>
      <c r="B60" s="30">
        <v>128</v>
      </c>
      <c r="C60" s="30">
        <v>46</v>
      </c>
      <c r="D60" s="30">
        <v>1</v>
      </c>
      <c r="E60" s="30">
        <v>3</v>
      </c>
      <c r="F60" s="30">
        <v>178</v>
      </c>
      <c r="G60" s="32">
        <v>73.14</v>
      </c>
      <c r="H60" s="32">
        <v>71.91</v>
      </c>
    </row>
    <row r="61" spans="1:8" x14ac:dyDescent="0.25">
      <c r="A61" s="29" t="s">
        <v>29</v>
      </c>
      <c r="B61" s="30">
        <v>157</v>
      </c>
      <c r="C61" s="30">
        <v>22</v>
      </c>
      <c r="D61" s="30">
        <v>1</v>
      </c>
      <c r="E61" s="30">
        <v>2</v>
      </c>
      <c r="F61" s="30">
        <v>182</v>
      </c>
      <c r="G61" s="32">
        <v>87.22</v>
      </c>
      <c r="H61" s="32">
        <v>86.26</v>
      </c>
    </row>
    <row r="62" spans="1:8" x14ac:dyDescent="0.25">
      <c r="A62" s="29" t="s">
        <v>121</v>
      </c>
      <c r="B62" s="30">
        <v>5</v>
      </c>
      <c r="C62" s="30">
        <v>3</v>
      </c>
      <c r="D62" s="31"/>
      <c r="E62" s="31"/>
      <c r="F62" s="30">
        <v>8</v>
      </c>
      <c r="G62" s="32">
        <v>62.5</v>
      </c>
      <c r="H62" s="32">
        <v>62.5</v>
      </c>
    </row>
    <row r="63" spans="1:8" x14ac:dyDescent="0.25">
      <c r="A63" s="29" t="s">
        <v>185</v>
      </c>
      <c r="B63" s="30">
        <v>55</v>
      </c>
      <c r="C63" s="30">
        <v>3</v>
      </c>
      <c r="D63" s="30">
        <v>1</v>
      </c>
      <c r="E63" s="30">
        <v>1</v>
      </c>
      <c r="F63" s="30">
        <v>60</v>
      </c>
      <c r="G63" s="32">
        <v>93.22</v>
      </c>
      <c r="H63" s="32">
        <v>91.67</v>
      </c>
    </row>
    <row r="64" spans="1:8" x14ac:dyDescent="0.25">
      <c r="A64" s="29" t="s">
        <v>30</v>
      </c>
      <c r="B64" s="30">
        <v>12</v>
      </c>
      <c r="C64" s="30">
        <v>10</v>
      </c>
      <c r="D64" s="30">
        <v>1</v>
      </c>
      <c r="E64" s="31"/>
      <c r="F64" s="30">
        <v>23</v>
      </c>
      <c r="G64" s="32">
        <v>52.17</v>
      </c>
      <c r="H64" s="32">
        <v>52.17</v>
      </c>
    </row>
    <row r="65" spans="1:8" x14ac:dyDescent="0.25">
      <c r="A65" s="29" t="s">
        <v>31</v>
      </c>
      <c r="B65" s="30">
        <v>12</v>
      </c>
      <c r="C65" s="30">
        <v>1</v>
      </c>
      <c r="D65" s="31"/>
      <c r="E65" s="31"/>
      <c r="F65" s="30">
        <v>13</v>
      </c>
      <c r="G65" s="32">
        <v>92.31</v>
      </c>
      <c r="H65" s="32">
        <v>92.31</v>
      </c>
    </row>
    <row r="66" spans="1:8" x14ac:dyDescent="0.25">
      <c r="A66" s="29" t="s">
        <v>32</v>
      </c>
      <c r="B66" s="30">
        <v>6</v>
      </c>
      <c r="C66" s="30">
        <v>1</v>
      </c>
      <c r="D66" s="31"/>
      <c r="E66" s="31"/>
      <c r="F66" s="30">
        <v>7</v>
      </c>
      <c r="G66" s="32">
        <v>85.71</v>
      </c>
      <c r="H66" s="32">
        <v>85.71</v>
      </c>
    </row>
    <row r="67" spans="1:8" x14ac:dyDescent="0.25">
      <c r="A67" s="29" t="s">
        <v>33</v>
      </c>
      <c r="B67" s="30">
        <v>10</v>
      </c>
      <c r="C67" s="30">
        <v>5</v>
      </c>
      <c r="D67" s="31"/>
      <c r="E67" s="31"/>
      <c r="F67" s="30">
        <v>15</v>
      </c>
      <c r="G67" s="32">
        <v>66.67</v>
      </c>
      <c r="H67" s="32">
        <v>66.67</v>
      </c>
    </row>
    <row r="68" spans="1:8" x14ac:dyDescent="0.25">
      <c r="A68" s="29" t="s">
        <v>34</v>
      </c>
      <c r="B68" s="30">
        <v>40</v>
      </c>
      <c r="C68" s="30">
        <v>11</v>
      </c>
      <c r="D68" s="31"/>
      <c r="E68" s="31"/>
      <c r="F68" s="30">
        <v>51</v>
      </c>
      <c r="G68" s="32">
        <v>78.430000000000007</v>
      </c>
      <c r="H68" s="32">
        <v>78.430000000000007</v>
      </c>
    </row>
    <row r="69" spans="1:8" x14ac:dyDescent="0.25">
      <c r="A69" s="29" t="s">
        <v>35</v>
      </c>
      <c r="B69" s="30">
        <v>50</v>
      </c>
      <c r="C69" s="30">
        <v>33</v>
      </c>
      <c r="D69" s="31"/>
      <c r="E69" s="31"/>
      <c r="F69" s="30">
        <v>83</v>
      </c>
      <c r="G69" s="32">
        <v>60.24</v>
      </c>
      <c r="H69" s="32">
        <v>60.24</v>
      </c>
    </row>
    <row r="70" spans="1:8" x14ac:dyDescent="0.25">
      <c r="A70" s="29" t="s">
        <v>36</v>
      </c>
      <c r="B70" s="30">
        <v>2</v>
      </c>
      <c r="C70" s="31"/>
      <c r="D70" s="31"/>
      <c r="E70" s="31"/>
      <c r="F70" s="30">
        <v>2</v>
      </c>
      <c r="G70" s="32">
        <v>100</v>
      </c>
      <c r="H70" s="32">
        <v>100</v>
      </c>
    </row>
    <row r="71" spans="1:8" x14ac:dyDescent="0.25">
      <c r="A71" s="29" t="s">
        <v>37</v>
      </c>
      <c r="B71" s="30">
        <v>29</v>
      </c>
      <c r="C71" s="30">
        <v>8</v>
      </c>
      <c r="D71" s="31"/>
      <c r="E71" s="31"/>
      <c r="F71" s="30">
        <v>37</v>
      </c>
      <c r="G71" s="32">
        <v>78.38</v>
      </c>
      <c r="H71" s="32">
        <v>78.38</v>
      </c>
    </row>
    <row r="72" spans="1:8" x14ac:dyDescent="0.25">
      <c r="A72" s="29" t="s">
        <v>38</v>
      </c>
      <c r="B72" s="30">
        <v>21</v>
      </c>
      <c r="C72" s="30">
        <v>5</v>
      </c>
      <c r="D72" s="30">
        <v>1</v>
      </c>
      <c r="E72" s="31"/>
      <c r="F72" s="30">
        <v>27</v>
      </c>
      <c r="G72" s="32">
        <v>77.78</v>
      </c>
      <c r="H72" s="32">
        <v>77.78</v>
      </c>
    </row>
    <row r="73" spans="1:8" x14ac:dyDescent="0.25">
      <c r="A73" s="29" t="s">
        <v>39</v>
      </c>
      <c r="B73" s="30">
        <v>2</v>
      </c>
      <c r="C73" s="30">
        <v>5</v>
      </c>
      <c r="D73" s="31"/>
      <c r="E73" s="31"/>
      <c r="F73" s="30">
        <v>7</v>
      </c>
      <c r="G73" s="32">
        <v>28.57</v>
      </c>
      <c r="H73" s="32">
        <v>28.57</v>
      </c>
    </row>
    <row r="74" spans="1:8" x14ac:dyDescent="0.25">
      <c r="A74" s="29" t="s">
        <v>40</v>
      </c>
      <c r="B74" s="30">
        <v>27</v>
      </c>
      <c r="C74" s="30">
        <v>9</v>
      </c>
      <c r="D74" s="31"/>
      <c r="E74" s="31"/>
      <c r="F74" s="30">
        <v>36</v>
      </c>
      <c r="G74" s="32">
        <v>75</v>
      </c>
      <c r="H74" s="32">
        <v>75</v>
      </c>
    </row>
    <row r="75" spans="1:8" ht="22.5" x14ac:dyDescent="0.25">
      <c r="A75" s="29" t="s">
        <v>41</v>
      </c>
      <c r="B75" s="30">
        <v>0</v>
      </c>
      <c r="C75" s="30">
        <v>1</v>
      </c>
      <c r="D75" s="31"/>
      <c r="E75" s="31"/>
      <c r="F75" s="30">
        <v>1</v>
      </c>
      <c r="G75" s="31"/>
      <c r="H75" s="32">
        <v>0</v>
      </c>
    </row>
    <row r="76" spans="1:8" ht="22.5" x14ac:dyDescent="0.25">
      <c r="A76" s="29" t="s">
        <v>42</v>
      </c>
      <c r="B76" s="30">
        <v>2</v>
      </c>
      <c r="C76" s="30">
        <v>5</v>
      </c>
      <c r="D76" s="31"/>
      <c r="E76" s="30">
        <v>1</v>
      </c>
      <c r="F76" s="30">
        <v>8</v>
      </c>
      <c r="G76" s="32">
        <v>28.57</v>
      </c>
      <c r="H76" s="32">
        <v>25</v>
      </c>
    </row>
    <row r="77" spans="1:8" ht="22.5" x14ac:dyDescent="0.25">
      <c r="A77" s="29" t="s">
        <v>43</v>
      </c>
      <c r="B77" s="30">
        <v>10</v>
      </c>
      <c r="C77" s="30">
        <v>5</v>
      </c>
      <c r="D77" s="31"/>
      <c r="E77" s="30">
        <v>1</v>
      </c>
      <c r="F77" s="30">
        <v>16</v>
      </c>
      <c r="G77" s="32">
        <v>66.67</v>
      </c>
      <c r="H77" s="32">
        <v>62.5</v>
      </c>
    </row>
    <row r="78" spans="1:8" ht="22.5" x14ac:dyDescent="0.25">
      <c r="A78" s="29" t="s">
        <v>44</v>
      </c>
      <c r="B78" s="30">
        <v>10</v>
      </c>
      <c r="C78" s="30">
        <v>6</v>
      </c>
      <c r="D78" s="31"/>
      <c r="E78" s="31"/>
      <c r="F78" s="30">
        <v>16</v>
      </c>
      <c r="G78" s="32">
        <v>62.5</v>
      </c>
      <c r="H78" s="32">
        <v>62.5</v>
      </c>
    </row>
    <row r="79" spans="1:8" x14ac:dyDescent="0.25">
      <c r="A79" s="29" t="s">
        <v>45</v>
      </c>
      <c r="B79" s="30">
        <v>9</v>
      </c>
      <c r="C79" s="31"/>
      <c r="D79" s="31"/>
      <c r="E79" s="31"/>
      <c r="F79" s="30">
        <v>9</v>
      </c>
      <c r="G79" s="32">
        <v>100</v>
      </c>
      <c r="H79" s="32">
        <v>100</v>
      </c>
    </row>
    <row r="80" spans="1:8" x14ac:dyDescent="0.25">
      <c r="A80" s="29" t="s">
        <v>204</v>
      </c>
      <c r="B80" s="30">
        <v>1</v>
      </c>
      <c r="C80" s="30">
        <v>1</v>
      </c>
      <c r="D80" s="31"/>
      <c r="E80" s="30">
        <v>1</v>
      </c>
      <c r="F80" s="30">
        <v>3</v>
      </c>
      <c r="G80" s="32">
        <v>50</v>
      </c>
      <c r="H80" s="32">
        <v>33.33</v>
      </c>
    </row>
    <row r="81" spans="1:8" x14ac:dyDescent="0.25">
      <c r="A81" s="29" t="s">
        <v>205</v>
      </c>
      <c r="B81" s="30">
        <v>1</v>
      </c>
      <c r="C81" s="31"/>
      <c r="D81" s="31"/>
      <c r="E81" s="31"/>
      <c r="F81" s="30">
        <v>1</v>
      </c>
      <c r="G81" s="32">
        <v>100</v>
      </c>
      <c r="H81" s="32">
        <v>100</v>
      </c>
    </row>
    <row r="82" spans="1:8" ht="22.5" x14ac:dyDescent="0.25">
      <c r="A82" s="29" t="s">
        <v>206</v>
      </c>
      <c r="B82" s="30">
        <v>1</v>
      </c>
      <c r="C82" s="31"/>
      <c r="D82" s="31"/>
      <c r="E82" s="31"/>
      <c r="F82" s="30">
        <v>1</v>
      </c>
      <c r="G82" s="32">
        <v>100</v>
      </c>
      <c r="H82" s="32">
        <v>100</v>
      </c>
    </row>
    <row r="83" spans="1:8" x14ac:dyDescent="0.25">
      <c r="A83" s="29" t="s">
        <v>133</v>
      </c>
      <c r="B83" s="30">
        <v>5</v>
      </c>
      <c r="C83" s="30">
        <v>9</v>
      </c>
      <c r="D83" s="31"/>
      <c r="E83" s="31"/>
      <c r="F83" s="30">
        <v>14</v>
      </c>
      <c r="G83" s="32">
        <v>35.71</v>
      </c>
      <c r="H83" s="32">
        <v>35.71</v>
      </c>
    </row>
    <row r="84" spans="1:8" x14ac:dyDescent="0.25">
      <c r="A84" s="29" t="s">
        <v>46</v>
      </c>
      <c r="B84" s="30">
        <v>1</v>
      </c>
      <c r="C84" s="31"/>
      <c r="D84" s="30">
        <v>1</v>
      </c>
      <c r="E84" s="31"/>
      <c r="F84" s="30">
        <v>2</v>
      </c>
      <c r="G84" s="32">
        <v>50</v>
      </c>
      <c r="H84" s="32">
        <v>50</v>
      </c>
    </row>
    <row r="85" spans="1:8" x14ac:dyDescent="0.25">
      <c r="A85" s="29" t="s">
        <v>47</v>
      </c>
      <c r="B85" s="30">
        <v>92</v>
      </c>
      <c r="C85" s="30">
        <v>60</v>
      </c>
      <c r="D85" s="30">
        <v>3</v>
      </c>
      <c r="E85" s="31"/>
      <c r="F85" s="30">
        <v>155</v>
      </c>
      <c r="G85" s="32">
        <v>59.35</v>
      </c>
      <c r="H85" s="32">
        <v>59.35</v>
      </c>
    </row>
    <row r="86" spans="1:8" x14ac:dyDescent="0.25">
      <c r="A86" s="29" t="s">
        <v>48</v>
      </c>
      <c r="B86" s="30">
        <v>10</v>
      </c>
      <c r="C86" s="30">
        <v>1</v>
      </c>
      <c r="D86" s="31"/>
      <c r="E86" s="31"/>
      <c r="F86" s="30">
        <v>11</v>
      </c>
      <c r="G86" s="32">
        <v>90.91</v>
      </c>
      <c r="H86" s="32">
        <v>90.91</v>
      </c>
    </row>
    <row r="87" spans="1:8" x14ac:dyDescent="0.25">
      <c r="A87" s="29" t="s">
        <v>49</v>
      </c>
      <c r="B87" s="30">
        <v>27</v>
      </c>
      <c r="C87" s="30">
        <v>7</v>
      </c>
      <c r="D87" s="31"/>
      <c r="E87" s="31"/>
      <c r="F87" s="30">
        <v>34</v>
      </c>
      <c r="G87" s="32">
        <v>79.41</v>
      </c>
      <c r="H87" s="32">
        <v>79.41</v>
      </c>
    </row>
    <row r="88" spans="1:8" x14ac:dyDescent="0.25">
      <c r="A88" s="29" t="s">
        <v>50</v>
      </c>
      <c r="B88" s="30">
        <v>1</v>
      </c>
      <c r="C88" s="31"/>
      <c r="D88" s="31"/>
      <c r="E88" s="31"/>
      <c r="F88" s="30">
        <v>1</v>
      </c>
      <c r="G88" s="32">
        <v>100</v>
      </c>
      <c r="H88" s="32">
        <v>100</v>
      </c>
    </row>
    <row r="89" spans="1:8" x14ac:dyDescent="0.25">
      <c r="A89" s="29" t="s">
        <v>51</v>
      </c>
      <c r="B89" s="30">
        <v>7</v>
      </c>
      <c r="C89" s="30">
        <v>7</v>
      </c>
      <c r="D89" s="30">
        <v>2</v>
      </c>
      <c r="E89" s="31"/>
      <c r="F89" s="30">
        <v>16</v>
      </c>
      <c r="G89" s="32">
        <v>43.75</v>
      </c>
      <c r="H89" s="32">
        <v>43.75</v>
      </c>
    </row>
    <row r="90" spans="1:8" x14ac:dyDescent="0.25">
      <c r="A90" s="29" t="s">
        <v>52</v>
      </c>
      <c r="B90" s="30">
        <v>5</v>
      </c>
      <c r="C90" s="30">
        <v>3</v>
      </c>
      <c r="D90" s="31"/>
      <c r="E90" s="30">
        <v>1</v>
      </c>
      <c r="F90" s="30">
        <v>9</v>
      </c>
      <c r="G90" s="32">
        <v>62.5</v>
      </c>
      <c r="H90" s="32">
        <v>55.56</v>
      </c>
    </row>
    <row r="91" spans="1:8" x14ac:dyDescent="0.25">
      <c r="A91" s="29" t="s">
        <v>53</v>
      </c>
      <c r="B91" s="30">
        <v>33</v>
      </c>
      <c r="C91" s="30">
        <v>3</v>
      </c>
      <c r="D91" s="31"/>
      <c r="E91" s="30">
        <v>2</v>
      </c>
      <c r="F91" s="30">
        <v>38</v>
      </c>
      <c r="G91" s="32">
        <v>91.67</v>
      </c>
      <c r="H91" s="32">
        <v>86.84</v>
      </c>
    </row>
    <row r="92" spans="1:8" x14ac:dyDescent="0.25">
      <c r="A92" s="29" t="s">
        <v>54</v>
      </c>
      <c r="B92" s="30">
        <v>4</v>
      </c>
      <c r="C92" s="30">
        <v>6</v>
      </c>
      <c r="D92" s="31"/>
      <c r="E92" s="31"/>
      <c r="F92" s="30">
        <v>10</v>
      </c>
      <c r="G92" s="32">
        <v>40</v>
      </c>
      <c r="H92" s="32">
        <v>40</v>
      </c>
    </row>
    <row r="93" spans="1:8" x14ac:dyDescent="0.25">
      <c r="A93" s="29" t="s">
        <v>55</v>
      </c>
      <c r="B93" s="30">
        <v>99</v>
      </c>
      <c r="C93" s="30">
        <v>23</v>
      </c>
      <c r="D93" s="30">
        <v>1</v>
      </c>
      <c r="E93" s="30">
        <v>1</v>
      </c>
      <c r="F93" s="30">
        <v>124</v>
      </c>
      <c r="G93" s="32">
        <v>80.489999999999995</v>
      </c>
      <c r="H93" s="32">
        <v>79.84</v>
      </c>
    </row>
    <row r="94" spans="1:8" x14ac:dyDescent="0.25">
      <c r="A94" s="29" t="s">
        <v>122</v>
      </c>
      <c r="B94" s="30">
        <v>32</v>
      </c>
      <c r="C94" s="30">
        <v>3</v>
      </c>
      <c r="D94" s="30">
        <v>1</v>
      </c>
      <c r="E94" s="31"/>
      <c r="F94" s="30">
        <v>36</v>
      </c>
      <c r="G94" s="32">
        <v>88.89</v>
      </c>
      <c r="H94" s="32">
        <v>88.89</v>
      </c>
    </row>
    <row r="95" spans="1:8" x14ac:dyDescent="0.25">
      <c r="A95" s="29" t="s">
        <v>123</v>
      </c>
      <c r="B95" s="30">
        <v>15</v>
      </c>
      <c r="C95" s="30">
        <v>6</v>
      </c>
      <c r="D95" s="31"/>
      <c r="E95" s="31"/>
      <c r="F95" s="30">
        <v>21</v>
      </c>
      <c r="G95" s="32">
        <v>71.430000000000007</v>
      </c>
      <c r="H95" s="32">
        <v>71.430000000000007</v>
      </c>
    </row>
    <row r="96" spans="1:8" x14ac:dyDescent="0.25">
      <c r="A96" s="29" t="s">
        <v>56</v>
      </c>
      <c r="B96" s="30">
        <v>118</v>
      </c>
      <c r="C96" s="30">
        <v>36</v>
      </c>
      <c r="D96" s="30">
        <v>1</v>
      </c>
      <c r="E96" s="30">
        <v>2</v>
      </c>
      <c r="F96" s="30">
        <v>157</v>
      </c>
      <c r="G96" s="32">
        <v>76.13</v>
      </c>
      <c r="H96" s="32">
        <v>75.16</v>
      </c>
    </row>
    <row r="97" spans="1:8" x14ac:dyDescent="0.25">
      <c r="A97" s="29" t="s">
        <v>57</v>
      </c>
      <c r="B97" s="30">
        <v>95</v>
      </c>
      <c r="C97" s="30">
        <v>42</v>
      </c>
      <c r="D97" s="30">
        <v>2</v>
      </c>
      <c r="E97" s="30">
        <v>5</v>
      </c>
      <c r="F97" s="30">
        <v>144</v>
      </c>
      <c r="G97" s="32">
        <v>68.349999999999994</v>
      </c>
      <c r="H97" s="32">
        <v>65.97</v>
      </c>
    </row>
    <row r="98" spans="1:8" x14ac:dyDescent="0.25">
      <c r="A98" s="29" t="s">
        <v>58</v>
      </c>
      <c r="B98" s="30">
        <v>6</v>
      </c>
      <c r="C98" s="30">
        <v>2</v>
      </c>
      <c r="D98" s="31"/>
      <c r="E98" s="31"/>
      <c r="F98" s="30">
        <v>8</v>
      </c>
      <c r="G98" s="32">
        <v>75</v>
      </c>
      <c r="H98" s="32">
        <v>75</v>
      </c>
    </row>
    <row r="99" spans="1:8" ht="22.5" x14ac:dyDescent="0.25">
      <c r="A99" s="29" t="s">
        <v>59</v>
      </c>
      <c r="B99" s="30">
        <v>45</v>
      </c>
      <c r="C99" s="30">
        <v>13</v>
      </c>
      <c r="D99" s="31"/>
      <c r="E99" s="30">
        <v>1</v>
      </c>
      <c r="F99" s="30">
        <v>59</v>
      </c>
      <c r="G99" s="32">
        <v>77.59</v>
      </c>
      <c r="H99" s="32">
        <v>76.27</v>
      </c>
    </row>
    <row r="100" spans="1:8" x14ac:dyDescent="0.25">
      <c r="A100" s="29" t="s">
        <v>60</v>
      </c>
      <c r="B100" s="30">
        <v>16</v>
      </c>
      <c r="C100" s="30">
        <v>2</v>
      </c>
      <c r="D100" s="31"/>
      <c r="E100" s="31"/>
      <c r="F100" s="30">
        <v>18</v>
      </c>
      <c r="G100" s="32">
        <v>88.89</v>
      </c>
      <c r="H100" s="32">
        <v>88.89</v>
      </c>
    </row>
    <row r="101" spans="1:8" x14ac:dyDescent="0.25">
      <c r="A101" s="29" t="s">
        <v>61</v>
      </c>
      <c r="B101" s="30">
        <v>38</v>
      </c>
      <c r="C101" s="30">
        <v>21</v>
      </c>
      <c r="D101" s="31"/>
      <c r="E101" s="30">
        <v>1</v>
      </c>
      <c r="F101" s="30">
        <v>60</v>
      </c>
      <c r="G101" s="32">
        <v>64.41</v>
      </c>
      <c r="H101" s="32">
        <v>63.33</v>
      </c>
    </row>
    <row r="102" spans="1:8" x14ac:dyDescent="0.25">
      <c r="A102" s="29" t="s">
        <v>62</v>
      </c>
      <c r="B102" s="30">
        <v>54</v>
      </c>
      <c r="C102" s="30">
        <v>22</v>
      </c>
      <c r="D102" s="30">
        <v>1</v>
      </c>
      <c r="E102" s="31"/>
      <c r="F102" s="30">
        <v>77</v>
      </c>
      <c r="G102" s="32">
        <v>70.13</v>
      </c>
      <c r="H102" s="32">
        <v>70.13</v>
      </c>
    </row>
    <row r="103" spans="1:8" x14ac:dyDescent="0.25">
      <c r="A103" s="29" t="s">
        <v>63</v>
      </c>
      <c r="B103" s="30">
        <v>43</v>
      </c>
      <c r="C103" s="30">
        <v>8</v>
      </c>
      <c r="D103" s="30">
        <v>2</v>
      </c>
      <c r="E103" s="31"/>
      <c r="F103" s="30">
        <v>53</v>
      </c>
      <c r="G103" s="32">
        <v>81.13</v>
      </c>
      <c r="H103" s="32">
        <v>81.13</v>
      </c>
    </row>
    <row r="104" spans="1:8" x14ac:dyDescent="0.25">
      <c r="A104" s="29" t="s">
        <v>64</v>
      </c>
      <c r="B104" s="30">
        <v>40</v>
      </c>
      <c r="C104" s="30">
        <v>24</v>
      </c>
      <c r="D104" s="30">
        <v>1</v>
      </c>
      <c r="E104" s="31"/>
      <c r="F104" s="30">
        <v>65</v>
      </c>
      <c r="G104" s="32">
        <v>61.54</v>
      </c>
      <c r="H104" s="32">
        <v>61.54</v>
      </c>
    </row>
    <row r="105" spans="1:8" x14ac:dyDescent="0.25">
      <c r="A105" s="29" t="s">
        <v>65</v>
      </c>
      <c r="B105" s="30">
        <v>47</v>
      </c>
      <c r="C105" s="30">
        <v>11</v>
      </c>
      <c r="D105" s="30">
        <v>2</v>
      </c>
      <c r="E105" s="31"/>
      <c r="F105" s="30">
        <v>60</v>
      </c>
      <c r="G105" s="32">
        <v>78.33</v>
      </c>
      <c r="H105" s="32">
        <v>78.33</v>
      </c>
    </row>
    <row r="106" spans="1:8" x14ac:dyDescent="0.25">
      <c r="A106" s="29" t="s">
        <v>66</v>
      </c>
      <c r="B106" s="30">
        <v>110</v>
      </c>
      <c r="C106" s="30">
        <v>45</v>
      </c>
      <c r="D106" s="30">
        <v>1</v>
      </c>
      <c r="E106" s="30">
        <v>3</v>
      </c>
      <c r="F106" s="30">
        <v>159</v>
      </c>
      <c r="G106" s="32">
        <v>70.510000000000005</v>
      </c>
      <c r="H106" s="32">
        <v>69.180000000000007</v>
      </c>
    </row>
    <row r="107" spans="1:8" x14ac:dyDescent="0.25">
      <c r="A107" s="29" t="s">
        <v>67</v>
      </c>
      <c r="B107" s="30">
        <v>19</v>
      </c>
      <c r="C107" s="30">
        <v>8</v>
      </c>
      <c r="D107" s="31"/>
      <c r="E107" s="31"/>
      <c r="F107" s="30">
        <v>27</v>
      </c>
      <c r="G107" s="32">
        <v>70.37</v>
      </c>
      <c r="H107" s="32">
        <v>70.37</v>
      </c>
    </row>
    <row r="108" spans="1:8" x14ac:dyDescent="0.25">
      <c r="A108" s="29" t="s">
        <v>68</v>
      </c>
      <c r="B108" s="30">
        <v>49</v>
      </c>
      <c r="C108" s="30">
        <v>11</v>
      </c>
      <c r="D108" s="31"/>
      <c r="E108" s="31"/>
      <c r="F108" s="30">
        <v>60</v>
      </c>
      <c r="G108" s="32">
        <v>81.67</v>
      </c>
      <c r="H108" s="32">
        <v>81.67</v>
      </c>
    </row>
    <row r="109" spans="1:8" x14ac:dyDescent="0.25">
      <c r="A109" s="29" t="s">
        <v>69</v>
      </c>
      <c r="B109" s="30">
        <v>105</v>
      </c>
      <c r="C109" s="30">
        <v>26</v>
      </c>
      <c r="D109" s="30">
        <v>1</v>
      </c>
      <c r="E109" s="31"/>
      <c r="F109" s="30">
        <v>132</v>
      </c>
      <c r="G109" s="32">
        <v>79.55</v>
      </c>
      <c r="H109" s="32">
        <v>79.55</v>
      </c>
    </row>
    <row r="110" spans="1:8" x14ac:dyDescent="0.25">
      <c r="A110" s="29" t="s">
        <v>70</v>
      </c>
      <c r="B110" s="30">
        <v>90</v>
      </c>
      <c r="C110" s="30">
        <v>29</v>
      </c>
      <c r="D110" s="31"/>
      <c r="E110" s="31"/>
      <c r="F110" s="30">
        <v>119</v>
      </c>
      <c r="G110" s="32">
        <v>75.63</v>
      </c>
      <c r="H110" s="32">
        <v>75.63</v>
      </c>
    </row>
    <row r="111" spans="1:8" x14ac:dyDescent="0.25">
      <c r="A111" s="29" t="s">
        <v>71</v>
      </c>
      <c r="B111" s="30">
        <v>51</v>
      </c>
      <c r="C111" s="30">
        <v>17</v>
      </c>
      <c r="D111" s="31"/>
      <c r="E111" s="31"/>
      <c r="F111" s="30">
        <v>68</v>
      </c>
      <c r="G111" s="32">
        <v>75</v>
      </c>
      <c r="H111" s="32">
        <v>75</v>
      </c>
    </row>
    <row r="112" spans="1:8" x14ac:dyDescent="0.25">
      <c r="A112" s="29" t="s">
        <v>72</v>
      </c>
      <c r="B112" s="30">
        <v>89</v>
      </c>
      <c r="C112" s="30">
        <v>14</v>
      </c>
      <c r="D112" s="31"/>
      <c r="E112" s="30">
        <v>3</v>
      </c>
      <c r="F112" s="30">
        <v>106</v>
      </c>
      <c r="G112" s="32">
        <v>86.41</v>
      </c>
      <c r="H112" s="32">
        <v>83.96</v>
      </c>
    </row>
    <row r="113" spans="1:8" x14ac:dyDescent="0.25">
      <c r="A113" s="29" t="s">
        <v>73</v>
      </c>
      <c r="B113" s="30">
        <v>38</v>
      </c>
      <c r="C113" s="30">
        <v>9</v>
      </c>
      <c r="D113" s="30">
        <v>1</v>
      </c>
      <c r="E113" s="30">
        <v>1</v>
      </c>
      <c r="F113" s="30">
        <v>49</v>
      </c>
      <c r="G113" s="32">
        <v>79.17</v>
      </c>
      <c r="H113" s="32">
        <v>77.55</v>
      </c>
    </row>
    <row r="114" spans="1:8" x14ac:dyDescent="0.25">
      <c r="A114" s="29" t="s">
        <v>74</v>
      </c>
      <c r="B114" s="30">
        <v>37</v>
      </c>
      <c r="C114" s="30">
        <v>5</v>
      </c>
      <c r="D114" s="31"/>
      <c r="E114" s="30">
        <v>1</v>
      </c>
      <c r="F114" s="30">
        <v>43</v>
      </c>
      <c r="G114" s="32">
        <v>88.1</v>
      </c>
      <c r="H114" s="32">
        <v>86.05</v>
      </c>
    </row>
    <row r="115" spans="1:8" ht="22.5" x14ac:dyDescent="0.25">
      <c r="A115" s="29" t="s">
        <v>75</v>
      </c>
      <c r="B115" s="30">
        <v>24</v>
      </c>
      <c r="C115" s="30">
        <v>18</v>
      </c>
      <c r="D115" s="31"/>
      <c r="E115" s="30">
        <v>4</v>
      </c>
      <c r="F115" s="30">
        <v>46</v>
      </c>
      <c r="G115" s="32">
        <v>57.14</v>
      </c>
      <c r="H115" s="32">
        <v>52.17</v>
      </c>
    </row>
    <row r="116" spans="1:8" ht="22.5" x14ac:dyDescent="0.25">
      <c r="A116" s="29" t="s">
        <v>76</v>
      </c>
      <c r="B116" s="30">
        <v>2</v>
      </c>
      <c r="C116" s="31"/>
      <c r="D116" s="31"/>
      <c r="E116" s="31"/>
      <c r="F116" s="30">
        <v>2</v>
      </c>
      <c r="G116" s="32">
        <v>100</v>
      </c>
      <c r="H116" s="32">
        <v>100</v>
      </c>
    </row>
    <row r="117" spans="1:8" x14ac:dyDescent="0.25">
      <c r="A117" s="29" t="s">
        <v>77</v>
      </c>
      <c r="B117" s="30">
        <v>44</v>
      </c>
      <c r="C117" s="30">
        <v>4</v>
      </c>
      <c r="D117" s="31"/>
      <c r="E117" s="31"/>
      <c r="F117" s="30">
        <v>48</v>
      </c>
      <c r="G117" s="32">
        <v>91.67</v>
      </c>
      <c r="H117" s="32">
        <v>91.67</v>
      </c>
    </row>
    <row r="118" spans="1:8" x14ac:dyDescent="0.25">
      <c r="A118" s="29" t="s">
        <v>78</v>
      </c>
      <c r="B118" s="30">
        <v>23</v>
      </c>
      <c r="C118" s="30">
        <v>11</v>
      </c>
      <c r="D118" s="30">
        <v>1</v>
      </c>
      <c r="E118" s="31"/>
      <c r="F118" s="30">
        <v>35</v>
      </c>
      <c r="G118" s="32">
        <v>65.709999999999994</v>
      </c>
      <c r="H118" s="32">
        <v>65.709999999999994</v>
      </c>
    </row>
    <row r="119" spans="1:8" x14ac:dyDescent="0.25">
      <c r="A119" s="29" t="s">
        <v>79</v>
      </c>
      <c r="B119" s="30">
        <v>15</v>
      </c>
      <c r="C119" s="30">
        <v>3</v>
      </c>
      <c r="D119" s="31"/>
      <c r="E119" s="31"/>
      <c r="F119" s="30">
        <v>18</v>
      </c>
      <c r="G119" s="32">
        <v>83.33</v>
      </c>
      <c r="H119" s="32">
        <v>83.33</v>
      </c>
    </row>
    <row r="120" spans="1:8" x14ac:dyDescent="0.25">
      <c r="A120" s="29" t="s">
        <v>80</v>
      </c>
      <c r="B120" s="30">
        <v>31</v>
      </c>
      <c r="C120" s="30">
        <v>5</v>
      </c>
      <c r="D120" s="31"/>
      <c r="E120" s="31"/>
      <c r="F120" s="30">
        <v>36</v>
      </c>
      <c r="G120" s="32">
        <v>86.11</v>
      </c>
      <c r="H120" s="32">
        <v>86.11</v>
      </c>
    </row>
    <row r="121" spans="1:8" x14ac:dyDescent="0.25">
      <c r="A121" s="29" t="s">
        <v>81</v>
      </c>
      <c r="B121" s="30">
        <v>9</v>
      </c>
      <c r="C121" s="30">
        <v>1</v>
      </c>
      <c r="D121" s="31"/>
      <c r="E121" s="31"/>
      <c r="F121" s="30">
        <v>10</v>
      </c>
      <c r="G121" s="32">
        <v>90</v>
      </c>
      <c r="H121" s="32">
        <v>90</v>
      </c>
    </row>
    <row r="122" spans="1:8" x14ac:dyDescent="0.25">
      <c r="A122" s="29" t="s">
        <v>134</v>
      </c>
      <c r="B122" s="30">
        <v>25</v>
      </c>
      <c r="C122" s="31"/>
      <c r="D122" s="31"/>
      <c r="E122" s="31"/>
      <c r="F122" s="30">
        <v>25</v>
      </c>
      <c r="G122" s="32">
        <v>100</v>
      </c>
      <c r="H122" s="32">
        <v>100</v>
      </c>
    </row>
    <row r="123" spans="1:8" x14ac:dyDescent="0.25">
      <c r="A123" s="29" t="s">
        <v>135</v>
      </c>
      <c r="B123" s="30">
        <v>1</v>
      </c>
      <c r="C123" s="30">
        <v>1</v>
      </c>
      <c r="D123" s="31"/>
      <c r="E123" s="31"/>
      <c r="F123" s="30">
        <v>2</v>
      </c>
      <c r="G123" s="32">
        <v>50</v>
      </c>
      <c r="H123" s="32">
        <v>50</v>
      </c>
    </row>
    <row r="124" spans="1:8" x14ac:dyDescent="0.25">
      <c r="A124" s="29" t="s">
        <v>136</v>
      </c>
      <c r="B124" s="30">
        <v>7</v>
      </c>
      <c r="C124" s="30">
        <v>1</v>
      </c>
      <c r="D124" s="31"/>
      <c r="E124" s="31"/>
      <c r="F124" s="30">
        <v>8</v>
      </c>
      <c r="G124" s="32">
        <v>87.5</v>
      </c>
      <c r="H124" s="32">
        <v>87.5</v>
      </c>
    </row>
    <row r="125" spans="1:8" x14ac:dyDescent="0.25">
      <c r="A125" s="29" t="s">
        <v>82</v>
      </c>
      <c r="B125" s="30">
        <v>35</v>
      </c>
      <c r="C125" s="30">
        <v>12</v>
      </c>
      <c r="D125" s="31"/>
      <c r="E125" s="31"/>
      <c r="F125" s="30">
        <v>47</v>
      </c>
      <c r="G125" s="32">
        <v>74.47</v>
      </c>
      <c r="H125" s="32">
        <v>74.47</v>
      </c>
    </row>
    <row r="126" spans="1:8" x14ac:dyDescent="0.25">
      <c r="A126" s="29" t="s">
        <v>83</v>
      </c>
      <c r="B126" s="30">
        <v>21</v>
      </c>
      <c r="C126" s="30">
        <v>7</v>
      </c>
      <c r="D126" s="30">
        <v>1</v>
      </c>
      <c r="E126" s="31"/>
      <c r="F126" s="30">
        <v>29</v>
      </c>
      <c r="G126" s="32">
        <v>72.41</v>
      </c>
      <c r="H126" s="32">
        <v>72.41</v>
      </c>
    </row>
    <row r="127" spans="1:8" x14ac:dyDescent="0.25">
      <c r="A127" s="29" t="s">
        <v>84</v>
      </c>
      <c r="B127" s="30">
        <v>3</v>
      </c>
      <c r="C127" s="30">
        <v>3</v>
      </c>
      <c r="D127" s="31"/>
      <c r="E127" s="30">
        <v>1</v>
      </c>
      <c r="F127" s="30">
        <v>7</v>
      </c>
      <c r="G127" s="32">
        <v>50</v>
      </c>
      <c r="H127" s="32">
        <v>42.86</v>
      </c>
    </row>
    <row r="128" spans="1:8" x14ac:dyDescent="0.25">
      <c r="A128" s="29" t="s">
        <v>85</v>
      </c>
      <c r="B128" s="30">
        <v>0</v>
      </c>
      <c r="C128" s="30">
        <v>1</v>
      </c>
      <c r="D128" s="31"/>
      <c r="E128" s="31"/>
      <c r="F128" s="30">
        <v>1</v>
      </c>
      <c r="G128" s="31"/>
      <c r="H128" s="32">
        <v>0</v>
      </c>
    </row>
    <row r="129" spans="1:8" x14ac:dyDescent="0.25">
      <c r="A129" s="29" t="s">
        <v>86</v>
      </c>
      <c r="B129" s="30">
        <v>49</v>
      </c>
      <c r="C129" s="30">
        <v>20</v>
      </c>
      <c r="D129" s="30">
        <v>3</v>
      </c>
      <c r="E129" s="31"/>
      <c r="F129" s="30">
        <v>72</v>
      </c>
      <c r="G129" s="32">
        <v>68.06</v>
      </c>
      <c r="H129" s="32">
        <v>68.06</v>
      </c>
    </row>
    <row r="130" spans="1:8" x14ac:dyDescent="0.25">
      <c r="A130" s="29" t="s">
        <v>87</v>
      </c>
      <c r="B130" s="30">
        <v>10</v>
      </c>
      <c r="C130" s="30">
        <v>3</v>
      </c>
      <c r="D130" s="31"/>
      <c r="E130" s="31"/>
      <c r="F130" s="30">
        <v>13</v>
      </c>
      <c r="G130" s="32">
        <v>76.92</v>
      </c>
      <c r="H130" s="32">
        <v>76.92</v>
      </c>
    </row>
    <row r="131" spans="1:8" x14ac:dyDescent="0.25">
      <c r="A131" s="29" t="s">
        <v>88</v>
      </c>
      <c r="B131" s="30">
        <v>3</v>
      </c>
      <c r="C131" s="30">
        <v>1</v>
      </c>
      <c r="D131" s="31"/>
      <c r="E131" s="31"/>
      <c r="F131" s="30">
        <v>4</v>
      </c>
      <c r="G131" s="32">
        <v>75</v>
      </c>
      <c r="H131" s="32">
        <v>75</v>
      </c>
    </row>
    <row r="132" spans="1:8" x14ac:dyDescent="0.25">
      <c r="A132" s="29" t="s">
        <v>89</v>
      </c>
      <c r="B132" s="30">
        <v>29</v>
      </c>
      <c r="C132" s="30">
        <v>6</v>
      </c>
      <c r="D132" s="31"/>
      <c r="E132" s="30">
        <v>1</v>
      </c>
      <c r="F132" s="30">
        <v>36</v>
      </c>
      <c r="G132" s="32">
        <v>82.86</v>
      </c>
      <c r="H132" s="32">
        <v>80.56</v>
      </c>
    </row>
    <row r="133" spans="1:8" x14ac:dyDescent="0.25">
      <c r="A133" s="29" t="s">
        <v>90</v>
      </c>
      <c r="B133" s="30">
        <v>56</v>
      </c>
      <c r="C133" s="30">
        <v>21</v>
      </c>
      <c r="D133" s="31"/>
      <c r="E133" s="30">
        <v>1</v>
      </c>
      <c r="F133" s="30">
        <v>78</v>
      </c>
      <c r="G133" s="32">
        <v>72.73</v>
      </c>
      <c r="H133" s="32">
        <v>71.790000000000006</v>
      </c>
    </row>
    <row r="134" spans="1:8" x14ac:dyDescent="0.25">
      <c r="A134" s="29" t="s">
        <v>91</v>
      </c>
      <c r="B134" s="30">
        <v>9</v>
      </c>
      <c r="C134" s="30">
        <v>2</v>
      </c>
      <c r="D134" s="30">
        <v>1</v>
      </c>
      <c r="E134" s="30">
        <v>1</v>
      </c>
      <c r="F134" s="30">
        <v>13</v>
      </c>
      <c r="G134" s="32">
        <v>75</v>
      </c>
      <c r="H134" s="32">
        <v>69.23</v>
      </c>
    </row>
    <row r="135" spans="1:8" x14ac:dyDescent="0.25">
      <c r="A135" s="29" t="s">
        <v>92</v>
      </c>
      <c r="B135" s="30">
        <v>5</v>
      </c>
      <c r="C135" s="31"/>
      <c r="D135" s="31"/>
      <c r="E135" s="31"/>
      <c r="F135" s="30">
        <v>5</v>
      </c>
      <c r="G135" s="32">
        <v>100</v>
      </c>
      <c r="H135" s="32">
        <v>100</v>
      </c>
    </row>
    <row r="136" spans="1:8" x14ac:dyDescent="0.25">
      <c r="A136" s="29" t="s">
        <v>93</v>
      </c>
      <c r="B136" s="30">
        <v>46</v>
      </c>
      <c r="C136" s="30">
        <v>16</v>
      </c>
      <c r="D136" s="31"/>
      <c r="E136" s="31"/>
      <c r="F136" s="30">
        <v>62</v>
      </c>
      <c r="G136" s="32">
        <v>74.19</v>
      </c>
      <c r="H136" s="32">
        <v>74.19</v>
      </c>
    </row>
    <row r="137" spans="1:8" x14ac:dyDescent="0.25">
      <c r="A137" s="29" t="s">
        <v>94</v>
      </c>
      <c r="B137" s="30">
        <v>3</v>
      </c>
      <c r="C137" s="31"/>
      <c r="D137" s="31"/>
      <c r="E137" s="30">
        <v>3</v>
      </c>
      <c r="F137" s="30">
        <v>6</v>
      </c>
      <c r="G137" s="32">
        <v>100</v>
      </c>
      <c r="H137" s="32">
        <v>50</v>
      </c>
    </row>
    <row r="138" spans="1:8" x14ac:dyDescent="0.25">
      <c r="A138" s="29" t="s">
        <v>95</v>
      </c>
      <c r="B138" s="30">
        <v>4</v>
      </c>
      <c r="C138" s="30">
        <v>2</v>
      </c>
      <c r="D138" s="31"/>
      <c r="E138" s="30">
        <v>2</v>
      </c>
      <c r="F138" s="30">
        <v>8</v>
      </c>
      <c r="G138" s="32">
        <v>66.67</v>
      </c>
      <c r="H138" s="32">
        <v>50</v>
      </c>
    </row>
    <row r="139" spans="1:8" x14ac:dyDescent="0.25">
      <c r="A139" s="29" t="s">
        <v>96</v>
      </c>
      <c r="B139" s="30">
        <v>2</v>
      </c>
      <c r="C139" s="31"/>
      <c r="D139" s="31"/>
      <c r="E139" s="30">
        <v>2</v>
      </c>
      <c r="F139" s="30">
        <v>4</v>
      </c>
      <c r="G139" s="32">
        <v>100</v>
      </c>
      <c r="H139" s="32">
        <v>50</v>
      </c>
    </row>
    <row r="140" spans="1:8" x14ac:dyDescent="0.25">
      <c r="A140" s="29" t="s">
        <v>97</v>
      </c>
      <c r="B140" s="30">
        <v>2</v>
      </c>
      <c r="C140" s="31"/>
      <c r="D140" s="31"/>
      <c r="E140" s="31"/>
      <c r="F140" s="30">
        <v>2</v>
      </c>
      <c r="G140" s="32">
        <v>100</v>
      </c>
      <c r="H140" s="32">
        <v>100</v>
      </c>
    </row>
    <row r="141" spans="1:8" x14ac:dyDescent="0.25">
      <c r="A141" s="29" t="s">
        <v>137</v>
      </c>
      <c r="B141" s="30">
        <v>3</v>
      </c>
      <c r="C141" s="31"/>
      <c r="D141" s="31"/>
      <c r="E141" s="31"/>
      <c r="F141" s="30">
        <v>3</v>
      </c>
      <c r="G141" s="32">
        <v>100</v>
      </c>
      <c r="H141" s="32">
        <v>100</v>
      </c>
    </row>
    <row r="142" spans="1:8" x14ac:dyDescent="0.25">
      <c r="A142" s="29" t="s">
        <v>138</v>
      </c>
      <c r="B142" s="30">
        <v>2</v>
      </c>
      <c r="C142" s="31"/>
      <c r="D142" s="31"/>
      <c r="E142" s="31"/>
      <c r="F142" s="30">
        <v>2</v>
      </c>
      <c r="G142" s="32">
        <v>100</v>
      </c>
      <c r="H142" s="32">
        <v>100</v>
      </c>
    </row>
    <row r="143" spans="1:8" x14ac:dyDescent="0.25">
      <c r="A143" s="29" t="s">
        <v>124</v>
      </c>
      <c r="B143" s="30">
        <v>20</v>
      </c>
      <c r="C143" s="30">
        <v>2</v>
      </c>
      <c r="D143" s="31"/>
      <c r="E143" s="31"/>
      <c r="F143" s="30">
        <v>22</v>
      </c>
      <c r="G143" s="32">
        <v>90.91</v>
      </c>
      <c r="H143" s="32">
        <v>90.91</v>
      </c>
    </row>
    <row r="144" spans="1:8" x14ac:dyDescent="0.25">
      <c r="A144" s="29" t="s">
        <v>139</v>
      </c>
      <c r="B144" s="30">
        <v>6</v>
      </c>
      <c r="C144" s="30">
        <v>2</v>
      </c>
      <c r="D144" s="31"/>
      <c r="E144" s="31"/>
      <c r="F144" s="30">
        <v>8</v>
      </c>
      <c r="G144" s="32">
        <v>75</v>
      </c>
      <c r="H144" s="32">
        <v>75</v>
      </c>
    </row>
    <row r="145" spans="1:8" x14ac:dyDescent="0.25">
      <c r="A145" s="29" t="s">
        <v>140</v>
      </c>
      <c r="B145" s="30">
        <v>9</v>
      </c>
      <c r="C145" s="30">
        <v>9</v>
      </c>
      <c r="D145" s="31"/>
      <c r="E145" s="31"/>
      <c r="F145" s="30">
        <v>18</v>
      </c>
      <c r="G145" s="32">
        <v>50</v>
      </c>
      <c r="H145" s="32">
        <v>50</v>
      </c>
    </row>
    <row r="146" spans="1:8" x14ac:dyDescent="0.25">
      <c r="A146" s="29" t="s">
        <v>141</v>
      </c>
      <c r="B146" s="30">
        <v>3</v>
      </c>
      <c r="C146" s="30">
        <v>1</v>
      </c>
      <c r="D146" s="31"/>
      <c r="E146" s="31"/>
      <c r="F146" s="30">
        <v>4</v>
      </c>
      <c r="G146" s="32">
        <v>75</v>
      </c>
      <c r="H146" s="32">
        <v>75</v>
      </c>
    </row>
    <row r="147" spans="1:8" x14ac:dyDescent="0.25">
      <c r="A147" s="29" t="s">
        <v>142</v>
      </c>
      <c r="B147" s="30">
        <v>11</v>
      </c>
      <c r="C147" s="30">
        <v>7</v>
      </c>
      <c r="D147" s="31"/>
      <c r="E147" s="31"/>
      <c r="F147" s="30">
        <v>18</v>
      </c>
      <c r="G147" s="32">
        <v>61.11</v>
      </c>
      <c r="H147" s="32">
        <v>61.11</v>
      </c>
    </row>
    <row r="148" spans="1:8" x14ac:dyDescent="0.25">
      <c r="A148" s="29" t="s">
        <v>143</v>
      </c>
      <c r="B148" s="30">
        <v>15</v>
      </c>
      <c r="C148" s="30">
        <v>2</v>
      </c>
      <c r="D148" s="31"/>
      <c r="E148" s="31"/>
      <c r="F148" s="30">
        <v>17</v>
      </c>
      <c r="G148" s="32">
        <v>88.24</v>
      </c>
      <c r="H148" s="32">
        <v>88.24</v>
      </c>
    </row>
    <row r="149" spans="1:8" x14ac:dyDescent="0.25">
      <c r="A149" s="29" t="s">
        <v>144</v>
      </c>
      <c r="B149" s="30">
        <v>9</v>
      </c>
      <c r="C149" s="30">
        <v>8</v>
      </c>
      <c r="D149" s="31"/>
      <c r="E149" s="31"/>
      <c r="F149" s="30">
        <v>17</v>
      </c>
      <c r="G149" s="32">
        <v>52.94</v>
      </c>
      <c r="H149" s="32">
        <v>52.94</v>
      </c>
    </row>
    <row r="150" spans="1:8" ht="22.5" x14ac:dyDescent="0.25">
      <c r="A150" s="29" t="s">
        <v>145</v>
      </c>
      <c r="B150" s="30">
        <v>4</v>
      </c>
      <c r="C150" s="30">
        <v>1</v>
      </c>
      <c r="D150" s="31"/>
      <c r="E150" s="31"/>
      <c r="F150" s="30">
        <v>5</v>
      </c>
      <c r="G150" s="32">
        <v>80</v>
      </c>
      <c r="H150" s="32">
        <v>80</v>
      </c>
    </row>
    <row r="151" spans="1:8" x14ac:dyDescent="0.25">
      <c r="A151" s="29" t="s">
        <v>98</v>
      </c>
      <c r="B151" s="30">
        <v>10</v>
      </c>
      <c r="C151" s="30">
        <v>9</v>
      </c>
      <c r="D151" s="31"/>
      <c r="E151" s="30">
        <v>1</v>
      </c>
      <c r="F151" s="30">
        <v>20</v>
      </c>
      <c r="G151" s="32">
        <v>52.63</v>
      </c>
      <c r="H151" s="32">
        <v>50</v>
      </c>
    </row>
    <row r="152" spans="1:8" x14ac:dyDescent="0.25">
      <c r="A152" s="29" t="s">
        <v>99</v>
      </c>
      <c r="B152" s="30">
        <v>10</v>
      </c>
      <c r="C152" s="30">
        <v>7</v>
      </c>
      <c r="D152" s="31"/>
      <c r="E152" s="31"/>
      <c r="F152" s="30">
        <v>17</v>
      </c>
      <c r="G152" s="32">
        <v>58.82</v>
      </c>
      <c r="H152" s="32">
        <v>58.82</v>
      </c>
    </row>
    <row r="153" spans="1:8" x14ac:dyDescent="0.25">
      <c r="A153" s="29" t="s">
        <v>100</v>
      </c>
      <c r="B153" s="30">
        <v>12</v>
      </c>
      <c r="C153" s="30">
        <v>4</v>
      </c>
      <c r="D153" s="31"/>
      <c r="E153" s="31"/>
      <c r="F153" s="30">
        <v>16</v>
      </c>
      <c r="G153" s="32">
        <v>75</v>
      </c>
      <c r="H153" s="32">
        <v>75</v>
      </c>
    </row>
    <row r="154" spans="1:8" x14ac:dyDescent="0.25">
      <c r="A154" s="29" t="s">
        <v>125</v>
      </c>
      <c r="B154" s="30">
        <v>4</v>
      </c>
      <c r="C154" s="30">
        <v>5</v>
      </c>
      <c r="D154" s="31"/>
      <c r="E154" s="31"/>
      <c r="F154" s="30">
        <v>9</v>
      </c>
      <c r="G154" s="32">
        <v>44.44</v>
      </c>
      <c r="H154" s="32">
        <v>44.44</v>
      </c>
    </row>
    <row r="155" spans="1:8" x14ac:dyDescent="0.25">
      <c r="A155" s="29" t="s">
        <v>101</v>
      </c>
      <c r="B155" s="30">
        <v>17</v>
      </c>
      <c r="C155" s="30">
        <v>6</v>
      </c>
      <c r="D155" s="31"/>
      <c r="E155" s="31"/>
      <c r="F155" s="30">
        <v>23</v>
      </c>
      <c r="G155" s="32">
        <v>73.91</v>
      </c>
      <c r="H155" s="32">
        <v>73.91</v>
      </c>
    </row>
    <row r="156" spans="1:8" ht="22.5" x14ac:dyDescent="0.25">
      <c r="A156" s="29" t="s">
        <v>126</v>
      </c>
      <c r="B156" s="30">
        <v>10</v>
      </c>
      <c r="C156" s="30">
        <v>4</v>
      </c>
      <c r="D156" s="31"/>
      <c r="E156" s="31"/>
      <c r="F156" s="30">
        <v>14</v>
      </c>
      <c r="G156" s="32">
        <v>71.430000000000007</v>
      </c>
      <c r="H156" s="32">
        <v>71.430000000000007</v>
      </c>
    </row>
    <row r="157" spans="1:8" ht="22.5" x14ac:dyDescent="0.25">
      <c r="A157" s="29" t="s">
        <v>146</v>
      </c>
      <c r="B157" s="30">
        <v>4</v>
      </c>
      <c r="C157" s="30">
        <v>11</v>
      </c>
      <c r="D157" s="31"/>
      <c r="E157" s="31"/>
      <c r="F157" s="30">
        <v>15</v>
      </c>
      <c r="G157" s="32">
        <v>26.67</v>
      </c>
      <c r="H157" s="32">
        <v>26.67</v>
      </c>
    </row>
    <row r="158" spans="1:8" x14ac:dyDescent="0.25">
      <c r="A158" s="29" t="s">
        <v>102</v>
      </c>
      <c r="B158" s="30">
        <v>20</v>
      </c>
      <c r="C158" s="30">
        <v>13</v>
      </c>
      <c r="D158" s="30">
        <v>1</v>
      </c>
      <c r="E158" s="31"/>
      <c r="F158" s="30">
        <v>34</v>
      </c>
      <c r="G158" s="32">
        <v>58.82</v>
      </c>
      <c r="H158" s="32">
        <v>58.82</v>
      </c>
    </row>
    <row r="159" spans="1:8" ht="22.5" x14ac:dyDescent="0.25">
      <c r="A159" s="29" t="s">
        <v>127</v>
      </c>
      <c r="B159" s="30">
        <v>16</v>
      </c>
      <c r="C159" s="31"/>
      <c r="D159" s="31"/>
      <c r="E159" s="31"/>
      <c r="F159" s="30">
        <v>16</v>
      </c>
      <c r="G159" s="32">
        <v>100</v>
      </c>
      <c r="H159" s="32">
        <v>100</v>
      </c>
    </row>
    <row r="160" spans="1:8" ht="22.5" x14ac:dyDescent="0.25">
      <c r="A160" s="29" t="s">
        <v>128</v>
      </c>
      <c r="B160" s="30">
        <v>13</v>
      </c>
      <c r="C160" s="30">
        <v>2</v>
      </c>
      <c r="D160" s="31"/>
      <c r="E160" s="31"/>
      <c r="F160" s="30">
        <v>15</v>
      </c>
      <c r="G160" s="32">
        <v>86.67</v>
      </c>
      <c r="H160" s="32">
        <v>86.67</v>
      </c>
    </row>
    <row r="161" spans="1:8" x14ac:dyDescent="0.25">
      <c r="A161" s="29" t="s">
        <v>147</v>
      </c>
      <c r="B161" s="30">
        <v>8</v>
      </c>
      <c r="C161" s="30">
        <v>2</v>
      </c>
      <c r="D161" s="31"/>
      <c r="E161" s="31"/>
      <c r="F161" s="30">
        <v>10</v>
      </c>
      <c r="G161" s="32">
        <v>80</v>
      </c>
      <c r="H161" s="32">
        <v>80</v>
      </c>
    </row>
    <row r="162" spans="1:8" x14ac:dyDescent="0.25">
      <c r="A162" s="29" t="s">
        <v>103</v>
      </c>
      <c r="B162" s="30">
        <v>24</v>
      </c>
      <c r="C162" s="30">
        <v>11</v>
      </c>
      <c r="D162" s="31"/>
      <c r="E162" s="30">
        <v>1</v>
      </c>
      <c r="F162" s="30">
        <v>36</v>
      </c>
      <c r="G162" s="32">
        <v>68.569999999999993</v>
      </c>
      <c r="H162" s="32">
        <v>66.67</v>
      </c>
    </row>
    <row r="163" spans="1:8" ht="22.5" x14ac:dyDescent="0.25">
      <c r="A163" s="29" t="s">
        <v>129</v>
      </c>
      <c r="B163" s="30">
        <v>33</v>
      </c>
      <c r="C163" s="30">
        <v>15</v>
      </c>
      <c r="D163" s="31"/>
      <c r="E163" s="31"/>
      <c r="F163" s="30">
        <v>48</v>
      </c>
      <c r="G163" s="32">
        <v>68.75</v>
      </c>
      <c r="H163" s="32">
        <v>68.75</v>
      </c>
    </row>
    <row r="164" spans="1:8" ht="22.5" x14ac:dyDescent="0.25">
      <c r="A164" s="29" t="s">
        <v>148</v>
      </c>
      <c r="B164" s="30">
        <v>0</v>
      </c>
      <c r="C164" s="30">
        <v>2</v>
      </c>
      <c r="D164" s="31"/>
      <c r="E164" s="31"/>
      <c r="F164" s="30">
        <v>2</v>
      </c>
      <c r="G164" s="31"/>
      <c r="H164" s="32">
        <v>0</v>
      </c>
    </row>
    <row r="165" spans="1:8" x14ac:dyDescent="0.25">
      <c r="A165" s="29" t="s">
        <v>104</v>
      </c>
      <c r="B165" s="30">
        <v>50</v>
      </c>
      <c r="C165" s="30">
        <v>20</v>
      </c>
      <c r="D165" s="31"/>
      <c r="E165" s="30">
        <v>1</v>
      </c>
      <c r="F165" s="30">
        <v>71</v>
      </c>
      <c r="G165" s="32">
        <v>71.430000000000007</v>
      </c>
      <c r="H165" s="32">
        <v>70.42</v>
      </c>
    </row>
    <row r="166" spans="1:8" ht="22.5" x14ac:dyDescent="0.25">
      <c r="A166" s="29" t="s">
        <v>156</v>
      </c>
      <c r="B166" s="30">
        <v>2</v>
      </c>
      <c r="C166" s="31"/>
      <c r="D166" s="31"/>
      <c r="E166" s="31"/>
      <c r="F166" s="30">
        <v>2</v>
      </c>
      <c r="G166" s="32">
        <v>100</v>
      </c>
      <c r="H166" s="32">
        <v>100</v>
      </c>
    </row>
    <row r="167" spans="1:8" ht="22.5" x14ac:dyDescent="0.25">
      <c r="A167" s="29" t="s">
        <v>130</v>
      </c>
      <c r="B167" s="30">
        <v>6</v>
      </c>
      <c r="C167" s="31"/>
      <c r="D167" s="31"/>
      <c r="E167" s="31"/>
      <c r="F167" s="30">
        <v>6</v>
      </c>
      <c r="G167" s="32">
        <v>100</v>
      </c>
      <c r="H167" s="32">
        <v>100</v>
      </c>
    </row>
    <row r="168" spans="1:8" ht="22.5" x14ac:dyDescent="0.25">
      <c r="A168" s="29" t="s">
        <v>149</v>
      </c>
      <c r="B168" s="30">
        <v>0</v>
      </c>
      <c r="C168" s="30">
        <v>1</v>
      </c>
      <c r="D168" s="31"/>
      <c r="E168" s="31"/>
      <c r="F168" s="30">
        <v>1</v>
      </c>
      <c r="G168" s="31"/>
      <c r="H168" s="32">
        <v>0</v>
      </c>
    </row>
    <row r="169" spans="1:8" ht="22.5" x14ac:dyDescent="0.25">
      <c r="A169" s="29" t="s">
        <v>105</v>
      </c>
      <c r="B169" s="30">
        <v>18</v>
      </c>
      <c r="C169" s="30">
        <v>15</v>
      </c>
      <c r="D169" s="31"/>
      <c r="E169" s="31"/>
      <c r="F169" s="30">
        <v>33</v>
      </c>
      <c r="G169" s="32">
        <v>54.55</v>
      </c>
      <c r="H169" s="32">
        <v>54.55</v>
      </c>
    </row>
    <row r="170" spans="1:8" x14ac:dyDescent="0.25">
      <c r="A170" s="29" t="s">
        <v>150</v>
      </c>
      <c r="B170" s="30">
        <v>4</v>
      </c>
      <c r="C170" s="30">
        <v>1</v>
      </c>
      <c r="D170" s="31"/>
      <c r="E170" s="31"/>
      <c r="F170" s="30">
        <v>5</v>
      </c>
      <c r="G170" s="32">
        <v>80</v>
      </c>
      <c r="H170" s="32">
        <v>80</v>
      </c>
    </row>
    <row r="171" spans="1:8" x14ac:dyDescent="0.25">
      <c r="A171" s="29" t="s">
        <v>106</v>
      </c>
      <c r="B171" s="30">
        <v>51</v>
      </c>
      <c r="C171" s="30">
        <v>17</v>
      </c>
      <c r="D171" s="30">
        <v>2</v>
      </c>
      <c r="E171" s="30">
        <v>1</v>
      </c>
      <c r="F171" s="30">
        <v>71</v>
      </c>
      <c r="G171" s="32">
        <v>72.86</v>
      </c>
      <c r="H171" s="32">
        <v>71.83</v>
      </c>
    </row>
    <row r="172" spans="1:8" ht="22.5" x14ac:dyDescent="0.25">
      <c r="A172" s="29" t="s">
        <v>157</v>
      </c>
      <c r="B172" s="30">
        <v>1</v>
      </c>
      <c r="C172" s="30">
        <v>4</v>
      </c>
      <c r="D172" s="31"/>
      <c r="E172" s="31"/>
      <c r="F172" s="30">
        <v>5</v>
      </c>
      <c r="G172" s="32">
        <v>20</v>
      </c>
      <c r="H172" s="32">
        <v>20</v>
      </c>
    </row>
    <row r="173" spans="1:8" ht="22.5" x14ac:dyDescent="0.25">
      <c r="A173" s="29" t="s">
        <v>131</v>
      </c>
      <c r="B173" s="30">
        <v>12</v>
      </c>
      <c r="C173" s="30">
        <v>1</v>
      </c>
      <c r="D173" s="31"/>
      <c r="E173" s="31"/>
      <c r="F173" s="30">
        <v>13</v>
      </c>
      <c r="G173" s="32">
        <v>92.31</v>
      </c>
      <c r="H173" s="32">
        <v>92.31</v>
      </c>
    </row>
    <row r="174" spans="1:8" ht="22.5" x14ac:dyDescent="0.25">
      <c r="A174" s="29" t="s">
        <v>107</v>
      </c>
      <c r="B174" s="30">
        <v>1</v>
      </c>
      <c r="C174" s="30">
        <v>1</v>
      </c>
      <c r="D174" s="31"/>
      <c r="E174" s="31"/>
      <c r="F174" s="30">
        <v>2</v>
      </c>
      <c r="G174" s="32">
        <v>50</v>
      </c>
      <c r="H174" s="32">
        <v>50</v>
      </c>
    </row>
    <row r="175" spans="1:8" ht="22.5" x14ac:dyDescent="0.25">
      <c r="A175" s="29" t="s">
        <v>151</v>
      </c>
      <c r="B175" s="30">
        <v>2</v>
      </c>
      <c r="C175" s="31"/>
      <c r="D175" s="31"/>
      <c r="E175" s="31"/>
      <c r="F175" s="30">
        <v>2</v>
      </c>
      <c r="G175" s="32">
        <v>100</v>
      </c>
      <c r="H175" s="32">
        <v>100</v>
      </c>
    </row>
    <row r="176" spans="1:8" ht="22.5" x14ac:dyDescent="0.25">
      <c r="A176" s="29" t="s">
        <v>152</v>
      </c>
      <c r="B176" s="30">
        <v>0</v>
      </c>
      <c r="C176" s="30">
        <v>1</v>
      </c>
      <c r="D176" s="31"/>
      <c r="E176" s="31"/>
      <c r="F176" s="30">
        <v>1</v>
      </c>
      <c r="G176" s="31"/>
      <c r="H176" s="32">
        <v>0</v>
      </c>
    </row>
    <row r="177" spans="1:8" ht="22.5" x14ac:dyDescent="0.25">
      <c r="A177" s="29" t="s">
        <v>108</v>
      </c>
      <c r="B177" s="30">
        <v>1</v>
      </c>
      <c r="C177" s="30">
        <v>2</v>
      </c>
      <c r="D177" s="31"/>
      <c r="E177" s="31"/>
      <c r="F177" s="30">
        <v>3</v>
      </c>
      <c r="G177" s="32">
        <v>33.33</v>
      </c>
      <c r="H177" s="32">
        <v>33.33</v>
      </c>
    </row>
    <row r="178" spans="1:8" x14ac:dyDescent="0.25">
      <c r="A178" s="29" t="s">
        <v>109</v>
      </c>
      <c r="B178" s="30">
        <v>0</v>
      </c>
      <c r="C178" s="30">
        <v>1</v>
      </c>
      <c r="D178" s="31"/>
      <c r="E178" s="31"/>
      <c r="F178" s="30">
        <v>1</v>
      </c>
      <c r="G178" s="31"/>
      <c r="H178" s="32">
        <v>0</v>
      </c>
    </row>
    <row r="179" spans="1:8" ht="22.5" x14ac:dyDescent="0.25">
      <c r="A179" s="29" t="s">
        <v>110</v>
      </c>
      <c r="B179" s="30">
        <v>0</v>
      </c>
      <c r="C179" s="30">
        <v>1</v>
      </c>
      <c r="D179" s="31"/>
      <c r="E179" s="31"/>
      <c r="F179" s="30">
        <v>1</v>
      </c>
      <c r="G179" s="31"/>
      <c r="H179" s="32">
        <v>0</v>
      </c>
    </row>
    <row r="180" spans="1:8" ht="22.5" x14ac:dyDescent="0.25">
      <c r="A180" s="29" t="s">
        <v>111</v>
      </c>
      <c r="B180" s="30">
        <v>1</v>
      </c>
      <c r="C180" s="31"/>
      <c r="D180" s="31"/>
      <c r="E180" s="31"/>
      <c r="F180" s="30">
        <v>1</v>
      </c>
      <c r="G180" s="32">
        <v>100</v>
      </c>
      <c r="H180" s="32">
        <v>100</v>
      </c>
    </row>
    <row r="181" spans="1:8" x14ac:dyDescent="0.25">
      <c r="A181" s="29" t="s">
        <v>153</v>
      </c>
      <c r="B181" s="30">
        <v>2</v>
      </c>
      <c r="C181" s="30">
        <v>5</v>
      </c>
      <c r="D181" s="31"/>
      <c r="E181" s="30">
        <v>1</v>
      </c>
      <c r="F181" s="30">
        <v>8</v>
      </c>
      <c r="G181" s="32">
        <v>28.57</v>
      </c>
      <c r="H181" s="32">
        <v>25</v>
      </c>
    </row>
    <row r="182" spans="1:8" x14ac:dyDescent="0.25">
      <c r="A182" s="29" t="s">
        <v>154</v>
      </c>
      <c r="B182" s="30">
        <v>2</v>
      </c>
      <c r="C182" s="30">
        <v>8</v>
      </c>
      <c r="D182" s="31"/>
      <c r="E182" s="31"/>
      <c r="F182" s="30">
        <v>10</v>
      </c>
      <c r="G182" s="32">
        <v>20</v>
      </c>
      <c r="H182" s="32">
        <v>20</v>
      </c>
    </row>
    <row r="183" spans="1:8" x14ac:dyDescent="0.25">
      <c r="A183" s="29" t="s">
        <v>112</v>
      </c>
      <c r="B183" s="30">
        <v>4</v>
      </c>
      <c r="C183" s="31"/>
      <c r="D183" s="31"/>
      <c r="E183" s="31"/>
      <c r="F183" s="30">
        <v>4</v>
      </c>
      <c r="G183" s="32">
        <v>100</v>
      </c>
      <c r="H183" s="32">
        <v>100</v>
      </c>
    </row>
    <row r="184" spans="1:8" x14ac:dyDescent="0.25">
      <c r="A184" s="29" t="s">
        <v>113</v>
      </c>
      <c r="B184" s="30">
        <v>4</v>
      </c>
      <c r="C184" s="31"/>
      <c r="D184" s="30">
        <v>1</v>
      </c>
      <c r="E184" s="31"/>
      <c r="F184" s="30">
        <v>5</v>
      </c>
      <c r="G184" s="32">
        <v>80</v>
      </c>
      <c r="H184" s="32">
        <v>80</v>
      </c>
    </row>
    <row r="185" spans="1:8" x14ac:dyDescent="0.25">
      <c r="A185" s="29" t="s">
        <v>114</v>
      </c>
      <c r="B185" s="30">
        <v>12</v>
      </c>
      <c r="C185" s="30">
        <v>4</v>
      </c>
      <c r="D185" s="30">
        <v>1</v>
      </c>
      <c r="E185" s="31"/>
      <c r="F185" s="30">
        <v>17</v>
      </c>
      <c r="G185" s="32">
        <v>70.59</v>
      </c>
      <c r="H185" s="32">
        <v>70.59</v>
      </c>
    </row>
    <row r="186" spans="1:8" x14ac:dyDescent="0.25">
      <c r="A186" s="29" t="s">
        <v>115</v>
      </c>
      <c r="B186" s="30">
        <v>6</v>
      </c>
      <c r="C186" s="30">
        <v>1</v>
      </c>
      <c r="D186" s="31"/>
      <c r="E186" s="31"/>
      <c r="F186" s="30">
        <v>7</v>
      </c>
      <c r="G186" s="32">
        <v>85.71</v>
      </c>
      <c r="H186" s="32">
        <v>85.71</v>
      </c>
    </row>
    <row r="187" spans="1:8" x14ac:dyDescent="0.25">
      <c r="A187" s="29" t="s">
        <v>116</v>
      </c>
      <c r="B187" s="30">
        <v>5</v>
      </c>
      <c r="C187" s="30">
        <v>3</v>
      </c>
      <c r="D187" s="31"/>
      <c r="E187" s="31"/>
      <c r="F187" s="30">
        <v>8</v>
      </c>
      <c r="G187" s="32">
        <v>62.5</v>
      </c>
      <c r="H187" s="32">
        <v>62.5</v>
      </c>
    </row>
    <row r="188" spans="1:8" x14ac:dyDescent="0.25">
      <c r="A188" s="29" t="s">
        <v>155</v>
      </c>
      <c r="B188" s="30">
        <v>1</v>
      </c>
      <c r="C188" s="30">
        <v>1</v>
      </c>
      <c r="D188" s="31"/>
      <c r="E188" s="31"/>
      <c r="F188" s="30">
        <v>2</v>
      </c>
      <c r="G188" s="32">
        <v>50</v>
      </c>
      <c r="H188" s="32">
        <v>50</v>
      </c>
    </row>
    <row r="189" spans="1:8" x14ac:dyDescent="0.25">
      <c r="A189" s="29" t="s">
        <v>117</v>
      </c>
      <c r="B189" s="30">
        <v>1</v>
      </c>
      <c r="C189" s="31"/>
      <c r="D189" s="31"/>
      <c r="E189" s="31"/>
      <c r="F189" s="30">
        <v>1</v>
      </c>
      <c r="G189" s="32">
        <v>100</v>
      </c>
      <c r="H189" s="32">
        <v>100</v>
      </c>
    </row>
    <row r="190" spans="1:8" x14ac:dyDescent="0.25">
      <c r="A190" s="29" t="s">
        <v>118</v>
      </c>
      <c r="B190" s="30">
        <v>1</v>
      </c>
      <c r="C190" s="31"/>
      <c r="D190" s="30">
        <v>1</v>
      </c>
      <c r="E190" s="31"/>
      <c r="F190" s="30">
        <v>2</v>
      </c>
      <c r="G190" s="32">
        <v>50</v>
      </c>
      <c r="H190" s="32">
        <v>50</v>
      </c>
    </row>
    <row r="191" spans="1:8" x14ac:dyDescent="0.25">
      <c r="A191" s="29" t="s">
        <v>119</v>
      </c>
      <c r="B191" s="30">
        <v>3</v>
      </c>
      <c r="C191" s="30">
        <v>3</v>
      </c>
      <c r="D191" s="31"/>
      <c r="E191" s="31"/>
      <c r="F191" s="30">
        <v>6</v>
      </c>
      <c r="G191" s="32">
        <v>50</v>
      </c>
      <c r="H191" s="32">
        <v>50</v>
      </c>
    </row>
    <row r="192" spans="1:8" x14ac:dyDescent="0.25">
      <c r="A192" s="29" t="s">
        <v>120</v>
      </c>
      <c r="B192" s="30">
        <v>1</v>
      </c>
      <c r="C192" s="31"/>
      <c r="D192" s="31"/>
      <c r="E192" s="31"/>
      <c r="F192" s="30">
        <v>1</v>
      </c>
      <c r="G192" s="32">
        <v>100</v>
      </c>
      <c r="H192" s="32">
        <v>100</v>
      </c>
    </row>
    <row r="193" spans="1:8" x14ac:dyDescent="0.25">
      <c r="A193" s="29" t="s">
        <v>158</v>
      </c>
      <c r="B193" s="30">
        <v>1</v>
      </c>
      <c r="C193" s="31"/>
      <c r="D193" s="31"/>
      <c r="E193" s="31"/>
      <c r="F193" s="30">
        <v>1</v>
      </c>
      <c r="G193" s="32">
        <v>100</v>
      </c>
      <c r="H193" s="32">
        <v>100</v>
      </c>
    </row>
    <row r="194" spans="1:8" x14ac:dyDescent="0.25">
      <c r="A194" s="29" t="s">
        <v>208</v>
      </c>
      <c r="B194" s="30">
        <v>2</v>
      </c>
      <c r="C194" s="31"/>
      <c r="D194" s="31"/>
      <c r="E194" s="31"/>
      <c r="F194" s="30">
        <v>2</v>
      </c>
      <c r="G194" s="32">
        <v>100</v>
      </c>
      <c r="H194" s="32">
        <v>100</v>
      </c>
    </row>
    <row r="195" spans="1:8" x14ac:dyDescent="0.25">
      <c r="A195" s="29" t="s">
        <v>209</v>
      </c>
      <c r="B195" s="30">
        <v>13</v>
      </c>
      <c r="C195" s="30">
        <v>3</v>
      </c>
      <c r="D195" s="31"/>
      <c r="E195" s="30">
        <v>3</v>
      </c>
      <c r="F195" s="30">
        <v>19</v>
      </c>
      <c r="G195" s="32">
        <v>81.25</v>
      </c>
      <c r="H195" s="32">
        <v>68.42</v>
      </c>
    </row>
    <row r="196" spans="1:8" x14ac:dyDescent="0.25">
      <c r="A196" s="29" t="s">
        <v>211</v>
      </c>
      <c r="B196" s="30">
        <v>1</v>
      </c>
      <c r="C196" s="31"/>
      <c r="D196" s="31"/>
      <c r="E196" s="31"/>
      <c r="F196" s="30">
        <v>1</v>
      </c>
      <c r="G196" s="32">
        <v>100</v>
      </c>
      <c r="H196" s="32">
        <v>100</v>
      </c>
    </row>
    <row r="197" spans="1:8" x14ac:dyDescent="0.25">
      <c r="A197" s="29" t="s">
        <v>210</v>
      </c>
      <c r="B197" s="30">
        <v>0</v>
      </c>
      <c r="C197" s="31"/>
      <c r="D197" s="31"/>
      <c r="E197" s="30">
        <v>1</v>
      </c>
      <c r="F197" s="30">
        <v>1</v>
      </c>
      <c r="G197" s="31"/>
      <c r="H197" s="32">
        <v>0</v>
      </c>
    </row>
    <row r="198" spans="1:8" x14ac:dyDescent="0.25">
      <c r="A198" s="33" t="s">
        <v>1</v>
      </c>
      <c r="B198" s="34">
        <v>4245</v>
      </c>
      <c r="C198" s="34">
        <v>1425</v>
      </c>
      <c r="D198" s="35">
        <v>68</v>
      </c>
      <c r="E198" s="35">
        <v>75</v>
      </c>
      <c r="F198" s="34">
        <v>5813</v>
      </c>
      <c r="G198" s="36">
        <v>73.98</v>
      </c>
      <c r="H198" s="36">
        <v>73.03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99"/>
  <sheetViews>
    <sheetView workbookViewId="0">
      <selection activeCell="A17" sqref="A17"/>
    </sheetView>
  </sheetViews>
  <sheetFormatPr defaultRowHeight="15" x14ac:dyDescent="0.25"/>
  <cols>
    <col min="1" max="1" width="63.7109375" customWidth="1"/>
  </cols>
  <sheetData>
    <row r="1" spans="1:2" x14ac:dyDescent="0.25">
      <c r="A1" s="155" t="s">
        <v>0</v>
      </c>
      <c r="B1" s="127" t="s">
        <v>1</v>
      </c>
    </row>
    <row r="2" spans="1:2" ht="25.5" x14ac:dyDescent="0.25">
      <c r="A2" s="155"/>
      <c r="B2" s="128" t="s">
        <v>4</v>
      </c>
    </row>
    <row r="3" spans="1:2" x14ac:dyDescent="0.25">
      <c r="A3" s="126" t="s">
        <v>215</v>
      </c>
      <c r="B3" s="129">
        <v>5</v>
      </c>
    </row>
    <row r="4" spans="1:2" x14ac:dyDescent="0.25">
      <c r="A4" s="126" t="s">
        <v>216</v>
      </c>
      <c r="B4" s="129">
        <v>5</v>
      </c>
    </row>
    <row r="5" spans="1:2" x14ac:dyDescent="0.25">
      <c r="A5" s="126" t="s">
        <v>217</v>
      </c>
      <c r="B5" s="129">
        <v>1</v>
      </c>
    </row>
    <row r="6" spans="1:2" x14ac:dyDescent="0.25">
      <c r="A6" s="126" t="s">
        <v>218</v>
      </c>
      <c r="B6" s="129">
        <v>2</v>
      </c>
    </row>
    <row r="7" spans="1:2" x14ac:dyDescent="0.25">
      <c r="A7" s="126" t="s">
        <v>219</v>
      </c>
      <c r="B7" s="129">
        <v>1</v>
      </c>
    </row>
    <row r="8" spans="1:2" x14ac:dyDescent="0.25">
      <c r="A8" s="126" t="s">
        <v>6</v>
      </c>
      <c r="B8" s="129">
        <v>17</v>
      </c>
    </row>
    <row r="9" spans="1:2" x14ac:dyDescent="0.25">
      <c r="A9" s="126" t="s">
        <v>7</v>
      </c>
      <c r="B9" s="129">
        <v>13</v>
      </c>
    </row>
    <row r="10" spans="1:2" x14ac:dyDescent="0.25">
      <c r="A10" s="126" t="s">
        <v>8</v>
      </c>
      <c r="B10" s="129">
        <v>14</v>
      </c>
    </row>
    <row r="11" spans="1:2" x14ac:dyDescent="0.25">
      <c r="A11" s="126" t="s">
        <v>9</v>
      </c>
      <c r="B11" s="129">
        <v>200</v>
      </c>
    </row>
    <row r="12" spans="1:2" x14ac:dyDescent="0.25">
      <c r="A12" s="126" t="s">
        <v>10</v>
      </c>
      <c r="B12" s="129">
        <v>15</v>
      </c>
    </row>
    <row r="13" spans="1:2" x14ac:dyDescent="0.25">
      <c r="A13" s="126" t="s">
        <v>11</v>
      </c>
      <c r="B13" s="129">
        <v>29</v>
      </c>
    </row>
    <row r="14" spans="1:2" x14ac:dyDescent="0.25">
      <c r="A14" s="126" t="s">
        <v>12</v>
      </c>
      <c r="B14" s="129">
        <v>48</v>
      </c>
    </row>
    <row r="15" spans="1:2" x14ac:dyDescent="0.25">
      <c r="A15" s="126" t="s">
        <v>13</v>
      </c>
      <c r="B15" s="129">
        <v>10</v>
      </c>
    </row>
    <row r="16" spans="1:2" x14ac:dyDescent="0.25">
      <c r="A16" s="126" t="s">
        <v>14</v>
      </c>
      <c r="B16" s="129">
        <v>87</v>
      </c>
    </row>
    <row r="17" spans="1:2" x14ac:dyDescent="0.25">
      <c r="A17" s="126" t="s">
        <v>15</v>
      </c>
      <c r="B17" s="129">
        <v>32</v>
      </c>
    </row>
    <row r="18" spans="1:2" x14ac:dyDescent="0.25">
      <c r="A18" s="126" t="s">
        <v>16</v>
      </c>
      <c r="B18" s="129">
        <v>22</v>
      </c>
    </row>
    <row r="19" spans="1:2" x14ac:dyDescent="0.25">
      <c r="A19" s="126" t="s">
        <v>17</v>
      </c>
      <c r="B19" s="129">
        <v>94</v>
      </c>
    </row>
    <row r="20" spans="1:2" x14ac:dyDescent="0.25">
      <c r="A20" s="126" t="s">
        <v>177</v>
      </c>
      <c r="B20" s="129">
        <v>1</v>
      </c>
    </row>
    <row r="21" spans="1:2" x14ac:dyDescent="0.25">
      <c r="A21" s="126" t="s">
        <v>178</v>
      </c>
      <c r="B21" s="129">
        <v>6</v>
      </c>
    </row>
    <row r="22" spans="1:2" x14ac:dyDescent="0.25">
      <c r="A22" s="126" t="s">
        <v>179</v>
      </c>
      <c r="B22" s="129">
        <v>2</v>
      </c>
    </row>
    <row r="23" spans="1:2" x14ac:dyDescent="0.25">
      <c r="A23" s="126" t="s">
        <v>180</v>
      </c>
      <c r="B23" s="129">
        <v>2</v>
      </c>
    </row>
    <row r="24" spans="1:2" x14ac:dyDescent="0.25">
      <c r="A24" s="126" t="s">
        <v>181</v>
      </c>
      <c r="B24" s="129">
        <v>7</v>
      </c>
    </row>
    <row r="25" spans="1:2" x14ac:dyDescent="0.25">
      <c r="A25" s="126" t="s">
        <v>182</v>
      </c>
      <c r="B25" s="129">
        <v>6</v>
      </c>
    </row>
    <row r="26" spans="1:2" x14ac:dyDescent="0.25">
      <c r="A26" s="126" t="s">
        <v>213</v>
      </c>
      <c r="B26" s="129">
        <v>9</v>
      </c>
    </row>
    <row r="27" spans="1:2" x14ac:dyDescent="0.25">
      <c r="A27" s="126" t="s">
        <v>214</v>
      </c>
      <c r="B27" s="129">
        <v>3</v>
      </c>
    </row>
    <row r="28" spans="1:2" x14ac:dyDescent="0.25">
      <c r="A28" s="126" t="s">
        <v>18</v>
      </c>
      <c r="B28" s="129">
        <v>13</v>
      </c>
    </row>
    <row r="29" spans="1:2" x14ac:dyDescent="0.25">
      <c r="A29" s="126" t="s">
        <v>19</v>
      </c>
      <c r="B29" s="129">
        <v>22</v>
      </c>
    </row>
    <row r="30" spans="1:2" x14ac:dyDescent="0.25">
      <c r="A30" s="126" t="s">
        <v>183</v>
      </c>
      <c r="B30" s="129">
        <v>1</v>
      </c>
    </row>
    <row r="31" spans="1:2" x14ac:dyDescent="0.25">
      <c r="A31" s="126" t="s">
        <v>184</v>
      </c>
      <c r="B31" s="129">
        <v>3</v>
      </c>
    </row>
    <row r="32" spans="1:2" x14ac:dyDescent="0.25">
      <c r="A32" s="126" t="s">
        <v>20</v>
      </c>
      <c r="B32" s="129">
        <v>98</v>
      </c>
    </row>
    <row r="33" spans="1:2" x14ac:dyDescent="0.25">
      <c r="A33" s="126" t="s">
        <v>21</v>
      </c>
      <c r="B33" s="129">
        <v>150</v>
      </c>
    </row>
    <row r="34" spans="1:2" x14ac:dyDescent="0.25">
      <c r="A34" s="126" t="s">
        <v>22</v>
      </c>
      <c r="B34" s="129">
        <v>49</v>
      </c>
    </row>
    <row r="35" spans="1:2" x14ac:dyDescent="0.25">
      <c r="A35" s="126" t="s">
        <v>23</v>
      </c>
      <c r="B35" s="129">
        <v>5</v>
      </c>
    </row>
    <row r="36" spans="1:2" x14ac:dyDescent="0.25">
      <c r="A36" s="126" t="s">
        <v>24</v>
      </c>
      <c r="B36" s="129">
        <v>114</v>
      </c>
    </row>
    <row r="37" spans="1:2" x14ac:dyDescent="0.25">
      <c r="A37" s="126" t="s">
        <v>25</v>
      </c>
      <c r="B37" s="129">
        <v>35</v>
      </c>
    </row>
    <row r="38" spans="1:2" x14ac:dyDescent="0.25">
      <c r="A38" s="126" t="s">
        <v>26</v>
      </c>
      <c r="B38" s="129">
        <v>226</v>
      </c>
    </row>
    <row r="39" spans="1:2" x14ac:dyDescent="0.25">
      <c r="A39" s="126" t="s">
        <v>132</v>
      </c>
      <c r="B39" s="129">
        <v>20</v>
      </c>
    </row>
    <row r="40" spans="1:2" x14ac:dyDescent="0.25">
      <c r="A40" s="126" t="s">
        <v>27</v>
      </c>
      <c r="B40" s="129">
        <v>251</v>
      </c>
    </row>
    <row r="41" spans="1:2" x14ac:dyDescent="0.25">
      <c r="A41" s="126" t="s">
        <v>28</v>
      </c>
      <c r="B41" s="129">
        <v>178</v>
      </c>
    </row>
    <row r="42" spans="1:2" x14ac:dyDescent="0.25">
      <c r="A42" s="126" t="s">
        <v>29</v>
      </c>
      <c r="B42" s="129">
        <v>186</v>
      </c>
    </row>
    <row r="43" spans="1:2" x14ac:dyDescent="0.25">
      <c r="A43" s="126" t="s">
        <v>121</v>
      </c>
      <c r="B43" s="129">
        <v>8</v>
      </c>
    </row>
    <row r="44" spans="1:2" x14ac:dyDescent="0.25">
      <c r="A44" s="126" t="s">
        <v>185</v>
      </c>
      <c r="B44" s="129">
        <v>75</v>
      </c>
    </row>
    <row r="45" spans="1:2" x14ac:dyDescent="0.25">
      <c r="A45" s="126" t="s">
        <v>30</v>
      </c>
      <c r="B45" s="129">
        <v>23</v>
      </c>
    </row>
    <row r="46" spans="1:2" x14ac:dyDescent="0.25">
      <c r="A46" s="126" t="s">
        <v>31</v>
      </c>
      <c r="B46" s="129">
        <v>13</v>
      </c>
    </row>
    <row r="47" spans="1:2" x14ac:dyDescent="0.25">
      <c r="A47" s="126" t="s">
        <v>32</v>
      </c>
      <c r="B47" s="129">
        <v>7</v>
      </c>
    </row>
    <row r="48" spans="1:2" x14ac:dyDescent="0.25">
      <c r="A48" s="126" t="s">
        <v>186</v>
      </c>
      <c r="B48" s="129">
        <v>16</v>
      </c>
    </row>
    <row r="49" spans="1:2" x14ac:dyDescent="0.25">
      <c r="A49" s="126" t="s">
        <v>187</v>
      </c>
      <c r="B49" s="129">
        <v>13</v>
      </c>
    </row>
    <row r="50" spans="1:2" x14ac:dyDescent="0.25">
      <c r="A50" s="126" t="s">
        <v>188</v>
      </c>
      <c r="B50" s="129">
        <v>1</v>
      </c>
    </row>
    <row r="51" spans="1:2" x14ac:dyDescent="0.25">
      <c r="A51" s="126" t="s">
        <v>189</v>
      </c>
      <c r="B51" s="129">
        <v>7</v>
      </c>
    </row>
    <row r="52" spans="1:2" x14ac:dyDescent="0.25">
      <c r="A52" s="126" t="s">
        <v>190</v>
      </c>
      <c r="B52" s="129">
        <v>2</v>
      </c>
    </row>
    <row r="53" spans="1:2" x14ac:dyDescent="0.25">
      <c r="A53" s="126" t="s">
        <v>33</v>
      </c>
      <c r="B53" s="129">
        <v>15</v>
      </c>
    </row>
    <row r="54" spans="1:2" x14ac:dyDescent="0.25">
      <c r="A54" s="126" t="s">
        <v>34</v>
      </c>
      <c r="B54" s="129">
        <v>61</v>
      </c>
    </row>
    <row r="55" spans="1:2" x14ac:dyDescent="0.25">
      <c r="A55" s="126" t="s">
        <v>35</v>
      </c>
      <c r="B55" s="129">
        <v>88</v>
      </c>
    </row>
    <row r="56" spans="1:2" x14ac:dyDescent="0.25">
      <c r="A56" s="126" t="s">
        <v>212</v>
      </c>
      <c r="B56" s="129">
        <v>2</v>
      </c>
    </row>
    <row r="57" spans="1:2" x14ac:dyDescent="0.25">
      <c r="A57" s="126" t="s">
        <v>176</v>
      </c>
      <c r="B57" s="129">
        <v>4</v>
      </c>
    </row>
    <row r="58" spans="1:2" x14ac:dyDescent="0.25">
      <c r="A58" s="126" t="s">
        <v>36</v>
      </c>
      <c r="B58" s="129">
        <v>2</v>
      </c>
    </row>
    <row r="59" spans="1:2" x14ac:dyDescent="0.25">
      <c r="A59" s="126" t="s">
        <v>37</v>
      </c>
      <c r="B59" s="129">
        <v>37</v>
      </c>
    </row>
    <row r="60" spans="1:2" x14ac:dyDescent="0.25">
      <c r="A60" s="126" t="s">
        <v>38</v>
      </c>
      <c r="B60" s="129">
        <v>27</v>
      </c>
    </row>
    <row r="61" spans="1:2" x14ac:dyDescent="0.25">
      <c r="A61" s="126" t="s">
        <v>39</v>
      </c>
      <c r="B61" s="129">
        <v>7</v>
      </c>
    </row>
    <row r="62" spans="1:2" x14ac:dyDescent="0.25">
      <c r="A62" s="126" t="s">
        <v>40</v>
      </c>
      <c r="B62" s="129">
        <v>36</v>
      </c>
    </row>
    <row r="63" spans="1:2" x14ac:dyDescent="0.25">
      <c r="A63" s="126" t="s">
        <v>41</v>
      </c>
      <c r="B63" s="129">
        <v>1</v>
      </c>
    </row>
    <row r="64" spans="1:2" x14ac:dyDescent="0.25">
      <c r="A64" s="126" t="s">
        <v>42</v>
      </c>
      <c r="B64" s="129">
        <v>8</v>
      </c>
    </row>
    <row r="65" spans="1:2" x14ac:dyDescent="0.25">
      <c r="A65" s="126" t="s">
        <v>43</v>
      </c>
      <c r="B65" s="129">
        <v>16</v>
      </c>
    </row>
    <row r="66" spans="1:2" x14ac:dyDescent="0.25">
      <c r="A66" s="126" t="s">
        <v>44</v>
      </c>
      <c r="B66" s="129">
        <v>24</v>
      </c>
    </row>
    <row r="67" spans="1:2" x14ac:dyDescent="0.25">
      <c r="A67" s="126" t="s">
        <v>45</v>
      </c>
      <c r="B67" s="129">
        <v>9</v>
      </c>
    </row>
    <row r="68" spans="1:2" x14ac:dyDescent="0.25">
      <c r="A68" s="126" t="s">
        <v>133</v>
      </c>
      <c r="B68" s="129">
        <v>28</v>
      </c>
    </row>
    <row r="69" spans="1:2" x14ac:dyDescent="0.25">
      <c r="A69" s="126" t="s">
        <v>46</v>
      </c>
      <c r="B69" s="129">
        <v>2</v>
      </c>
    </row>
    <row r="70" spans="1:2" x14ac:dyDescent="0.25">
      <c r="A70" s="126" t="s">
        <v>47</v>
      </c>
      <c r="B70" s="129">
        <v>154</v>
      </c>
    </row>
    <row r="71" spans="1:2" x14ac:dyDescent="0.25">
      <c r="A71" s="126" t="s">
        <v>48</v>
      </c>
      <c r="B71" s="129">
        <v>11</v>
      </c>
    </row>
    <row r="72" spans="1:2" x14ac:dyDescent="0.25">
      <c r="A72" s="126" t="s">
        <v>49</v>
      </c>
      <c r="B72" s="129">
        <v>34</v>
      </c>
    </row>
    <row r="73" spans="1:2" x14ac:dyDescent="0.25">
      <c r="A73" s="126" t="s">
        <v>50</v>
      </c>
      <c r="B73" s="129">
        <v>1</v>
      </c>
    </row>
    <row r="74" spans="1:2" x14ac:dyDescent="0.25">
      <c r="A74" s="126" t="s">
        <v>51</v>
      </c>
      <c r="B74" s="129">
        <v>16</v>
      </c>
    </row>
    <row r="75" spans="1:2" x14ac:dyDescent="0.25">
      <c r="A75" s="126" t="s">
        <v>52</v>
      </c>
      <c r="B75" s="129">
        <v>9</v>
      </c>
    </row>
    <row r="76" spans="1:2" x14ac:dyDescent="0.25">
      <c r="A76" s="126" t="s">
        <v>53</v>
      </c>
      <c r="B76" s="129">
        <v>49</v>
      </c>
    </row>
    <row r="77" spans="1:2" x14ac:dyDescent="0.25">
      <c r="A77" s="126" t="s">
        <v>54</v>
      </c>
      <c r="B77" s="129">
        <v>12</v>
      </c>
    </row>
    <row r="78" spans="1:2" x14ac:dyDescent="0.25">
      <c r="A78" s="126" t="s">
        <v>55</v>
      </c>
      <c r="B78" s="129">
        <v>126</v>
      </c>
    </row>
    <row r="79" spans="1:2" x14ac:dyDescent="0.25">
      <c r="A79" s="126" t="s">
        <v>122</v>
      </c>
      <c r="B79" s="129">
        <v>36</v>
      </c>
    </row>
    <row r="80" spans="1:2" x14ac:dyDescent="0.25">
      <c r="A80" s="126" t="s">
        <v>123</v>
      </c>
      <c r="B80" s="129">
        <v>23</v>
      </c>
    </row>
    <row r="81" spans="1:2" x14ac:dyDescent="0.25">
      <c r="A81" s="126" t="s">
        <v>56</v>
      </c>
      <c r="B81" s="129">
        <v>158</v>
      </c>
    </row>
    <row r="82" spans="1:2" x14ac:dyDescent="0.25">
      <c r="A82" s="126" t="s">
        <v>57</v>
      </c>
      <c r="B82" s="129">
        <v>144</v>
      </c>
    </row>
    <row r="83" spans="1:2" x14ac:dyDescent="0.25">
      <c r="A83" s="126" t="s">
        <v>58</v>
      </c>
      <c r="B83" s="129">
        <v>8</v>
      </c>
    </row>
    <row r="84" spans="1:2" x14ac:dyDescent="0.25">
      <c r="A84" s="126" t="s">
        <v>59</v>
      </c>
      <c r="B84" s="129">
        <v>60</v>
      </c>
    </row>
    <row r="85" spans="1:2" x14ac:dyDescent="0.25">
      <c r="A85" s="126" t="s">
        <v>60</v>
      </c>
      <c r="B85" s="129">
        <v>18</v>
      </c>
    </row>
    <row r="86" spans="1:2" x14ac:dyDescent="0.25">
      <c r="A86" s="126" t="s">
        <v>191</v>
      </c>
      <c r="B86" s="129">
        <v>102</v>
      </c>
    </row>
    <row r="87" spans="1:2" x14ac:dyDescent="0.25">
      <c r="A87" s="126" t="s">
        <v>61</v>
      </c>
      <c r="B87" s="129">
        <v>61</v>
      </c>
    </row>
    <row r="88" spans="1:2" x14ac:dyDescent="0.25">
      <c r="A88" s="126" t="s">
        <v>62</v>
      </c>
      <c r="B88" s="129">
        <v>77</v>
      </c>
    </row>
    <row r="89" spans="1:2" x14ac:dyDescent="0.25">
      <c r="A89" s="126" t="s">
        <v>63</v>
      </c>
      <c r="B89" s="129">
        <v>53</v>
      </c>
    </row>
    <row r="90" spans="1:2" x14ac:dyDescent="0.25">
      <c r="A90" s="126" t="s">
        <v>64</v>
      </c>
      <c r="B90" s="129">
        <v>65</v>
      </c>
    </row>
    <row r="91" spans="1:2" x14ac:dyDescent="0.25">
      <c r="A91" s="126" t="s">
        <v>192</v>
      </c>
      <c r="B91" s="129">
        <v>23</v>
      </c>
    </row>
    <row r="92" spans="1:2" x14ac:dyDescent="0.25">
      <c r="A92" s="126" t="s">
        <v>65</v>
      </c>
      <c r="B92" s="129">
        <v>72</v>
      </c>
    </row>
    <row r="93" spans="1:2" x14ac:dyDescent="0.25">
      <c r="A93" s="126" t="s">
        <v>66</v>
      </c>
      <c r="B93" s="129">
        <v>169</v>
      </c>
    </row>
    <row r="94" spans="1:2" x14ac:dyDescent="0.25">
      <c r="A94" s="126" t="s">
        <v>67</v>
      </c>
      <c r="B94" s="129">
        <v>27</v>
      </c>
    </row>
    <row r="95" spans="1:2" x14ac:dyDescent="0.25">
      <c r="A95" s="126" t="s">
        <v>68</v>
      </c>
      <c r="B95" s="129">
        <v>68</v>
      </c>
    </row>
    <row r="96" spans="1:2" x14ac:dyDescent="0.25">
      <c r="A96" s="126" t="s">
        <v>69</v>
      </c>
      <c r="B96" s="129">
        <v>132</v>
      </c>
    </row>
    <row r="97" spans="1:2" x14ac:dyDescent="0.25">
      <c r="A97" s="126" t="s">
        <v>70</v>
      </c>
      <c r="B97" s="129">
        <v>119</v>
      </c>
    </row>
    <row r="98" spans="1:2" x14ac:dyDescent="0.25">
      <c r="A98" s="126" t="s">
        <v>71</v>
      </c>
      <c r="B98" s="129">
        <v>68</v>
      </c>
    </row>
    <row r="99" spans="1:2" x14ac:dyDescent="0.25">
      <c r="A99" s="126" t="s">
        <v>72</v>
      </c>
      <c r="B99" s="129">
        <v>106</v>
      </c>
    </row>
    <row r="100" spans="1:2" x14ac:dyDescent="0.25">
      <c r="A100" s="126" t="s">
        <v>73</v>
      </c>
      <c r="B100" s="129">
        <v>49</v>
      </c>
    </row>
    <row r="101" spans="1:2" x14ac:dyDescent="0.25">
      <c r="A101" s="126" t="s">
        <v>74</v>
      </c>
      <c r="B101" s="129">
        <v>43</v>
      </c>
    </row>
    <row r="102" spans="1:2" x14ac:dyDescent="0.25">
      <c r="A102" s="126" t="s">
        <v>75</v>
      </c>
      <c r="B102" s="129">
        <v>46</v>
      </c>
    </row>
    <row r="103" spans="1:2" x14ac:dyDescent="0.25">
      <c r="A103" s="126" t="s">
        <v>76</v>
      </c>
      <c r="B103" s="129">
        <v>2</v>
      </c>
    </row>
    <row r="104" spans="1:2" x14ac:dyDescent="0.25">
      <c r="A104" s="126" t="s">
        <v>193</v>
      </c>
      <c r="B104" s="129">
        <v>5</v>
      </c>
    </row>
    <row r="105" spans="1:2" x14ac:dyDescent="0.25">
      <c r="A105" s="126" t="s">
        <v>194</v>
      </c>
      <c r="B105" s="129">
        <v>4</v>
      </c>
    </row>
    <row r="106" spans="1:2" x14ac:dyDescent="0.25">
      <c r="A106" s="126" t="s">
        <v>77</v>
      </c>
      <c r="B106" s="129">
        <v>48</v>
      </c>
    </row>
    <row r="107" spans="1:2" x14ac:dyDescent="0.25">
      <c r="A107" s="126" t="s">
        <v>78</v>
      </c>
      <c r="B107" s="129">
        <v>35</v>
      </c>
    </row>
    <row r="108" spans="1:2" x14ac:dyDescent="0.25">
      <c r="A108" s="126" t="s">
        <v>79</v>
      </c>
      <c r="B108" s="129">
        <v>18</v>
      </c>
    </row>
    <row r="109" spans="1:2" x14ac:dyDescent="0.25">
      <c r="A109" s="126" t="s">
        <v>80</v>
      </c>
      <c r="B109" s="129">
        <v>37</v>
      </c>
    </row>
    <row r="110" spans="1:2" x14ac:dyDescent="0.25">
      <c r="A110" s="126" t="s">
        <v>195</v>
      </c>
      <c r="B110" s="129">
        <v>2</v>
      </c>
    </row>
    <row r="111" spans="1:2" x14ac:dyDescent="0.25">
      <c r="A111" s="126" t="s">
        <v>196</v>
      </c>
      <c r="B111" s="129">
        <v>1</v>
      </c>
    </row>
    <row r="112" spans="1:2" x14ac:dyDescent="0.25">
      <c r="A112" s="126" t="s">
        <v>197</v>
      </c>
      <c r="B112" s="129">
        <v>3</v>
      </c>
    </row>
    <row r="113" spans="1:2" x14ac:dyDescent="0.25">
      <c r="A113" s="126" t="s">
        <v>198</v>
      </c>
      <c r="B113" s="129">
        <v>2</v>
      </c>
    </row>
    <row r="114" spans="1:2" x14ac:dyDescent="0.25">
      <c r="A114" s="126" t="s">
        <v>199</v>
      </c>
      <c r="B114" s="129">
        <v>2</v>
      </c>
    </row>
    <row r="115" spans="1:2" x14ac:dyDescent="0.25">
      <c r="A115" s="126" t="s">
        <v>200</v>
      </c>
      <c r="B115" s="129">
        <v>2</v>
      </c>
    </row>
    <row r="116" spans="1:2" x14ac:dyDescent="0.25">
      <c r="A116" s="126" t="s">
        <v>81</v>
      </c>
      <c r="B116" s="129">
        <v>10</v>
      </c>
    </row>
    <row r="117" spans="1:2" x14ac:dyDescent="0.25">
      <c r="A117" s="126" t="s">
        <v>134</v>
      </c>
      <c r="B117" s="129">
        <v>25</v>
      </c>
    </row>
    <row r="118" spans="1:2" x14ac:dyDescent="0.25">
      <c r="A118" s="126" t="s">
        <v>135</v>
      </c>
      <c r="B118" s="129">
        <v>2</v>
      </c>
    </row>
    <row r="119" spans="1:2" x14ac:dyDescent="0.25">
      <c r="A119" s="126" t="s">
        <v>136</v>
      </c>
      <c r="B119" s="129">
        <v>8</v>
      </c>
    </row>
    <row r="120" spans="1:2" x14ac:dyDescent="0.25">
      <c r="A120" s="126" t="s">
        <v>201</v>
      </c>
      <c r="B120" s="129">
        <v>9</v>
      </c>
    </row>
    <row r="121" spans="1:2" x14ac:dyDescent="0.25">
      <c r="A121" s="126" t="s">
        <v>202</v>
      </c>
      <c r="B121" s="129">
        <v>1</v>
      </c>
    </row>
    <row r="122" spans="1:2" x14ac:dyDescent="0.25">
      <c r="A122" s="126" t="s">
        <v>203</v>
      </c>
      <c r="B122" s="129">
        <v>1</v>
      </c>
    </row>
    <row r="123" spans="1:2" x14ac:dyDescent="0.25">
      <c r="A123" s="126" t="s">
        <v>82</v>
      </c>
      <c r="B123" s="129">
        <v>47</v>
      </c>
    </row>
    <row r="124" spans="1:2" x14ac:dyDescent="0.25">
      <c r="A124" s="126" t="s">
        <v>83</v>
      </c>
      <c r="B124" s="129">
        <v>28</v>
      </c>
    </row>
    <row r="125" spans="1:2" x14ac:dyDescent="0.25">
      <c r="A125" s="126" t="s">
        <v>84</v>
      </c>
      <c r="B125" s="129">
        <v>7</v>
      </c>
    </row>
    <row r="126" spans="1:2" x14ac:dyDescent="0.25">
      <c r="A126" s="126" t="s">
        <v>85</v>
      </c>
      <c r="B126" s="129">
        <v>1</v>
      </c>
    </row>
    <row r="127" spans="1:2" x14ac:dyDescent="0.25">
      <c r="A127" s="126" t="s">
        <v>86</v>
      </c>
      <c r="B127" s="129">
        <v>72</v>
      </c>
    </row>
    <row r="128" spans="1:2" x14ac:dyDescent="0.25">
      <c r="A128" s="126" t="s">
        <v>87</v>
      </c>
      <c r="B128" s="129">
        <v>13</v>
      </c>
    </row>
    <row r="129" spans="1:2" x14ac:dyDescent="0.25">
      <c r="A129" s="126" t="s">
        <v>88</v>
      </c>
      <c r="B129" s="129">
        <v>4</v>
      </c>
    </row>
    <row r="130" spans="1:2" x14ac:dyDescent="0.25">
      <c r="A130" s="126" t="s">
        <v>89</v>
      </c>
      <c r="B130" s="129">
        <v>36</v>
      </c>
    </row>
    <row r="131" spans="1:2" x14ac:dyDescent="0.25">
      <c r="A131" s="126" t="s">
        <v>90</v>
      </c>
      <c r="B131" s="129">
        <v>78</v>
      </c>
    </row>
    <row r="132" spans="1:2" x14ac:dyDescent="0.25">
      <c r="A132" s="126" t="s">
        <v>91</v>
      </c>
      <c r="B132" s="129">
        <v>13</v>
      </c>
    </row>
    <row r="133" spans="1:2" x14ac:dyDescent="0.25">
      <c r="A133" s="126" t="s">
        <v>92</v>
      </c>
      <c r="B133" s="129">
        <v>5</v>
      </c>
    </row>
    <row r="134" spans="1:2" x14ac:dyDescent="0.25">
      <c r="A134" s="126" t="s">
        <v>93</v>
      </c>
      <c r="B134" s="129">
        <v>62</v>
      </c>
    </row>
    <row r="135" spans="1:2" x14ac:dyDescent="0.25">
      <c r="A135" s="126" t="s">
        <v>94</v>
      </c>
      <c r="B135" s="129">
        <v>6</v>
      </c>
    </row>
    <row r="136" spans="1:2" x14ac:dyDescent="0.25">
      <c r="A136" s="126" t="s">
        <v>95</v>
      </c>
      <c r="B136" s="129">
        <v>8</v>
      </c>
    </row>
    <row r="137" spans="1:2" x14ac:dyDescent="0.25">
      <c r="A137" s="126" t="s">
        <v>96</v>
      </c>
      <c r="B137" s="129">
        <v>4</v>
      </c>
    </row>
    <row r="138" spans="1:2" x14ac:dyDescent="0.25">
      <c r="A138" s="126" t="s">
        <v>97</v>
      </c>
      <c r="B138" s="129">
        <v>2</v>
      </c>
    </row>
    <row r="139" spans="1:2" x14ac:dyDescent="0.25">
      <c r="A139" s="126" t="s">
        <v>204</v>
      </c>
      <c r="B139" s="129">
        <v>3</v>
      </c>
    </row>
    <row r="140" spans="1:2" x14ac:dyDescent="0.25">
      <c r="A140" s="126" t="s">
        <v>205</v>
      </c>
      <c r="B140" s="129">
        <v>1</v>
      </c>
    </row>
    <row r="141" spans="1:2" x14ac:dyDescent="0.25">
      <c r="A141" s="126" t="s">
        <v>206</v>
      </c>
      <c r="B141" s="129">
        <v>1</v>
      </c>
    </row>
    <row r="142" spans="1:2" x14ac:dyDescent="0.25">
      <c r="A142" s="126" t="s">
        <v>137</v>
      </c>
      <c r="B142" s="129">
        <v>3</v>
      </c>
    </row>
    <row r="143" spans="1:2" x14ac:dyDescent="0.25">
      <c r="A143" s="126" t="s">
        <v>124</v>
      </c>
      <c r="B143" s="129">
        <v>24</v>
      </c>
    </row>
    <row r="144" spans="1:2" x14ac:dyDescent="0.25">
      <c r="A144" s="126" t="s">
        <v>139</v>
      </c>
      <c r="B144" s="129">
        <v>8</v>
      </c>
    </row>
    <row r="145" spans="1:2" x14ac:dyDescent="0.25">
      <c r="A145" s="126" t="s">
        <v>140</v>
      </c>
      <c r="B145" s="129">
        <v>18</v>
      </c>
    </row>
    <row r="146" spans="1:2" x14ac:dyDescent="0.25">
      <c r="A146" s="126" t="s">
        <v>141</v>
      </c>
      <c r="B146" s="129">
        <v>4</v>
      </c>
    </row>
    <row r="147" spans="1:2" x14ac:dyDescent="0.25">
      <c r="A147" s="126" t="s">
        <v>142</v>
      </c>
      <c r="B147" s="129">
        <v>18</v>
      </c>
    </row>
    <row r="148" spans="1:2" x14ac:dyDescent="0.25">
      <c r="A148" s="126" t="s">
        <v>143</v>
      </c>
      <c r="B148" s="129">
        <v>17</v>
      </c>
    </row>
    <row r="149" spans="1:2" x14ac:dyDescent="0.25">
      <c r="A149" s="126" t="s">
        <v>144</v>
      </c>
      <c r="B149" s="129">
        <v>17</v>
      </c>
    </row>
    <row r="150" spans="1:2" x14ac:dyDescent="0.25">
      <c r="A150" s="126" t="s">
        <v>145</v>
      </c>
      <c r="B150" s="129">
        <v>5</v>
      </c>
    </row>
    <row r="151" spans="1:2" x14ac:dyDescent="0.25">
      <c r="A151" s="126" t="s">
        <v>98</v>
      </c>
      <c r="B151" s="129">
        <v>20</v>
      </c>
    </row>
    <row r="152" spans="1:2" x14ac:dyDescent="0.25">
      <c r="A152" s="126" t="s">
        <v>99</v>
      </c>
      <c r="B152" s="129">
        <v>17</v>
      </c>
    </row>
    <row r="153" spans="1:2" x14ac:dyDescent="0.25">
      <c r="A153" s="126" t="s">
        <v>100</v>
      </c>
      <c r="B153" s="129">
        <v>16</v>
      </c>
    </row>
    <row r="154" spans="1:2" x14ac:dyDescent="0.25">
      <c r="A154" s="126" t="s">
        <v>125</v>
      </c>
      <c r="B154" s="129">
        <v>9</v>
      </c>
    </row>
    <row r="155" spans="1:2" x14ac:dyDescent="0.25">
      <c r="A155" s="126" t="s">
        <v>101</v>
      </c>
      <c r="B155" s="129">
        <v>23</v>
      </c>
    </row>
    <row r="156" spans="1:2" x14ac:dyDescent="0.25">
      <c r="A156" s="126" t="s">
        <v>126</v>
      </c>
      <c r="B156" s="129">
        <v>14</v>
      </c>
    </row>
    <row r="157" spans="1:2" x14ac:dyDescent="0.25">
      <c r="A157" s="126" t="s">
        <v>146</v>
      </c>
      <c r="B157" s="129">
        <v>15</v>
      </c>
    </row>
    <row r="158" spans="1:2" x14ac:dyDescent="0.25">
      <c r="A158" s="126" t="s">
        <v>102</v>
      </c>
      <c r="B158" s="129">
        <v>36</v>
      </c>
    </row>
    <row r="159" spans="1:2" x14ac:dyDescent="0.25">
      <c r="A159" s="126" t="s">
        <v>127</v>
      </c>
      <c r="B159" s="129">
        <v>16</v>
      </c>
    </row>
    <row r="160" spans="1:2" x14ac:dyDescent="0.25">
      <c r="A160" s="126" t="s">
        <v>128</v>
      </c>
      <c r="B160" s="129">
        <v>15</v>
      </c>
    </row>
    <row r="161" spans="1:2" x14ac:dyDescent="0.25">
      <c r="A161" s="126" t="s">
        <v>147</v>
      </c>
      <c r="B161" s="129">
        <v>10</v>
      </c>
    </row>
    <row r="162" spans="1:2" x14ac:dyDescent="0.25">
      <c r="A162" s="126" t="s">
        <v>103</v>
      </c>
      <c r="B162" s="129">
        <v>36</v>
      </c>
    </row>
    <row r="163" spans="1:2" x14ac:dyDescent="0.25">
      <c r="A163" s="126" t="s">
        <v>129</v>
      </c>
      <c r="B163" s="129">
        <v>48</v>
      </c>
    </row>
    <row r="164" spans="1:2" x14ac:dyDescent="0.25">
      <c r="A164" s="126" t="s">
        <v>148</v>
      </c>
      <c r="B164" s="129">
        <v>2</v>
      </c>
    </row>
    <row r="165" spans="1:2" x14ac:dyDescent="0.25">
      <c r="A165" s="126" t="s">
        <v>104</v>
      </c>
      <c r="B165" s="129">
        <v>71</v>
      </c>
    </row>
    <row r="166" spans="1:2" x14ac:dyDescent="0.25">
      <c r="A166" s="126" t="s">
        <v>156</v>
      </c>
      <c r="B166" s="129">
        <v>2</v>
      </c>
    </row>
    <row r="167" spans="1:2" x14ac:dyDescent="0.25">
      <c r="A167" s="126" t="s">
        <v>130</v>
      </c>
      <c r="B167" s="129">
        <v>6</v>
      </c>
    </row>
    <row r="168" spans="1:2" x14ac:dyDescent="0.25">
      <c r="A168" s="126" t="s">
        <v>149</v>
      </c>
      <c r="B168" s="129">
        <v>1</v>
      </c>
    </row>
    <row r="169" spans="1:2" x14ac:dyDescent="0.25">
      <c r="A169" s="126" t="s">
        <v>105</v>
      </c>
      <c r="B169" s="129">
        <v>33</v>
      </c>
    </row>
    <row r="170" spans="1:2" x14ac:dyDescent="0.25">
      <c r="A170" s="126" t="s">
        <v>150</v>
      </c>
      <c r="B170" s="129">
        <v>5</v>
      </c>
    </row>
    <row r="171" spans="1:2" x14ac:dyDescent="0.25">
      <c r="A171" s="126" t="s">
        <v>207</v>
      </c>
      <c r="B171" s="129">
        <v>5</v>
      </c>
    </row>
    <row r="172" spans="1:2" x14ac:dyDescent="0.25">
      <c r="A172" s="126" t="s">
        <v>106</v>
      </c>
      <c r="B172" s="129">
        <v>71</v>
      </c>
    </row>
    <row r="173" spans="1:2" x14ac:dyDescent="0.25">
      <c r="A173" s="126" t="s">
        <v>157</v>
      </c>
      <c r="B173" s="129">
        <v>5</v>
      </c>
    </row>
    <row r="174" spans="1:2" x14ac:dyDescent="0.25">
      <c r="A174" s="126" t="s">
        <v>131</v>
      </c>
      <c r="B174" s="129">
        <v>13</v>
      </c>
    </row>
    <row r="175" spans="1:2" x14ac:dyDescent="0.25">
      <c r="A175" s="126" t="s">
        <v>208</v>
      </c>
      <c r="B175" s="129">
        <v>2</v>
      </c>
    </row>
    <row r="176" spans="1:2" x14ac:dyDescent="0.25">
      <c r="A176" s="126" t="s">
        <v>209</v>
      </c>
      <c r="B176" s="129">
        <v>19</v>
      </c>
    </row>
    <row r="177" spans="1:2" x14ac:dyDescent="0.25">
      <c r="A177" s="126" t="s">
        <v>210</v>
      </c>
      <c r="B177" s="129">
        <v>1</v>
      </c>
    </row>
    <row r="178" spans="1:2" x14ac:dyDescent="0.25">
      <c r="A178" s="126" t="s">
        <v>107</v>
      </c>
      <c r="B178" s="129">
        <v>2</v>
      </c>
    </row>
    <row r="179" spans="1:2" x14ac:dyDescent="0.25">
      <c r="A179" s="126" t="s">
        <v>159</v>
      </c>
      <c r="B179" s="129">
        <v>5</v>
      </c>
    </row>
    <row r="180" spans="1:2" x14ac:dyDescent="0.25">
      <c r="A180" s="126" t="s">
        <v>151</v>
      </c>
      <c r="B180" s="129">
        <v>2</v>
      </c>
    </row>
    <row r="181" spans="1:2" x14ac:dyDescent="0.25">
      <c r="A181" s="126" t="s">
        <v>152</v>
      </c>
      <c r="B181" s="129">
        <v>1</v>
      </c>
    </row>
    <row r="182" spans="1:2" x14ac:dyDescent="0.25">
      <c r="A182" s="126" t="s">
        <v>108</v>
      </c>
      <c r="B182" s="129">
        <v>3</v>
      </c>
    </row>
    <row r="183" spans="1:2" x14ac:dyDescent="0.25">
      <c r="A183" s="126" t="s">
        <v>109</v>
      </c>
      <c r="B183" s="129">
        <v>1</v>
      </c>
    </row>
    <row r="184" spans="1:2" x14ac:dyDescent="0.25">
      <c r="A184" s="126" t="s">
        <v>110</v>
      </c>
      <c r="B184" s="129">
        <v>1</v>
      </c>
    </row>
    <row r="185" spans="1:2" x14ac:dyDescent="0.25">
      <c r="A185" s="126" t="s">
        <v>111</v>
      </c>
      <c r="B185" s="129">
        <v>3</v>
      </c>
    </row>
    <row r="186" spans="1:2" x14ac:dyDescent="0.25">
      <c r="A186" s="126" t="s">
        <v>153</v>
      </c>
      <c r="B186" s="129">
        <v>12</v>
      </c>
    </row>
    <row r="187" spans="1:2" x14ac:dyDescent="0.25">
      <c r="A187" s="126" t="s">
        <v>154</v>
      </c>
      <c r="B187" s="129">
        <v>10</v>
      </c>
    </row>
    <row r="188" spans="1:2" x14ac:dyDescent="0.25">
      <c r="A188" s="126" t="s">
        <v>112</v>
      </c>
      <c r="B188" s="129">
        <v>4</v>
      </c>
    </row>
    <row r="189" spans="1:2" x14ac:dyDescent="0.25">
      <c r="A189" s="126" t="s">
        <v>113</v>
      </c>
      <c r="B189" s="129">
        <v>5</v>
      </c>
    </row>
    <row r="190" spans="1:2" x14ac:dyDescent="0.25">
      <c r="A190" s="126" t="s">
        <v>114</v>
      </c>
      <c r="B190" s="129">
        <v>17</v>
      </c>
    </row>
    <row r="191" spans="1:2" x14ac:dyDescent="0.25">
      <c r="A191" s="126" t="s">
        <v>115</v>
      </c>
      <c r="B191" s="129">
        <v>7</v>
      </c>
    </row>
    <row r="192" spans="1:2" x14ac:dyDescent="0.25">
      <c r="A192" s="126" t="s">
        <v>116</v>
      </c>
      <c r="B192" s="129">
        <v>8</v>
      </c>
    </row>
    <row r="193" spans="1:2" x14ac:dyDescent="0.25">
      <c r="A193" s="126" t="s">
        <v>211</v>
      </c>
      <c r="B193" s="129">
        <v>1</v>
      </c>
    </row>
    <row r="194" spans="1:2" x14ac:dyDescent="0.25">
      <c r="A194" s="126" t="s">
        <v>155</v>
      </c>
      <c r="B194" s="129">
        <v>2</v>
      </c>
    </row>
    <row r="195" spans="1:2" x14ac:dyDescent="0.25">
      <c r="A195" s="126" t="s">
        <v>117</v>
      </c>
      <c r="B195" s="129">
        <v>1</v>
      </c>
    </row>
    <row r="196" spans="1:2" x14ac:dyDescent="0.25">
      <c r="A196" s="126" t="s">
        <v>118</v>
      </c>
      <c r="B196" s="129">
        <v>2</v>
      </c>
    </row>
    <row r="197" spans="1:2" x14ac:dyDescent="0.25">
      <c r="A197" s="126" t="s">
        <v>119</v>
      </c>
      <c r="B197" s="129">
        <v>6</v>
      </c>
    </row>
    <row r="198" spans="1:2" x14ac:dyDescent="0.25">
      <c r="A198" s="126" t="s">
        <v>120</v>
      </c>
      <c r="B198" s="129">
        <v>1</v>
      </c>
    </row>
    <row r="199" spans="1:2" x14ac:dyDescent="0.25">
      <c r="A199" s="127" t="s">
        <v>1</v>
      </c>
      <c r="B199" s="130">
        <v>5980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Ввод 2026</vt:lpstr>
      <vt:lpstr>31.01.26</vt:lpstr>
      <vt:lpstr>Ввод 2025</vt:lpstr>
      <vt:lpstr>31.12.24</vt:lpstr>
      <vt:lpstr>31.01.25</vt:lpstr>
      <vt:lpstr>28.02.25</vt:lpstr>
      <vt:lpstr>31.03.25</vt:lpstr>
      <vt:lpstr>30.04.25</vt:lpstr>
      <vt:lpstr>31.05.25</vt:lpstr>
      <vt:lpstr>30.06.25</vt:lpstr>
      <vt:lpstr>31.07.25</vt:lpstr>
      <vt:lpstr>31.08.25</vt:lpstr>
      <vt:lpstr>30.09.25</vt:lpstr>
      <vt:lpstr>31.10.25</vt:lpstr>
      <vt:lpstr>30.11.25</vt:lpstr>
      <vt:lpstr>31.12.25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Мочалов Сергей Александрович</dc:creator>
  <cp:lastModifiedBy>Мочалов Сергей Александрович</cp:lastModifiedBy>
  <dcterms:created xsi:type="dcterms:W3CDTF">2025-12-18T05:59:33Z</dcterms:created>
  <dcterms:modified xsi:type="dcterms:W3CDTF">2026-02-11T06:54:03Z</dcterms:modified>
</cp:coreProperties>
</file>