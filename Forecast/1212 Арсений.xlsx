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9DD444F3-C273-4239-9F52-36D688378E3D}" xr6:coauthVersionLast="3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Лист1!$B$2:$P$478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4" i="1" l="1" a="1"/>
  <c r="AC24" i="1" s="1"/>
  <c r="AB24" i="1" a="1"/>
  <c r="AB24" i="1" s="1"/>
  <c r="AA24" i="1" a="1"/>
  <c r="AA24" i="1" s="1"/>
  <c r="Z24" i="1" a="1"/>
  <c r="Z24" i="1" s="1"/>
  <c r="Y24" i="1" a="1"/>
  <c r="Y24" i="1" s="1"/>
  <c r="X24" i="1" a="1"/>
  <c r="X24" i="1" s="1"/>
  <c r="W24" i="1" a="1"/>
  <c r="W24" i="1" s="1"/>
  <c r="V24" i="1" a="1"/>
  <c r="V24" i="1" s="1"/>
  <c r="U24" i="1" a="1"/>
  <c r="U24" i="1" s="1"/>
  <c r="T24" i="1" a="1"/>
  <c r="T24" i="1" s="1"/>
  <c r="S24" i="1" a="1"/>
  <c r="S24" i="1" s="1"/>
  <c r="R24" i="1" a="1"/>
  <c r="R24" i="1" s="1"/>
  <c r="AC23" i="1"/>
  <c r="AC23" i="1" a="1"/>
  <c r="AB23" i="1" a="1"/>
  <c r="AB23" i="1" s="1"/>
  <c r="AA23" i="1"/>
  <c r="AA23" i="1" a="1"/>
  <c r="Z23" i="1"/>
  <c r="Z23" i="1" a="1"/>
  <c r="Y23" i="1"/>
  <c r="Y23" i="1" a="1"/>
  <c r="X23" i="1"/>
  <c r="X23" i="1" a="1"/>
  <c r="W23" i="1"/>
  <c r="W23" i="1" a="1"/>
  <c r="V23" i="1"/>
  <c r="V23" i="1" a="1"/>
  <c r="U23" i="1" a="1"/>
  <c r="U23" i="1" s="1"/>
  <c r="T23" i="1" a="1"/>
  <c r="T23" i="1" s="1"/>
  <c r="S23" i="1" a="1"/>
  <c r="S23" i="1" s="1"/>
  <c r="R23" i="1"/>
  <c r="R23" i="1" a="1"/>
  <c r="AC22" i="1" a="1"/>
  <c r="AC22" i="1" s="1"/>
  <c r="AB22" i="1" a="1"/>
  <c r="AB22" i="1" s="1"/>
  <c r="AA22" i="1" a="1"/>
  <c r="AA22" i="1" s="1"/>
  <c r="Z22" i="1" a="1"/>
  <c r="Z22" i="1" s="1"/>
  <c r="Y22" i="1" a="1"/>
  <c r="Y22" i="1" s="1"/>
  <c r="X22" i="1"/>
  <c r="X22" i="1" a="1"/>
  <c r="W22" i="1" a="1"/>
  <c r="W22" i="1" s="1"/>
  <c r="V22" i="1" a="1"/>
  <c r="V22" i="1" s="1"/>
  <c r="U22" i="1" a="1"/>
  <c r="U22" i="1" s="1"/>
  <c r="T22" i="1" a="1"/>
  <c r="T22" i="1" s="1"/>
  <c r="S22" i="1" a="1"/>
  <c r="S22" i="1" s="1"/>
  <c r="R22" i="1" a="1"/>
  <c r="R22" i="1" s="1"/>
  <c r="AD22" i="1" s="1"/>
  <c r="AC21" i="1" a="1"/>
  <c r="AC21" i="1" s="1"/>
  <c r="AB21" i="1"/>
  <c r="AB21" i="1" a="1"/>
  <c r="AA21" i="1"/>
  <c r="AA21" i="1" a="1"/>
  <c r="Z21" i="1"/>
  <c r="Z21" i="1" a="1"/>
  <c r="Y21" i="1"/>
  <c r="Y21" i="1" a="1"/>
  <c r="X21" i="1"/>
  <c r="X21" i="1" a="1"/>
  <c r="W21" i="1"/>
  <c r="W21" i="1" a="1"/>
  <c r="V21" i="1" a="1"/>
  <c r="V21" i="1" s="1"/>
  <c r="U21" i="1" a="1"/>
  <c r="U21" i="1" s="1"/>
  <c r="T21" i="1"/>
  <c r="T21" i="1" a="1"/>
  <c r="S21" i="1"/>
  <c r="S21" i="1" a="1"/>
  <c r="R21" i="1"/>
  <c r="R21" i="1" a="1"/>
  <c r="AC20" i="1" a="1"/>
  <c r="AC20" i="1" s="1"/>
  <c r="AB20" i="1" a="1"/>
  <c r="AB20" i="1" s="1"/>
  <c r="AA20" i="1" a="1"/>
  <c r="AA20" i="1" s="1"/>
  <c r="Z20" i="1" a="1"/>
  <c r="Z20" i="1" s="1"/>
  <c r="Y20" i="1"/>
  <c r="Y20" i="1" a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AD20" i="1" s="1"/>
  <c r="AC19" i="1"/>
  <c r="AC19" i="1" a="1"/>
  <c r="AB19" i="1"/>
  <c r="AB19" i="1" a="1"/>
  <c r="AA19" i="1"/>
  <c r="AA19" i="1" a="1"/>
  <c r="Z19" i="1"/>
  <c r="Z19" i="1" a="1"/>
  <c r="Y19" i="1"/>
  <c r="Y19" i="1" a="1"/>
  <c r="X19" i="1"/>
  <c r="X19" i="1" a="1"/>
  <c r="W19" i="1"/>
  <c r="W19" i="1" a="1"/>
  <c r="V19" i="1" a="1"/>
  <c r="V19" i="1" s="1"/>
  <c r="U19" i="1"/>
  <c r="U19" i="1" a="1"/>
  <c r="T19" i="1"/>
  <c r="T19" i="1" a="1"/>
  <c r="S19" i="1"/>
  <c r="S19" i="1" a="1"/>
  <c r="R19" i="1"/>
  <c r="R19" i="1" a="1"/>
  <c r="AC18" i="1" a="1"/>
  <c r="AC18" i="1" s="1"/>
  <c r="AB18" i="1" a="1"/>
  <c r="AB18" i="1" s="1"/>
  <c r="AA18" i="1" a="1"/>
  <c r="AA18" i="1" s="1"/>
  <c r="Z18" i="1"/>
  <c r="Z18" i="1" a="1"/>
  <c r="Y18" i="1" a="1"/>
  <c r="Y18" i="1" s="1"/>
  <c r="X18" i="1" a="1"/>
  <c r="X18" i="1" s="1"/>
  <c r="W18" i="1" a="1"/>
  <c r="W18" i="1" s="1"/>
  <c r="V18" i="1"/>
  <c r="V18" i="1" a="1"/>
  <c r="U18" i="1" a="1"/>
  <c r="U18" i="1" s="1"/>
  <c r="T18" i="1" a="1"/>
  <c r="T18" i="1" s="1"/>
  <c r="S18" i="1" a="1"/>
  <c r="S18" i="1" s="1"/>
  <c r="R18" i="1"/>
  <c r="R18" i="1" a="1"/>
  <c r="AC17" i="1"/>
  <c r="AC17" i="1" a="1"/>
  <c r="AB17" i="1"/>
  <c r="AB17" i="1" a="1"/>
  <c r="AA17" i="1"/>
  <c r="AA17" i="1" a="1"/>
  <c r="Z17" i="1"/>
  <c r="Z17" i="1" a="1"/>
  <c r="Y17" i="1"/>
  <c r="Y17" i="1" a="1"/>
  <c r="X17" i="1"/>
  <c r="X17" i="1" a="1"/>
  <c r="W17" i="1" a="1"/>
  <c r="W17" i="1" s="1"/>
  <c r="V17" i="1"/>
  <c r="V17" i="1" a="1"/>
  <c r="U17" i="1"/>
  <c r="U17" i="1" a="1"/>
  <c r="T17" i="1"/>
  <c r="T17" i="1" a="1"/>
  <c r="S17" i="1"/>
  <c r="S17" i="1" a="1"/>
  <c r="R17" i="1"/>
  <c r="AD17" i="1" s="1"/>
  <c r="R17" i="1" a="1"/>
  <c r="AD16" i="1"/>
  <c r="AD16" i="1" a="1"/>
  <c r="AC16" i="1"/>
  <c r="AC25" i="1" s="1"/>
  <c r="AC16" i="1" a="1"/>
  <c r="AB16" i="1" a="1"/>
  <c r="AB16" i="1" s="1"/>
  <c r="AA16" i="1"/>
  <c r="AA16" i="1" a="1"/>
  <c r="Z16" i="1"/>
  <c r="Z25" i="1" s="1"/>
  <c r="Z16" i="1" a="1"/>
  <c r="Y16" i="1"/>
  <c r="Y16" i="1" a="1"/>
  <c r="X16" i="1" a="1"/>
  <c r="X16" i="1" s="1"/>
  <c r="W16" i="1" a="1"/>
  <c r="W16" i="1" s="1"/>
  <c r="V16" i="1"/>
  <c r="V16" i="1" a="1"/>
  <c r="U16" i="1" a="1"/>
  <c r="U16" i="1" s="1"/>
  <c r="U25" i="1" s="1"/>
  <c r="T16" i="1" a="1"/>
  <c r="T16" i="1" s="1"/>
  <c r="T25" i="1" s="1"/>
  <c r="S16" i="1"/>
  <c r="S25" i="1" s="1"/>
  <c r="S16" i="1" a="1"/>
  <c r="R16" i="1"/>
  <c r="R25" i="1" s="1"/>
  <c r="R16" i="1" a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Y5" i="1" a="1"/>
  <c r="Y5" i="1" s="1"/>
  <c r="Z5" i="1" a="1"/>
  <c r="Z5" i="1" s="1"/>
  <c r="AA5" i="1" a="1"/>
  <c r="AA5" i="1" s="1"/>
  <c r="AB5" i="1" a="1"/>
  <c r="AB5" i="1" s="1"/>
  <c r="AC5" i="1" a="1"/>
  <c r="AC5" i="1" s="1"/>
  <c r="S6" i="1" a="1"/>
  <c r="S6" i="1" s="1"/>
  <c r="T6" i="1" a="1"/>
  <c r="T6" i="1" s="1"/>
  <c r="U6" i="1" a="1"/>
  <c r="U6" i="1" s="1"/>
  <c r="V6" i="1" a="1"/>
  <c r="V6" i="1" s="1"/>
  <c r="W6" i="1" a="1"/>
  <c r="W6" i="1" s="1"/>
  <c r="X6" i="1" a="1"/>
  <c r="X6" i="1" s="1"/>
  <c r="Y6" i="1" a="1"/>
  <c r="Y6" i="1" s="1"/>
  <c r="Z6" i="1" a="1"/>
  <c r="Z6" i="1" s="1"/>
  <c r="AA6" i="1" a="1"/>
  <c r="AA6" i="1" s="1"/>
  <c r="AB6" i="1" a="1"/>
  <c r="AB6" i="1" s="1"/>
  <c r="AC6" i="1" a="1"/>
  <c r="AC6" i="1" s="1"/>
  <c r="S7" i="1" a="1"/>
  <c r="S7" i="1" s="1"/>
  <c r="T7" i="1" a="1"/>
  <c r="T7" i="1" s="1"/>
  <c r="U7" i="1" a="1"/>
  <c r="U7" i="1" s="1"/>
  <c r="V7" i="1" a="1"/>
  <c r="V7" i="1" s="1"/>
  <c r="W7" i="1" a="1"/>
  <c r="W7" i="1" s="1"/>
  <c r="X7" i="1" a="1"/>
  <c r="X7" i="1" s="1"/>
  <c r="Y7" i="1" a="1"/>
  <c r="Y7" i="1" s="1"/>
  <c r="Z7" i="1" a="1"/>
  <c r="Z7" i="1" s="1"/>
  <c r="AA7" i="1" a="1"/>
  <c r="AA7" i="1" s="1"/>
  <c r="AB7" i="1" a="1"/>
  <c r="AB7" i="1" s="1"/>
  <c r="AC7" i="1" a="1"/>
  <c r="AC7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S9" i="1" a="1"/>
  <c r="S9" i="1" s="1"/>
  <c r="T9" i="1" a="1"/>
  <c r="T9" i="1" s="1"/>
  <c r="U9" i="1" a="1"/>
  <c r="U9" i="1" s="1"/>
  <c r="V9" i="1" a="1"/>
  <c r="V9" i="1" s="1"/>
  <c r="W9" i="1" a="1"/>
  <c r="W9" i="1" s="1"/>
  <c r="X9" i="1" a="1"/>
  <c r="X9" i="1" s="1"/>
  <c r="Y9" i="1" a="1"/>
  <c r="Y9" i="1" s="1"/>
  <c r="Z9" i="1" a="1"/>
  <c r="Z9" i="1" s="1"/>
  <c r="AA9" i="1" a="1"/>
  <c r="AA9" i="1" s="1"/>
  <c r="AB9" i="1" a="1"/>
  <c r="AB9" i="1" s="1"/>
  <c r="AC9" i="1" a="1"/>
  <c r="AC9" i="1" s="1"/>
  <c r="S10" i="1" a="1"/>
  <c r="S10" i="1" s="1"/>
  <c r="T10" i="1" a="1"/>
  <c r="T10" i="1" s="1"/>
  <c r="U10" i="1" a="1"/>
  <c r="U10" i="1" s="1"/>
  <c r="V10" i="1" a="1"/>
  <c r="V10" i="1" s="1"/>
  <c r="W10" i="1" a="1"/>
  <c r="W10" i="1" s="1"/>
  <c r="X10" i="1" a="1"/>
  <c r="X10" i="1" s="1"/>
  <c r="Y10" i="1" a="1"/>
  <c r="Y10" i="1" s="1"/>
  <c r="Z10" i="1" a="1"/>
  <c r="Z10" i="1" s="1"/>
  <c r="AA10" i="1" a="1"/>
  <c r="AA10" i="1" s="1"/>
  <c r="AB10" i="1" a="1"/>
  <c r="AB10" i="1" s="1"/>
  <c r="AC10" i="1" a="1"/>
  <c r="AC10" i="1" s="1"/>
  <c r="S11" i="1" a="1"/>
  <c r="S11" i="1" s="1"/>
  <c r="T11" i="1" a="1"/>
  <c r="T11" i="1" s="1"/>
  <c r="U11" i="1" a="1"/>
  <c r="U11" i="1" s="1"/>
  <c r="V11" i="1" a="1"/>
  <c r="V11" i="1" s="1"/>
  <c r="W11" i="1" a="1"/>
  <c r="W11" i="1" s="1"/>
  <c r="X11" i="1" a="1"/>
  <c r="X11" i="1" s="1"/>
  <c r="Y11" i="1" a="1"/>
  <c r="Y11" i="1" s="1"/>
  <c r="Z11" i="1" a="1"/>
  <c r="Z11" i="1" s="1"/>
  <c r="AA11" i="1" a="1"/>
  <c r="AA11" i="1" s="1"/>
  <c r="AB11" i="1" a="1"/>
  <c r="AB11" i="1" s="1"/>
  <c r="AC11" i="1" a="1"/>
  <c r="AC11" i="1" s="1"/>
  <c r="S12" i="1" a="1"/>
  <c r="S12" i="1"/>
  <c r="T12" i="1" a="1"/>
  <c r="T12" i="1"/>
  <c r="U12" i="1" a="1"/>
  <c r="U12" i="1"/>
  <c r="V12" i="1" a="1"/>
  <c r="V12" i="1" s="1"/>
  <c r="W12" i="1" a="1"/>
  <c r="W12" i="1"/>
  <c r="X12" i="1" a="1"/>
  <c r="X12" i="1" s="1"/>
  <c r="Y12" i="1" a="1"/>
  <c r="Y12" i="1" s="1"/>
  <c r="Z12" i="1" a="1"/>
  <c r="Z12" i="1" s="1"/>
  <c r="AA12" i="1" a="1"/>
  <c r="AA12" i="1"/>
  <c r="AB12" i="1" a="1"/>
  <c r="AB12" i="1"/>
  <c r="AC12" i="1" a="1"/>
  <c r="AC12" i="1"/>
  <c r="R5" i="1" a="1"/>
  <c r="R5" i="1" s="1"/>
  <c r="R13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S4" i="1" a="1"/>
  <c r="S4" i="1" s="1"/>
  <c r="T4" i="1" a="1"/>
  <c r="T4" i="1" s="1"/>
  <c r="U4" i="1" a="1"/>
  <c r="U4" i="1" s="1"/>
  <c r="V4" i="1" a="1"/>
  <c r="V4" i="1" s="1"/>
  <c r="W4" i="1" a="1"/>
  <c r="W4" i="1" s="1"/>
  <c r="X4" i="1" a="1"/>
  <c r="X4" i="1" s="1"/>
  <c r="Y4" i="1" a="1"/>
  <c r="Y4" i="1" s="1"/>
  <c r="Z4" i="1" a="1"/>
  <c r="Z4" i="1" s="1"/>
  <c r="AA4" i="1" a="1"/>
  <c r="AA4" i="1" s="1"/>
  <c r="AB4" i="1" a="1"/>
  <c r="AB4" i="1" s="1"/>
  <c r="AC4" i="1" a="1"/>
  <c r="AC4" i="1" s="1"/>
  <c r="AD4" i="1" a="1"/>
  <c r="AD4" i="1" s="1"/>
  <c r="R4" i="1" a="1"/>
  <c r="R4" i="1" s="1"/>
  <c r="AD23" i="1" l="1"/>
  <c r="AD24" i="1"/>
  <c r="W25" i="1"/>
  <c r="W26" i="1" s="1"/>
  <c r="X25" i="1"/>
  <c r="X26" i="1" s="1"/>
  <c r="Y25" i="1"/>
  <c r="Y26" i="1" s="1"/>
  <c r="V25" i="1"/>
  <c r="AD25" i="1" s="1"/>
  <c r="AD19" i="1"/>
  <c r="AD18" i="1"/>
  <c r="AD26" i="1" s="1"/>
  <c r="AA25" i="1"/>
  <c r="AA26" i="1" s="1"/>
  <c r="AB25" i="1"/>
  <c r="AB26" i="1" s="1"/>
  <c r="AD21" i="1"/>
  <c r="S26" i="1"/>
  <c r="T26" i="1"/>
  <c r="U26" i="1"/>
  <c r="V26" i="1"/>
  <c r="Z26" i="1"/>
  <c r="AC26" i="1"/>
  <c r="R26" i="1"/>
  <c r="AD5" i="1"/>
  <c r="AD6" i="1"/>
  <c r="AD7" i="1"/>
  <c r="AD8" i="1"/>
  <c r="AD9" i="1"/>
  <c r="AD10" i="1"/>
  <c r="AD11" i="1"/>
  <c r="AD12" i="1"/>
  <c r="AC13" i="1"/>
  <c r="AB13" i="1"/>
  <c r="AA13" i="1"/>
  <c r="Z13" i="1"/>
  <c r="Z27" i="1" s="1"/>
  <c r="Y13" i="1"/>
  <c r="X13" i="1"/>
  <c r="W13" i="1"/>
  <c r="V13" i="1"/>
  <c r="U13" i="1"/>
  <c r="T13" i="1"/>
  <c r="S13" i="1"/>
  <c r="V27" i="1" l="1"/>
  <c r="T27" i="1"/>
  <c r="U27" i="1"/>
  <c r="W27" i="1"/>
  <c r="X27" i="1"/>
  <c r="Y27" i="1"/>
  <c r="AA27" i="1"/>
  <c r="AB27" i="1"/>
  <c r="AC27" i="1"/>
  <c r="S27" i="1"/>
  <c r="Q479" i="1"/>
  <c r="E446" i="1"/>
  <c r="F446" i="1"/>
  <c r="G446" i="1"/>
  <c r="H446" i="1"/>
  <c r="I446" i="1"/>
  <c r="J446" i="1"/>
  <c r="K446" i="1"/>
  <c r="L446" i="1"/>
  <c r="M446" i="1"/>
  <c r="N446" i="1"/>
  <c r="O446" i="1"/>
  <c r="D446" i="1"/>
  <c r="P443" i="1"/>
  <c r="Q443" i="1" s="1"/>
  <c r="P442" i="1"/>
  <c r="Q442" i="1" s="1"/>
  <c r="P441" i="1"/>
  <c r="Q441" i="1" s="1"/>
  <c r="P440" i="1"/>
  <c r="Q440" i="1" s="1"/>
  <c r="P445" i="1"/>
  <c r="Q445" i="1" s="1"/>
  <c r="P444" i="1"/>
  <c r="Q444" i="1" s="1"/>
  <c r="P435" i="1"/>
  <c r="Q435" i="1" s="1"/>
  <c r="P434" i="1"/>
  <c r="Q434" i="1" s="1"/>
  <c r="P436" i="1"/>
  <c r="Q436" i="1" s="1"/>
  <c r="E427" i="1"/>
  <c r="F427" i="1"/>
  <c r="G427" i="1"/>
  <c r="H427" i="1"/>
  <c r="I427" i="1"/>
  <c r="J427" i="1"/>
  <c r="K427" i="1"/>
  <c r="L427" i="1"/>
  <c r="M427" i="1"/>
  <c r="N427" i="1"/>
  <c r="O427" i="1"/>
  <c r="D427" i="1"/>
  <c r="P426" i="1"/>
  <c r="Q426" i="1" s="1"/>
  <c r="P425" i="1"/>
  <c r="Q425" i="1" s="1"/>
  <c r="E423" i="1"/>
  <c r="F423" i="1"/>
  <c r="G423" i="1"/>
  <c r="H423" i="1"/>
  <c r="I423" i="1"/>
  <c r="J423" i="1"/>
  <c r="K423" i="1"/>
  <c r="L423" i="1"/>
  <c r="M423" i="1"/>
  <c r="N423" i="1"/>
  <c r="O423" i="1"/>
  <c r="D423" i="1"/>
  <c r="P421" i="1"/>
  <c r="Q421" i="1" s="1"/>
  <c r="O415" i="1"/>
  <c r="N415" i="1"/>
  <c r="M415" i="1"/>
  <c r="L415" i="1"/>
  <c r="K415" i="1"/>
  <c r="J415" i="1"/>
  <c r="I415" i="1"/>
  <c r="H415" i="1"/>
  <c r="G415" i="1"/>
  <c r="F415" i="1"/>
  <c r="E415" i="1"/>
  <c r="D415" i="1"/>
  <c r="P414" i="1"/>
  <c r="Q414" i="1" s="1"/>
  <c r="P413" i="1"/>
  <c r="Q413" i="1" s="1"/>
  <c r="P412" i="1"/>
  <c r="Q412" i="1" s="1"/>
  <c r="P411" i="1"/>
  <c r="Q411" i="1" s="1"/>
  <c r="Q410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P408" i="1"/>
  <c r="Q408" i="1" s="1"/>
  <c r="P407" i="1"/>
  <c r="Q407" i="1" s="1"/>
  <c r="P406" i="1"/>
  <c r="Q406" i="1" s="1"/>
  <c r="P405" i="1"/>
  <c r="Q405" i="1" s="1"/>
  <c r="P404" i="1"/>
  <c r="Q404" i="1" s="1"/>
  <c r="Q403" i="1"/>
  <c r="Q402" i="1"/>
  <c r="Q401" i="1"/>
  <c r="Q400" i="1"/>
  <c r="P397" i="1"/>
  <c r="Q397" i="1" s="1"/>
  <c r="P396" i="1"/>
  <c r="Q396" i="1" s="1"/>
  <c r="P395" i="1"/>
  <c r="Q395" i="1" s="1"/>
  <c r="P394" i="1"/>
  <c r="Q394" i="1" s="1"/>
  <c r="P393" i="1"/>
  <c r="Q393" i="1" s="1"/>
  <c r="P392" i="1"/>
  <c r="Q392" i="1" s="1"/>
  <c r="P391" i="1"/>
  <c r="Q391" i="1" s="1"/>
  <c r="E388" i="1"/>
  <c r="F388" i="1"/>
  <c r="G388" i="1"/>
  <c r="H388" i="1"/>
  <c r="I388" i="1"/>
  <c r="J388" i="1"/>
  <c r="K388" i="1"/>
  <c r="L388" i="1"/>
  <c r="M388" i="1"/>
  <c r="N388" i="1"/>
  <c r="O388" i="1"/>
  <c r="D388" i="1"/>
  <c r="P384" i="1"/>
  <c r="Q384" i="1" s="1"/>
  <c r="P383" i="1"/>
  <c r="Q383" i="1" s="1"/>
  <c r="P382" i="1"/>
  <c r="Q382" i="1" s="1"/>
  <c r="P381" i="1"/>
  <c r="Q381" i="1" s="1"/>
  <c r="P386" i="1"/>
  <c r="Q386" i="1" s="1"/>
  <c r="P385" i="1"/>
  <c r="Q385" i="1" s="1"/>
  <c r="P373" i="1"/>
  <c r="Q373" i="1" s="1"/>
  <c r="P372" i="1"/>
  <c r="Q372" i="1" s="1"/>
  <c r="P367" i="1"/>
  <c r="Q367" i="1" s="1"/>
  <c r="P366" i="1"/>
  <c r="Q366" i="1" s="1"/>
  <c r="P368" i="1"/>
  <c r="Q368" i="1" s="1"/>
  <c r="E349" i="1"/>
  <c r="F349" i="1"/>
  <c r="G349" i="1"/>
  <c r="H349" i="1"/>
  <c r="I349" i="1"/>
  <c r="J349" i="1"/>
  <c r="K349" i="1"/>
  <c r="L349" i="1"/>
  <c r="M349" i="1"/>
  <c r="N349" i="1"/>
  <c r="O349" i="1"/>
  <c r="D349" i="1"/>
  <c r="E344" i="1"/>
  <c r="F344" i="1"/>
  <c r="G344" i="1"/>
  <c r="H344" i="1"/>
  <c r="I344" i="1"/>
  <c r="J344" i="1"/>
  <c r="K344" i="1"/>
  <c r="L344" i="1"/>
  <c r="M344" i="1"/>
  <c r="N344" i="1"/>
  <c r="O344" i="1"/>
  <c r="D344" i="1"/>
  <c r="P347" i="1"/>
  <c r="Q347" i="1" s="1"/>
  <c r="P346" i="1"/>
  <c r="Q346" i="1" s="1"/>
  <c r="P348" i="1"/>
  <c r="Q348" i="1" s="1"/>
  <c r="P341" i="1"/>
  <c r="Q341" i="1" s="1"/>
  <c r="P340" i="1"/>
  <c r="Q340" i="1" s="1"/>
  <c r="P342" i="1"/>
  <c r="Q342" i="1" s="1"/>
  <c r="E334" i="1"/>
  <c r="F334" i="1"/>
  <c r="G334" i="1"/>
  <c r="H334" i="1"/>
  <c r="I334" i="1"/>
  <c r="J334" i="1"/>
  <c r="K334" i="1"/>
  <c r="L334" i="1"/>
  <c r="M334" i="1"/>
  <c r="N334" i="1"/>
  <c r="O334" i="1"/>
  <c r="D334" i="1"/>
  <c r="P333" i="1"/>
  <c r="Q333" i="1" s="1"/>
  <c r="P332" i="1"/>
  <c r="Q332" i="1" s="1"/>
  <c r="E330" i="1"/>
  <c r="F330" i="1"/>
  <c r="G330" i="1"/>
  <c r="H330" i="1"/>
  <c r="I330" i="1"/>
  <c r="J330" i="1"/>
  <c r="K330" i="1"/>
  <c r="L330" i="1"/>
  <c r="M330" i="1"/>
  <c r="N330" i="1"/>
  <c r="O330" i="1"/>
  <c r="D330" i="1"/>
  <c r="P328" i="1"/>
  <c r="Q328" i="1" s="1"/>
  <c r="P327" i="1"/>
  <c r="Q327" i="1" s="1"/>
  <c r="P329" i="1"/>
  <c r="Q329" i="1" s="1"/>
  <c r="E318" i="1"/>
  <c r="F318" i="1"/>
  <c r="G318" i="1"/>
  <c r="H318" i="1"/>
  <c r="I318" i="1"/>
  <c r="J318" i="1"/>
  <c r="K318" i="1"/>
  <c r="L318" i="1"/>
  <c r="M318" i="1"/>
  <c r="N318" i="1"/>
  <c r="O318" i="1"/>
  <c r="D318" i="1"/>
  <c r="P316" i="1"/>
  <c r="Q316" i="1" s="1"/>
  <c r="P303" i="1"/>
  <c r="Q303" i="1" s="1"/>
  <c r="P302" i="1"/>
  <c r="Q302" i="1" s="1"/>
  <c r="P301" i="1"/>
  <c r="Q301" i="1" s="1"/>
  <c r="P300" i="1"/>
  <c r="Q300" i="1" s="1"/>
  <c r="P299" i="1"/>
  <c r="Q299" i="1" s="1"/>
  <c r="O310" i="1"/>
  <c r="N310" i="1"/>
  <c r="M310" i="1"/>
  <c r="L310" i="1"/>
  <c r="K310" i="1"/>
  <c r="J310" i="1"/>
  <c r="I310" i="1"/>
  <c r="H310" i="1"/>
  <c r="G310" i="1"/>
  <c r="F310" i="1"/>
  <c r="E310" i="1"/>
  <c r="D310" i="1"/>
  <c r="P309" i="1"/>
  <c r="Q309" i="1" s="1"/>
  <c r="P308" i="1"/>
  <c r="Q308" i="1" s="1"/>
  <c r="P307" i="1"/>
  <c r="Q307" i="1" s="1"/>
  <c r="P306" i="1"/>
  <c r="Q306" i="1" s="1"/>
  <c r="P305" i="1"/>
  <c r="Q305" i="1" s="1"/>
  <c r="P304" i="1"/>
  <c r="Q304" i="1" s="1"/>
  <c r="Q298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P296" i="1"/>
  <c r="Q296" i="1" s="1"/>
  <c r="P295" i="1"/>
  <c r="Q295" i="1" s="1"/>
  <c r="P294" i="1"/>
  <c r="Q294" i="1" s="1"/>
  <c r="P293" i="1"/>
  <c r="Q293" i="1" s="1"/>
  <c r="P292" i="1"/>
  <c r="Q292" i="1" s="1"/>
  <c r="P291" i="1"/>
  <c r="Q291" i="1" s="1"/>
  <c r="Q290" i="1"/>
  <c r="Q289" i="1"/>
  <c r="Q288" i="1"/>
  <c r="Q287" i="1"/>
  <c r="P273" i="1"/>
  <c r="Q273" i="1" s="1"/>
  <c r="P272" i="1"/>
  <c r="Q272" i="1" s="1"/>
  <c r="P271" i="1"/>
  <c r="Q271" i="1" s="1"/>
  <c r="P270" i="1"/>
  <c r="Q270" i="1" s="1"/>
  <c r="P281" i="1"/>
  <c r="Q281" i="1" s="1"/>
  <c r="P280" i="1"/>
  <c r="Q280" i="1" s="1"/>
  <c r="P279" i="1"/>
  <c r="Q279" i="1" s="1"/>
  <c r="O285" i="1"/>
  <c r="N285" i="1"/>
  <c r="M285" i="1"/>
  <c r="L285" i="1"/>
  <c r="K285" i="1"/>
  <c r="J285" i="1"/>
  <c r="I285" i="1"/>
  <c r="H285" i="1"/>
  <c r="G285" i="1"/>
  <c r="F285" i="1"/>
  <c r="E285" i="1"/>
  <c r="D285" i="1"/>
  <c r="P284" i="1"/>
  <c r="Q284" i="1" s="1"/>
  <c r="P283" i="1"/>
  <c r="Q283" i="1" s="1"/>
  <c r="P282" i="1"/>
  <c r="Q282" i="1" s="1"/>
  <c r="P278" i="1"/>
  <c r="Q278" i="1" s="1"/>
  <c r="Q277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P275" i="1"/>
  <c r="Q275" i="1" s="1"/>
  <c r="P274" i="1"/>
  <c r="Q274" i="1" s="1"/>
  <c r="P269" i="1"/>
  <c r="Q269" i="1" s="1"/>
  <c r="Q268" i="1"/>
  <c r="Q267" i="1"/>
  <c r="Q266" i="1"/>
  <c r="Q265" i="1"/>
  <c r="P262" i="1"/>
  <c r="Q262" i="1" s="1"/>
  <c r="P261" i="1"/>
  <c r="Q261" i="1" s="1"/>
  <c r="P260" i="1"/>
  <c r="Q260" i="1" s="1"/>
  <c r="P259" i="1"/>
  <c r="Q259" i="1" s="1"/>
  <c r="P253" i="1"/>
  <c r="Q253" i="1" s="1"/>
  <c r="P252" i="1"/>
  <c r="Q252" i="1" s="1"/>
  <c r="P251" i="1"/>
  <c r="Q251" i="1" s="1"/>
  <c r="P214" i="1"/>
  <c r="Q214" i="1" s="1"/>
  <c r="P213" i="1"/>
  <c r="Q213" i="1" s="1"/>
  <c r="P205" i="1"/>
  <c r="Q205" i="1" s="1"/>
  <c r="P204" i="1"/>
  <c r="Q204" i="1" s="1"/>
  <c r="P199" i="1"/>
  <c r="Q199" i="1" s="1"/>
  <c r="P191" i="1"/>
  <c r="Q191" i="1" s="1"/>
  <c r="P190" i="1"/>
  <c r="Q190" i="1" s="1"/>
  <c r="P189" i="1"/>
  <c r="Q189" i="1" s="1"/>
  <c r="P188" i="1"/>
  <c r="Q188" i="1" s="1"/>
  <c r="P187" i="1"/>
  <c r="Q187" i="1" s="1"/>
  <c r="P171" i="1"/>
  <c r="Q171" i="1" s="1"/>
  <c r="P170" i="1"/>
  <c r="Q170" i="1" s="1"/>
  <c r="P169" i="1"/>
  <c r="Q169" i="1" s="1"/>
  <c r="P168" i="1"/>
  <c r="Q168" i="1" s="1"/>
  <c r="P167" i="1"/>
  <c r="Q167" i="1" s="1"/>
  <c r="P166" i="1"/>
  <c r="Q166" i="1" s="1"/>
  <c r="P172" i="1"/>
  <c r="Q172" i="1" s="1"/>
  <c r="P161" i="1"/>
  <c r="Q161" i="1" s="1"/>
  <c r="P160" i="1"/>
  <c r="Q160" i="1" s="1"/>
  <c r="P159" i="1"/>
  <c r="Q159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P149" i="1"/>
  <c r="Q149" i="1" s="1"/>
  <c r="P150" i="1"/>
  <c r="Q150" i="1" s="1"/>
  <c r="P151" i="1"/>
  <c r="Q151" i="1" s="1"/>
  <c r="O152" i="1"/>
  <c r="N152" i="1"/>
  <c r="M152" i="1"/>
  <c r="L152" i="1"/>
  <c r="K152" i="1"/>
  <c r="J152" i="1"/>
  <c r="I152" i="1"/>
  <c r="H152" i="1"/>
  <c r="G152" i="1"/>
  <c r="F152" i="1"/>
  <c r="E152" i="1"/>
  <c r="D152" i="1"/>
  <c r="Q148" i="1"/>
  <c r="Q141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P139" i="1"/>
  <c r="Q139" i="1" s="1"/>
  <c r="P138" i="1"/>
  <c r="Q138" i="1" s="1"/>
  <c r="P137" i="1"/>
  <c r="Q137" i="1" s="1"/>
  <c r="P136" i="1"/>
  <c r="Q136" i="1" s="1"/>
  <c r="P135" i="1"/>
  <c r="Q135" i="1" s="1"/>
  <c r="P134" i="1"/>
  <c r="Q134" i="1" s="1"/>
  <c r="Q133" i="1"/>
  <c r="Q132" i="1"/>
  <c r="Q131" i="1"/>
  <c r="Q130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P127" i="1"/>
  <c r="Q127" i="1" s="1"/>
  <c r="P126" i="1"/>
  <c r="Q126" i="1" s="1"/>
  <c r="P125" i="1"/>
  <c r="Q125" i="1" s="1"/>
  <c r="P124" i="1"/>
  <c r="Q124" i="1" s="1"/>
  <c r="P123" i="1"/>
  <c r="Q123" i="1" s="1"/>
  <c r="P122" i="1"/>
  <c r="Q122" i="1" s="1"/>
  <c r="P121" i="1"/>
  <c r="Q121" i="1" s="1"/>
  <c r="P120" i="1"/>
  <c r="Q120" i="1" s="1"/>
  <c r="P119" i="1"/>
  <c r="Q119" i="1" s="1"/>
  <c r="P118" i="1"/>
  <c r="Q118" i="1" s="1"/>
  <c r="Q117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P115" i="1"/>
  <c r="Q115" i="1" s="1"/>
  <c r="P114" i="1"/>
  <c r="Q114" i="1" s="1"/>
  <c r="P113" i="1"/>
  <c r="Q113" i="1" s="1"/>
  <c r="P112" i="1"/>
  <c r="Q112" i="1" s="1"/>
  <c r="P111" i="1"/>
  <c r="Q111" i="1" s="1"/>
  <c r="P110" i="1"/>
  <c r="Q110" i="1" s="1"/>
  <c r="P109" i="1"/>
  <c r="Q109" i="1" s="1"/>
  <c r="Q108" i="1"/>
  <c r="Q107" i="1"/>
  <c r="P98" i="1"/>
  <c r="Q98" i="1" s="1"/>
  <c r="P97" i="1"/>
  <c r="Q97" i="1" s="1"/>
  <c r="P96" i="1"/>
  <c r="Q96" i="1" s="1"/>
  <c r="P95" i="1"/>
  <c r="Q95" i="1" s="1"/>
  <c r="P94" i="1"/>
  <c r="Q94" i="1" s="1"/>
  <c r="P93" i="1"/>
  <c r="Q93" i="1" s="1"/>
  <c r="P92" i="1"/>
  <c r="Q92" i="1" s="1"/>
  <c r="P91" i="1"/>
  <c r="Q91" i="1" s="1"/>
  <c r="P80" i="1"/>
  <c r="Q80" i="1" s="1"/>
  <c r="P79" i="1"/>
  <c r="Q79" i="1" s="1"/>
  <c r="P78" i="1"/>
  <c r="Q78" i="1" s="1"/>
  <c r="P77" i="1"/>
  <c r="Q77" i="1" s="1"/>
  <c r="P76" i="1"/>
  <c r="Q76" i="1" s="1"/>
  <c r="P84" i="1"/>
  <c r="Q84" i="1" s="1"/>
  <c r="P83" i="1"/>
  <c r="Q83" i="1" s="1"/>
  <c r="P82" i="1"/>
  <c r="Q82" i="1" s="1"/>
  <c r="P81" i="1"/>
  <c r="Q81" i="1" s="1"/>
  <c r="P64" i="1"/>
  <c r="Q64" i="1" s="1"/>
  <c r="P63" i="1"/>
  <c r="Q63" i="1" s="1"/>
  <c r="P62" i="1"/>
  <c r="Q62" i="1" s="1"/>
  <c r="P61" i="1"/>
  <c r="Q61" i="1" s="1"/>
  <c r="P67" i="1"/>
  <c r="Q67" i="1" s="1"/>
  <c r="P66" i="1"/>
  <c r="Q66" i="1" s="1"/>
  <c r="P65" i="1"/>
  <c r="Q65" i="1" s="1"/>
  <c r="P57" i="1"/>
  <c r="Q57" i="1" s="1"/>
  <c r="P56" i="1"/>
  <c r="Q56" i="1" s="1"/>
  <c r="P45" i="1"/>
  <c r="Q44" i="1" s="1"/>
  <c r="P44" i="1"/>
  <c r="Q43" i="1" s="1"/>
  <c r="P43" i="1"/>
  <c r="Q42" i="1" s="1"/>
  <c r="P42" i="1"/>
  <c r="Q41" i="1" s="1"/>
  <c r="P41" i="1"/>
  <c r="Q40" i="1" s="1"/>
  <c r="P40" i="1"/>
  <c r="Q39" i="1" s="1"/>
  <c r="P49" i="1"/>
  <c r="Q48" i="1" s="1"/>
  <c r="P48" i="1"/>
  <c r="Q47" i="1" s="1"/>
  <c r="P47" i="1"/>
  <c r="Q46" i="1" s="1"/>
  <c r="P46" i="1"/>
  <c r="Q45" i="1" s="1"/>
  <c r="P39" i="1"/>
  <c r="Q38" i="1" s="1"/>
  <c r="P22" i="1"/>
  <c r="Q21" i="1" s="1"/>
  <c r="P21" i="1"/>
  <c r="Q20" i="1" s="1"/>
  <c r="P20" i="1"/>
  <c r="Q19" i="1" s="1"/>
  <c r="P19" i="1"/>
  <c r="Q18" i="1" s="1"/>
  <c r="P18" i="1"/>
  <c r="Q17" i="1" s="1"/>
  <c r="P17" i="1"/>
  <c r="Q16" i="1" s="1"/>
  <c r="P25" i="1"/>
  <c r="Q24" i="1" s="1"/>
  <c r="P24" i="1"/>
  <c r="Q23" i="1" s="1"/>
  <c r="P23" i="1"/>
  <c r="Q22" i="1" s="1"/>
  <c r="P8" i="1"/>
  <c r="Q8" i="1" s="1"/>
  <c r="E13" i="1"/>
  <c r="F13" i="1"/>
  <c r="G13" i="1"/>
  <c r="H13" i="1"/>
  <c r="I13" i="1"/>
  <c r="J13" i="1"/>
  <c r="K13" i="1"/>
  <c r="L13" i="1"/>
  <c r="M13" i="1"/>
  <c r="N13" i="1"/>
  <c r="O13" i="1"/>
  <c r="D13" i="1"/>
  <c r="P7" i="1"/>
  <c r="Q7" i="1" s="1"/>
  <c r="P6" i="1"/>
  <c r="Q6" i="1" s="1"/>
  <c r="P5" i="1"/>
  <c r="Q5" i="1" s="1"/>
  <c r="Q14" i="1"/>
  <c r="Q27" i="1"/>
  <c r="Q28" i="1"/>
  <c r="Q29" i="1"/>
  <c r="Q30" i="1"/>
  <c r="Q36" i="1"/>
  <c r="Q51" i="1"/>
  <c r="Q52" i="1"/>
  <c r="Q53" i="1"/>
  <c r="Q54" i="1"/>
  <c r="Q71" i="1"/>
  <c r="Q72" i="1"/>
  <c r="Q73" i="1"/>
  <c r="Q74" i="1"/>
  <c r="Q88" i="1"/>
  <c r="Q105" i="1"/>
  <c r="Q106" i="1"/>
  <c r="Q154" i="1"/>
  <c r="Q155" i="1"/>
  <c r="Q156" i="1"/>
  <c r="Q157" i="1"/>
  <c r="Q164" i="1"/>
  <c r="Q175" i="1"/>
  <c r="Q176" i="1"/>
  <c r="Q177" i="1"/>
  <c r="Q178" i="1"/>
  <c r="Q185" i="1"/>
  <c r="Q194" i="1"/>
  <c r="Q195" i="1"/>
  <c r="Q196" i="1"/>
  <c r="Q197" i="1"/>
  <c r="Q202" i="1"/>
  <c r="Q208" i="1"/>
  <c r="Q209" i="1"/>
  <c r="Q210" i="1"/>
  <c r="Q211" i="1"/>
  <c r="Q218" i="1"/>
  <c r="Q226" i="1"/>
  <c r="Q227" i="1"/>
  <c r="Q228" i="1"/>
  <c r="Q229" i="1"/>
  <c r="Q232" i="1"/>
  <c r="Q236" i="1"/>
  <c r="Q237" i="1"/>
  <c r="Q238" i="1"/>
  <c r="Q239" i="1"/>
  <c r="Q242" i="1"/>
  <c r="Q246" i="1"/>
  <c r="Q247" i="1"/>
  <c r="Q248" i="1"/>
  <c r="Q249" i="1"/>
  <c r="Q257" i="1"/>
  <c r="Q312" i="1"/>
  <c r="Q313" i="1"/>
  <c r="Q314" i="1"/>
  <c r="Q315" i="1"/>
  <c r="Q319" i="1"/>
  <c r="Q323" i="1"/>
  <c r="Q324" i="1"/>
  <c r="Q325" i="1"/>
  <c r="Q326" i="1"/>
  <c r="Q331" i="1"/>
  <c r="Q336" i="1"/>
  <c r="Q337" i="1"/>
  <c r="Q338" i="1"/>
  <c r="Q339" i="1"/>
  <c r="Q345" i="1"/>
  <c r="Q351" i="1"/>
  <c r="Q352" i="1"/>
  <c r="Q353" i="1"/>
  <c r="Q354" i="1"/>
  <c r="Q357" i="1"/>
  <c r="Q361" i="1"/>
  <c r="Q362" i="1"/>
  <c r="Q363" i="1"/>
  <c r="Q364" i="1"/>
  <c r="Q370" i="1"/>
  <c r="Q377" i="1"/>
  <c r="Q378" i="1"/>
  <c r="Q379" i="1"/>
  <c r="Q380" i="1"/>
  <c r="Q389" i="1"/>
  <c r="Q417" i="1"/>
  <c r="Q418" i="1"/>
  <c r="Q419" i="1"/>
  <c r="Q420" i="1"/>
  <c r="Q424" i="1"/>
  <c r="Q429" i="1"/>
  <c r="Q430" i="1"/>
  <c r="Q431" i="1"/>
  <c r="Q432" i="1"/>
  <c r="Q439" i="1"/>
  <c r="Q448" i="1"/>
  <c r="Q449" i="1"/>
  <c r="Q450" i="1"/>
  <c r="Q451" i="1"/>
  <c r="Q455" i="1"/>
  <c r="Q459" i="1"/>
  <c r="Q460" i="1"/>
  <c r="Q461" i="1"/>
  <c r="Q462" i="1"/>
  <c r="Q465" i="1"/>
  <c r="Q469" i="1"/>
  <c r="Q470" i="1"/>
  <c r="Q471" i="1"/>
  <c r="Q472" i="1"/>
  <c r="Q475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P476" i="1"/>
  <c r="Q476" i="1" s="1"/>
  <c r="O474" i="1"/>
  <c r="N474" i="1"/>
  <c r="M474" i="1"/>
  <c r="L474" i="1"/>
  <c r="K474" i="1"/>
  <c r="J474" i="1"/>
  <c r="I474" i="1"/>
  <c r="H474" i="1"/>
  <c r="G474" i="1"/>
  <c r="F474" i="1"/>
  <c r="E474" i="1"/>
  <c r="D474" i="1"/>
  <c r="P473" i="1"/>
  <c r="Q473" i="1" s="1"/>
  <c r="O467" i="1"/>
  <c r="N467" i="1"/>
  <c r="M467" i="1"/>
  <c r="L467" i="1"/>
  <c r="K467" i="1"/>
  <c r="J467" i="1"/>
  <c r="I467" i="1"/>
  <c r="H467" i="1"/>
  <c r="G467" i="1"/>
  <c r="F467" i="1"/>
  <c r="E467" i="1"/>
  <c r="D467" i="1"/>
  <c r="P466" i="1"/>
  <c r="Q466" i="1" s="1"/>
  <c r="O464" i="1"/>
  <c r="N464" i="1"/>
  <c r="M464" i="1"/>
  <c r="L464" i="1"/>
  <c r="K464" i="1"/>
  <c r="J464" i="1"/>
  <c r="I464" i="1"/>
  <c r="H464" i="1"/>
  <c r="G464" i="1"/>
  <c r="F464" i="1"/>
  <c r="E464" i="1"/>
  <c r="D464" i="1"/>
  <c r="P463" i="1"/>
  <c r="Q463" i="1" s="1"/>
  <c r="O457" i="1"/>
  <c r="N457" i="1"/>
  <c r="M457" i="1"/>
  <c r="L457" i="1"/>
  <c r="K457" i="1"/>
  <c r="J457" i="1"/>
  <c r="I457" i="1"/>
  <c r="H457" i="1"/>
  <c r="G457" i="1"/>
  <c r="F457" i="1"/>
  <c r="E457" i="1"/>
  <c r="D457" i="1"/>
  <c r="P456" i="1"/>
  <c r="Q456" i="1" s="1"/>
  <c r="O454" i="1"/>
  <c r="N454" i="1"/>
  <c r="M454" i="1"/>
  <c r="L454" i="1"/>
  <c r="K454" i="1"/>
  <c r="J454" i="1"/>
  <c r="I454" i="1"/>
  <c r="H454" i="1"/>
  <c r="G454" i="1"/>
  <c r="F454" i="1"/>
  <c r="E454" i="1"/>
  <c r="D454" i="1"/>
  <c r="P453" i="1"/>
  <c r="Q453" i="1" s="1"/>
  <c r="P452" i="1"/>
  <c r="Q452" i="1" s="1"/>
  <c r="O438" i="1"/>
  <c r="N438" i="1"/>
  <c r="M438" i="1"/>
  <c r="L438" i="1"/>
  <c r="K438" i="1"/>
  <c r="J438" i="1"/>
  <c r="I438" i="1"/>
  <c r="H438" i="1"/>
  <c r="G438" i="1"/>
  <c r="F438" i="1"/>
  <c r="E438" i="1"/>
  <c r="D438" i="1"/>
  <c r="P437" i="1"/>
  <c r="Q437" i="1" s="1"/>
  <c r="P433" i="1"/>
  <c r="Q433" i="1" s="1"/>
  <c r="P422" i="1"/>
  <c r="Q422" i="1" s="1"/>
  <c r="O398" i="1"/>
  <c r="N398" i="1"/>
  <c r="M398" i="1"/>
  <c r="L398" i="1"/>
  <c r="K398" i="1"/>
  <c r="J398" i="1"/>
  <c r="I398" i="1"/>
  <c r="H398" i="1"/>
  <c r="G398" i="1"/>
  <c r="F398" i="1"/>
  <c r="E398" i="1"/>
  <c r="D398" i="1"/>
  <c r="P390" i="1"/>
  <c r="Q390" i="1" s="1"/>
  <c r="P387" i="1"/>
  <c r="Q387" i="1" s="1"/>
  <c r="E375" i="1"/>
  <c r="F375" i="1"/>
  <c r="G375" i="1"/>
  <c r="H375" i="1"/>
  <c r="I375" i="1"/>
  <c r="J375" i="1"/>
  <c r="K375" i="1"/>
  <c r="L375" i="1"/>
  <c r="M375" i="1"/>
  <c r="N375" i="1"/>
  <c r="O375" i="1"/>
  <c r="D375" i="1"/>
  <c r="P374" i="1"/>
  <c r="Q374" i="1" s="1"/>
  <c r="P371" i="1"/>
  <c r="Q371" i="1" s="1"/>
  <c r="O369" i="1"/>
  <c r="N369" i="1"/>
  <c r="M369" i="1"/>
  <c r="L369" i="1"/>
  <c r="K369" i="1"/>
  <c r="J369" i="1"/>
  <c r="I369" i="1"/>
  <c r="H369" i="1"/>
  <c r="G369" i="1"/>
  <c r="F369" i="1"/>
  <c r="E369" i="1"/>
  <c r="D369" i="1"/>
  <c r="P365" i="1"/>
  <c r="Q365" i="1" s="1"/>
  <c r="O359" i="1"/>
  <c r="N359" i="1"/>
  <c r="M359" i="1"/>
  <c r="L359" i="1"/>
  <c r="K359" i="1"/>
  <c r="J359" i="1"/>
  <c r="I359" i="1"/>
  <c r="H359" i="1"/>
  <c r="G359" i="1"/>
  <c r="F359" i="1"/>
  <c r="E359" i="1"/>
  <c r="D359" i="1"/>
  <c r="P358" i="1"/>
  <c r="Q358" i="1" s="1"/>
  <c r="O356" i="1"/>
  <c r="N356" i="1"/>
  <c r="M356" i="1"/>
  <c r="L356" i="1"/>
  <c r="K356" i="1"/>
  <c r="J356" i="1"/>
  <c r="I356" i="1"/>
  <c r="H356" i="1"/>
  <c r="G356" i="1"/>
  <c r="F356" i="1"/>
  <c r="E356" i="1"/>
  <c r="D356" i="1"/>
  <c r="P355" i="1"/>
  <c r="Q355" i="1" s="1"/>
  <c r="P343" i="1"/>
  <c r="Q343" i="1" s="1"/>
  <c r="O321" i="1"/>
  <c r="N321" i="1"/>
  <c r="M321" i="1"/>
  <c r="L321" i="1"/>
  <c r="K321" i="1"/>
  <c r="J321" i="1"/>
  <c r="I321" i="1"/>
  <c r="H321" i="1"/>
  <c r="G321" i="1"/>
  <c r="F321" i="1"/>
  <c r="E321" i="1"/>
  <c r="D321" i="1"/>
  <c r="P320" i="1"/>
  <c r="Q320" i="1" s="1"/>
  <c r="P317" i="1"/>
  <c r="Q317" i="1" s="1"/>
  <c r="P250" i="1"/>
  <c r="Q250" i="1" s="1"/>
  <c r="P254" i="1"/>
  <c r="Q254" i="1" s="1"/>
  <c r="O263" i="1"/>
  <c r="N263" i="1"/>
  <c r="M263" i="1"/>
  <c r="L263" i="1"/>
  <c r="K263" i="1"/>
  <c r="J263" i="1"/>
  <c r="I263" i="1"/>
  <c r="H263" i="1"/>
  <c r="G263" i="1"/>
  <c r="F263" i="1"/>
  <c r="E263" i="1"/>
  <c r="D263" i="1"/>
  <c r="P258" i="1"/>
  <c r="Q258" i="1" s="1"/>
  <c r="O256" i="1"/>
  <c r="N256" i="1"/>
  <c r="M256" i="1"/>
  <c r="L256" i="1"/>
  <c r="K256" i="1"/>
  <c r="J256" i="1"/>
  <c r="I256" i="1"/>
  <c r="H256" i="1"/>
  <c r="G256" i="1"/>
  <c r="F256" i="1"/>
  <c r="E256" i="1"/>
  <c r="D256" i="1"/>
  <c r="P255" i="1"/>
  <c r="Q255" i="1" s="1"/>
  <c r="O244" i="1"/>
  <c r="N244" i="1"/>
  <c r="M244" i="1"/>
  <c r="L244" i="1"/>
  <c r="K244" i="1"/>
  <c r="J244" i="1"/>
  <c r="I244" i="1"/>
  <c r="H244" i="1"/>
  <c r="G244" i="1"/>
  <c r="F244" i="1"/>
  <c r="E244" i="1"/>
  <c r="D244" i="1"/>
  <c r="P243" i="1"/>
  <c r="Q243" i="1" s="1"/>
  <c r="O241" i="1"/>
  <c r="N241" i="1"/>
  <c r="M241" i="1"/>
  <c r="L241" i="1"/>
  <c r="K241" i="1"/>
  <c r="J241" i="1"/>
  <c r="I241" i="1"/>
  <c r="H241" i="1"/>
  <c r="G241" i="1"/>
  <c r="F241" i="1"/>
  <c r="E241" i="1"/>
  <c r="D241" i="1"/>
  <c r="P240" i="1"/>
  <c r="Q240" i="1" s="1"/>
  <c r="O234" i="1"/>
  <c r="N234" i="1"/>
  <c r="M234" i="1"/>
  <c r="L234" i="1"/>
  <c r="K234" i="1"/>
  <c r="J234" i="1"/>
  <c r="I234" i="1"/>
  <c r="H234" i="1"/>
  <c r="G234" i="1"/>
  <c r="F234" i="1"/>
  <c r="E234" i="1"/>
  <c r="D234" i="1"/>
  <c r="P233" i="1"/>
  <c r="Q233" i="1" s="1"/>
  <c r="O231" i="1"/>
  <c r="N231" i="1"/>
  <c r="M231" i="1"/>
  <c r="L231" i="1"/>
  <c r="K231" i="1"/>
  <c r="J231" i="1"/>
  <c r="I231" i="1"/>
  <c r="H231" i="1"/>
  <c r="G231" i="1"/>
  <c r="F231" i="1"/>
  <c r="E231" i="1"/>
  <c r="D231" i="1"/>
  <c r="P230" i="1"/>
  <c r="Q230" i="1" s="1"/>
  <c r="E224" i="1"/>
  <c r="F224" i="1"/>
  <c r="G224" i="1"/>
  <c r="H224" i="1"/>
  <c r="I224" i="1"/>
  <c r="J224" i="1"/>
  <c r="K224" i="1"/>
  <c r="L224" i="1"/>
  <c r="M224" i="1"/>
  <c r="N224" i="1"/>
  <c r="O224" i="1"/>
  <c r="D224" i="1"/>
  <c r="P223" i="1"/>
  <c r="Q223" i="1" s="1"/>
  <c r="P222" i="1"/>
  <c r="Q222" i="1" s="1"/>
  <c r="P221" i="1"/>
  <c r="Q221" i="1" s="1"/>
  <c r="P220" i="1"/>
  <c r="Q220" i="1" s="1"/>
  <c r="P219" i="1"/>
  <c r="Q219" i="1" s="1"/>
  <c r="O217" i="1"/>
  <c r="N217" i="1"/>
  <c r="M217" i="1"/>
  <c r="L217" i="1"/>
  <c r="K217" i="1"/>
  <c r="J217" i="1"/>
  <c r="I217" i="1"/>
  <c r="H217" i="1"/>
  <c r="G217" i="1"/>
  <c r="F217" i="1"/>
  <c r="E217" i="1"/>
  <c r="D217" i="1"/>
  <c r="P216" i="1"/>
  <c r="Q216" i="1" s="1"/>
  <c r="P215" i="1"/>
  <c r="Q215" i="1" s="1"/>
  <c r="P212" i="1"/>
  <c r="Q212" i="1" s="1"/>
  <c r="D27" i="1" l="1"/>
  <c r="AD13" i="1"/>
  <c r="AD27" i="1" s="1"/>
  <c r="D416" i="1"/>
  <c r="L416" i="1"/>
  <c r="J416" i="1"/>
  <c r="K416" i="1"/>
  <c r="M416" i="1"/>
  <c r="P409" i="1"/>
  <c r="N416" i="1"/>
  <c r="O416" i="1"/>
  <c r="H416" i="1"/>
  <c r="F416" i="1"/>
  <c r="G416" i="1"/>
  <c r="I416" i="1"/>
  <c r="E416" i="1"/>
  <c r="J376" i="1"/>
  <c r="P415" i="1"/>
  <c r="Q415" i="1" s="1"/>
  <c r="Q409" i="1"/>
  <c r="J311" i="1"/>
  <c r="K311" i="1"/>
  <c r="E311" i="1"/>
  <c r="M311" i="1"/>
  <c r="F311" i="1"/>
  <c r="N311" i="1"/>
  <c r="D311" i="1"/>
  <c r="L311" i="1"/>
  <c r="G311" i="1"/>
  <c r="O311" i="1"/>
  <c r="H311" i="1"/>
  <c r="I311" i="1"/>
  <c r="P310" i="1"/>
  <c r="Q310" i="1" s="1"/>
  <c r="P297" i="1"/>
  <c r="Q297" i="1" s="1"/>
  <c r="L286" i="1"/>
  <c r="G286" i="1"/>
  <c r="K286" i="1"/>
  <c r="E286" i="1"/>
  <c r="M286" i="1"/>
  <c r="H286" i="1"/>
  <c r="I286" i="1"/>
  <c r="F286" i="1"/>
  <c r="N286" i="1"/>
  <c r="O286" i="1"/>
  <c r="P276" i="1"/>
  <c r="Q276" i="1" s="1"/>
  <c r="D286" i="1"/>
  <c r="J286" i="1"/>
  <c r="P285" i="1"/>
  <c r="Q285" i="1" s="1"/>
  <c r="O129" i="1"/>
  <c r="J153" i="1"/>
  <c r="F129" i="1"/>
  <c r="N129" i="1"/>
  <c r="K153" i="1"/>
  <c r="E153" i="1"/>
  <c r="M153" i="1"/>
  <c r="F153" i="1"/>
  <c r="N153" i="1"/>
  <c r="G153" i="1"/>
  <c r="O153" i="1"/>
  <c r="P152" i="1"/>
  <c r="Q152" i="1" s="1"/>
  <c r="L153" i="1"/>
  <c r="D153" i="1"/>
  <c r="H153" i="1"/>
  <c r="I153" i="1"/>
  <c r="P140" i="1"/>
  <c r="E129" i="1"/>
  <c r="M129" i="1"/>
  <c r="H129" i="1"/>
  <c r="I129" i="1"/>
  <c r="J129" i="1"/>
  <c r="K129" i="1"/>
  <c r="P116" i="1"/>
  <c r="Q116" i="1" s="1"/>
  <c r="L129" i="1"/>
  <c r="D129" i="1"/>
  <c r="G129" i="1"/>
  <c r="P128" i="1"/>
  <c r="E468" i="1"/>
  <c r="M468" i="1"/>
  <c r="E478" i="1"/>
  <c r="F468" i="1"/>
  <c r="N468" i="1"/>
  <c r="H447" i="1"/>
  <c r="D458" i="1"/>
  <c r="L458" i="1"/>
  <c r="G468" i="1"/>
  <c r="O468" i="1"/>
  <c r="G478" i="1"/>
  <c r="O478" i="1"/>
  <c r="K478" i="1"/>
  <c r="M478" i="1"/>
  <c r="I478" i="1"/>
  <c r="J478" i="1"/>
  <c r="L478" i="1"/>
  <c r="F478" i="1"/>
  <c r="N478" i="1"/>
  <c r="P474" i="1"/>
  <c r="Q474" i="1" s="1"/>
  <c r="H478" i="1"/>
  <c r="D478" i="1"/>
  <c r="P477" i="1"/>
  <c r="Q477" i="1" s="1"/>
  <c r="J468" i="1"/>
  <c r="K399" i="1"/>
  <c r="H468" i="1"/>
  <c r="I468" i="1"/>
  <c r="K468" i="1"/>
  <c r="D468" i="1"/>
  <c r="L468" i="1"/>
  <c r="P464" i="1"/>
  <c r="Q464" i="1" s="1"/>
  <c r="P467" i="1"/>
  <c r="Q467" i="1" s="1"/>
  <c r="I458" i="1"/>
  <c r="I447" i="1"/>
  <c r="J447" i="1"/>
  <c r="K447" i="1"/>
  <c r="K458" i="1"/>
  <c r="E458" i="1"/>
  <c r="M458" i="1"/>
  <c r="F458" i="1"/>
  <c r="N458" i="1"/>
  <c r="P454" i="1"/>
  <c r="Q454" i="1" s="1"/>
  <c r="G458" i="1"/>
  <c r="O458" i="1"/>
  <c r="J458" i="1"/>
  <c r="H458" i="1"/>
  <c r="P457" i="1"/>
  <c r="Q457" i="1" s="1"/>
  <c r="J428" i="1"/>
  <c r="N447" i="1"/>
  <c r="K428" i="1"/>
  <c r="G447" i="1"/>
  <c r="O447" i="1"/>
  <c r="E447" i="1"/>
  <c r="M447" i="1"/>
  <c r="D447" i="1"/>
  <c r="L447" i="1"/>
  <c r="P446" i="1"/>
  <c r="Q446" i="1" s="1"/>
  <c r="F447" i="1"/>
  <c r="P438" i="1"/>
  <c r="Q438" i="1" s="1"/>
  <c r="L428" i="1"/>
  <c r="D399" i="1"/>
  <c r="E399" i="1"/>
  <c r="E428" i="1"/>
  <c r="M428" i="1"/>
  <c r="L399" i="1"/>
  <c r="M399" i="1"/>
  <c r="I428" i="1"/>
  <c r="I399" i="1"/>
  <c r="N428" i="1"/>
  <c r="J399" i="1"/>
  <c r="D428" i="1"/>
  <c r="G428" i="1"/>
  <c r="O428" i="1"/>
  <c r="P427" i="1"/>
  <c r="Q427" i="1" s="1"/>
  <c r="P423" i="1"/>
  <c r="Q423" i="1" s="1"/>
  <c r="H428" i="1"/>
  <c r="F428" i="1"/>
  <c r="P398" i="1"/>
  <c r="Q398" i="1" s="1"/>
  <c r="O399" i="1"/>
  <c r="H399" i="1"/>
  <c r="F399" i="1"/>
  <c r="N399" i="1"/>
  <c r="G399" i="1"/>
  <c r="P388" i="1"/>
  <c r="Q388" i="1" s="1"/>
  <c r="N376" i="1"/>
  <c r="G376" i="1"/>
  <c r="O376" i="1"/>
  <c r="H376" i="1"/>
  <c r="I376" i="1"/>
  <c r="K376" i="1"/>
  <c r="D376" i="1"/>
  <c r="M376" i="1"/>
  <c r="P375" i="1"/>
  <c r="Q375" i="1" s="1"/>
  <c r="L376" i="1"/>
  <c r="P369" i="1"/>
  <c r="Q369" i="1" s="1"/>
  <c r="F376" i="1"/>
  <c r="E376" i="1"/>
  <c r="J360" i="1"/>
  <c r="J322" i="1"/>
  <c r="K360" i="1"/>
  <c r="L360" i="1"/>
  <c r="G235" i="1"/>
  <c r="E335" i="1"/>
  <c r="H350" i="1"/>
  <c r="H360" i="1"/>
  <c r="J350" i="1"/>
  <c r="K322" i="1"/>
  <c r="H335" i="1"/>
  <c r="I360" i="1"/>
  <c r="M360" i="1"/>
  <c r="F360" i="1"/>
  <c r="N360" i="1"/>
  <c r="P356" i="1"/>
  <c r="Q356" i="1" s="1"/>
  <c r="E360" i="1"/>
  <c r="G360" i="1"/>
  <c r="O360" i="1"/>
  <c r="P359" i="1"/>
  <c r="Q359" i="1" s="1"/>
  <c r="D360" i="1"/>
  <c r="H322" i="1"/>
  <c r="G335" i="1"/>
  <c r="K350" i="1"/>
  <c r="D322" i="1"/>
  <c r="L322" i="1"/>
  <c r="E322" i="1"/>
  <c r="M322" i="1"/>
  <c r="J335" i="1"/>
  <c r="F322" i="1"/>
  <c r="N322" i="1"/>
  <c r="K335" i="1"/>
  <c r="P318" i="1"/>
  <c r="Q318" i="1" s="1"/>
  <c r="G322" i="1"/>
  <c r="O322" i="1"/>
  <c r="D335" i="1"/>
  <c r="L335" i="1"/>
  <c r="M335" i="1"/>
  <c r="I322" i="1"/>
  <c r="P330" i="1"/>
  <c r="Q330" i="1" s="1"/>
  <c r="F335" i="1"/>
  <c r="N335" i="1"/>
  <c r="O335" i="1"/>
  <c r="I350" i="1"/>
  <c r="D350" i="1"/>
  <c r="M350" i="1"/>
  <c r="F350" i="1"/>
  <c r="N350" i="1"/>
  <c r="P344" i="1"/>
  <c r="Q344" i="1" s="1"/>
  <c r="L350" i="1"/>
  <c r="E350" i="1"/>
  <c r="G350" i="1"/>
  <c r="O350" i="1"/>
  <c r="P349" i="1"/>
  <c r="Q349" i="1" s="1"/>
  <c r="I335" i="1"/>
  <c r="P334" i="1"/>
  <c r="P321" i="1"/>
  <c r="K245" i="1"/>
  <c r="D245" i="1"/>
  <c r="L245" i="1"/>
  <c r="E245" i="1"/>
  <c r="M245" i="1"/>
  <c r="D264" i="1"/>
  <c r="E264" i="1"/>
  <c r="J264" i="1"/>
  <c r="K264" i="1"/>
  <c r="L264" i="1"/>
  <c r="M264" i="1"/>
  <c r="I264" i="1"/>
  <c r="P256" i="1"/>
  <c r="Q256" i="1" s="1"/>
  <c r="F264" i="1"/>
  <c r="N264" i="1"/>
  <c r="H264" i="1"/>
  <c r="G264" i="1"/>
  <c r="O264" i="1"/>
  <c r="P263" i="1"/>
  <c r="Q263" i="1" s="1"/>
  <c r="J245" i="1"/>
  <c r="P244" i="1"/>
  <c r="Q244" i="1" s="1"/>
  <c r="I245" i="1"/>
  <c r="F245" i="1"/>
  <c r="N245" i="1"/>
  <c r="P241" i="1"/>
  <c r="Q241" i="1" s="1"/>
  <c r="G245" i="1"/>
  <c r="O245" i="1"/>
  <c r="H245" i="1"/>
  <c r="D235" i="1"/>
  <c r="L235" i="1"/>
  <c r="I235" i="1"/>
  <c r="K235" i="1"/>
  <c r="P231" i="1"/>
  <c r="Q231" i="1" s="1"/>
  <c r="E235" i="1"/>
  <c r="M235" i="1"/>
  <c r="F235" i="1"/>
  <c r="N235" i="1"/>
  <c r="J235" i="1"/>
  <c r="O235" i="1"/>
  <c r="H235" i="1"/>
  <c r="P234" i="1"/>
  <c r="Q234" i="1" s="1"/>
  <c r="G225" i="1"/>
  <c r="I225" i="1"/>
  <c r="K225" i="1"/>
  <c r="J225" i="1"/>
  <c r="P217" i="1"/>
  <c r="Q217" i="1" s="1"/>
  <c r="L225" i="1"/>
  <c r="E225" i="1"/>
  <c r="M225" i="1"/>
  <c r="F225" i="1"/>
  <c r="O225" i="1"/>
  <c r="H225" i="1"/>
  <c r="D225" i="1"/>
  <c r="N225" i="1"/>
  <c r="P224" i="1"/>
  <c r="Q224" i="1" s="1"/>
  <c r="O206" i="1"/>
  <c r="N206" i="1"/>
  <c r="M206" i="1"/>
  <c r="L206" i="1"/>
  <c r="K206" i="1"/>
  <c r="J206" i="1"/>
  <c r="I206" i="1"/>
  <c r="H206" i="1"/>
  <c r="G206" i="1"/>
  <c r="F206" i="1"/>
  <c r="E206" i="1"/>
  <c r="D206" i="1"/>
  <c r="P203" i="1"/>
  <c r="Q203" i="1" s="1"/>
  <c r="O201" i="1"/>
  <c r="N201" i="1"/>
  <c r="M201" i="1"/>
  <c r="L201" i="1"/>
  <c r="K201" i="1"/>
  <c r="J201" i="1"/>
  <c r="I201" i="1"/>
  <c r="H201" i="1"/>
  <c r="G201" i="1"/>
  <c r="F201" i="1"/>
  <c r="E201" i="1"/>
  <c r="D201" i="1"/>
  <c r="P200" i="1"/>
  <c r="Q200" i="1" s="1"/>
  <c r="P198" i="1"/>
  <c r="Q198" i="1" s="1"/>
  <c r="P181" i="1"/>
  <c r="Q181" i="1" s="1"/>
  <c r="D184" i="1"/>
  <c r="E184" i="1"/>
  <c r="F184" i="1"/>
  <c r="G184" i="1"/>
  <c r="H184" i="1"/>
  <c r="I184" i="1"/>
  <c r="J184" i="1"/>
  <c r="K184" i="1"/>
  <c r="L184" i="1"/>
  <c r="M184" i="1"/>
  <c r="N184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P186" i="1"/>
  <c r="Q186" i="1" s="1"/>
  <c r="O184" i="1"/>
  <c r="P183" i="1"/>
  <c r="Q183" i="1" s="1"/>
  <c r="P182" i="1"/>
  <c r="Q182" i="1" s="1"/>
  <c r="P180" i="1"/>
  <c r="Q180" i="1" s="1"/>
  <c r="P179" i="1"/>
  <c r="Q179" i="1" s="1"/>
  <c r="P416" i="1" l="1"/>
  <c r="Q416" i="1" s="1"/>
  <c r="P311" i="1"/>
  <c r="Q311" i="1" s="1"/>
  <c r="P286" i="1"/>
  <c r="Q286" i="1" s="1"/>
  <c r="P335" i="1"/>
  <c r="Q335" i="1" s="1"/>
  <c r="P153" i="1"/>
  <c r="Q153" i="1" s="1"/>
  <c r="Q140" i="1"/>
  <c r="P129" i="1"/>
  <c r="Q129" i="1" s="1"/>
  <c r="Q128" i="1"/>
  <c r="P322" i="1"/>
  <c r="Q322" i="1" s="1"/>
  <c r="Q321" i="1"/>
  <c r="Q334" i="1"/>
  <c r="P478" i="1"/>
  <c r="Q478" i="1" s="1"/>
  <c r="K193" i="1"/>
  <c r="P428" i="1"/>
  <c r="Q428" i="1" s="1"/>
  <c r="P468" i="1"/>
  <c r="Q468" i="1" s="1"/>
  <c r="P458" i="1"/>
  <c r="Q458" i="1" s="1"/>
  <c r="P447" i="1"/>
  <c r="Q447" i="1" s="1"/>
  <c r="P399" i="1"/>
  <c r="Q399" i="1" s="1"/>
  <c r="P376" i="1"/>
  <c r="Q376" i="1" s="1"/>
  <c r="P360" i="1"/>
  <c r="Q360" i="1" s="1"/>
  <c r="P350" i="1"/>
  <c r="Q350" i="1" s="1"/>
  <c r="P264" i="1"/>
  <c r="Q264" i="1" s="1"/>
  <c r="P245" i="1"/>
  <c r="Q245" i="1" s="1"/>
  <c r="P235" i="1"/>
  <c r="Q235" i="1" s="1"/>
  <c r="P225" i="1"/>
  <c r="Q225" i="1" s="1"/>
  <c r="I207" i="1"/>
  <c r="J207" i="1"/>
  <c r="O193" i="1"/>
  <c r="P201" i="1"/>
  <c r="Q201" i="1" s="1"/>
  <c r="K207" i="1"/>
  <c r="D207" i="1"/>
  <c r="L207" i="1"/>
  <c r="E207" i="1"/>
  <c r="M207" i="1"/>
  <c r="F207" i="1"/>
  <c r="N207" i="1"/>
  <c r="G207" i="1"/>
  <c r="O207" i="1"/>
  <c r="H207" i="1"/>
  <c r="P206" i="1"/>
  <c r="Q206" i="1" s="1"/>
  <c r="F193" i="1"/>
  <c r="D193" i="1"/>
  <c r="L193" i="1"/>
  <c r="E193" i="1"/>
  <c r="M193" i="1"/>
  <c r="N193" i="1"/>
  <c r="G193" i="1"/>
  <c r="H193" i="1"/>
  <c r="I193" i="1"/>
  <c r="J193" i="1"/>
  <c r="P184" i="1"/>
  <c r="Q184" i="1" s="1"/>
  <c r="P192" i="1"/>
  <c r="Q192" i="1" s="1"/>
  <c r="O173" i="1"/>
  <c r="N173" i="1"/>
  <c r="M173" i="1"/>
  <c r="L173" i="1"/>
  <c r="K173" i="1"/>
  <c r="J173" i="1"/>
  <c r="I173" i="1"/>
  <c r="H173" i="1"/>
  <c r="G173" i="1"/>
  <c r="F173" i="1"/>
  <c r="E173" i="1"/>
  <c r="D173" i="1"/>
  <c r="P165" i="1"/>
  <c r="Q165" i="1" s="1"/>
  <c r="O163" i="1"/>
  <c r="N163" i="1"/>
  <c r="M163" i="1"/>
  <c r="L163" i="1"/>
  <c r="K163" i="1"/>
  <c r="J163" i="1"/>
  <c r="I163" i="1"/>
  <c r="H163" i="1"/>
  <c r="G163" i="1"/>
  <c r="F163" i="1"/>
  <c r="E163" i="1"/>
  <c r="D163" i="1"/>
  <c r="P162" i="1"/>
  <c r="Q162" i="1" s="1"/>
  <c r="P158" i="1"/>
  <c r="Q158" i="1" s="1"/>
  <c r="P102" i="1"/>
  <c r="Q102" i="1" s="1"/>
  <c r="P101" i="1"/>
  <c r="Q101" i="1" s="1"/>
  <c r="P100" i="1"/>
  <c r="Q100" i="1" s="1"/>
  <c r="P99" i="1"/>
  <c r="Q99" i="1" s="1"/>
  <c r="P85" i="1"/>
  <c r="Q85" i="1" s="1"/>
  <c r="O103" i="1"/>
  <c r="N103" i="1"/>
  <c r="M103" i="1"/>
  <c r="L103" i="1"/>
  <c r="K103" i="1"/>
  <c r="J103" i="1"/>
  <c r="I103" i="1"/>
  <c r="H103" i="1"/>
  <c r="G103" i="1"/>
  <c r="F103" i="1"/>
  <c r="E103" i="1"/>
  <c r="D103" i="1"/>
  <c r="P90" i="1"/>
  <c r="Q90" i="1" s="1"/>
  <c r="P89" i="1"/>
  <c r="Q89" i="1" s="1"/>
  <c r="O87" i="1"/>
  <c r="N87" i="1"/>
  <c r="M87" i="1"/>
  <c r="L87" i="1"/>
  <c r="K87" i="1"/>
  <c r="J87" i="1"/>
  <c r="I87" i="1"/>
  <c r="H87" i="1"/>
  <c r="G87" i="1"/>
  <c r="F87" i="1"/>
  <c r="E87" i="1"/>
  <c r="D87" i="1"/>
  <c r="P86" i="1"/>
  <c r="Q86" i="1" s="1"/>
  <c r="P75" i="1"/>
  <c r="Q75" i="1" s="1"/>
  <c r="E58" i="1"/>
  <c r="F58" i="1"/>
  <c r="G58" i="1"/>
  <c r="H58" i="1"/>
  <c r="I58" i="1"/>
  <c r="J58" i="1"/>
  <c r="K58" i="1"/>
  <c r="L58" i="1"/>
  <c r="M58" i="1"/>
  <c r="N58" i="1"/>
  <c r="O58" i="1"/>
  <c r="D58" i="1"/>
  <c r="P59" i="1"/>
  <c r="Q59" i="1" s="1"/>
  <c r="P60" i="1"/>
  <c r="Q60" i="1" s="1"/>
  <c r="P68" i="1"/>
  <c r="Q68" i="1" s="1"/>
  <c r="P55" i="1"/>
  <c r="Q55" i="1" s="1"/>
  <c r="O69" i="1"/>
  <c r="N69" i="1"/>
  <c r="M69" i="1"/>
  <c r="L69" i="1"/>
  <c r="K69" i="1"/>
  <c r="J69" i="1"/>
  <c r="I69" i="1"/>
  <c r="H69" i="1"/>
  <c r="G69" i="1"/>
  <c r="F69" i="1"/>
  <c r="E69" i="1"/>
  <c r="D69" i="1"/>
  <c r="E50" i="1"/>
  <c r="F50" i="1"/>
  <c r="G50" i="1"/>
  <c r="H50" i="1"/>
  <c r="I50" i="1"/>
  <c r="J50" i="1"/>
  <c r="K50" i="1"/>
  <c r="L50" i="1"/>
  <c r="M50" i="1"/>
  <c r="N50" i="1"/>
  <c r="O50" i="1"/>
  <c r="D50" i="1"/>
  <c r="P38" i="1"/>
  <c r="Q37" i="1" s="1"/>
  <c r="E36" i="1"/>
  <c r="F36" i="1"/>
  <c r="G36" i="1"/>
  <c r="H36" i="1"/>
  <c r="I36" i="1"/>
  <c r="J36" i="1"/>
  <c r="K36" i="1"/>
  <c r="L36" i="1"/>
  <c r="M36" i="1"/>
  <c r="N36" i="1"/>
  <c r="O36" i="1"/>
  <c r="D36" i="1"/>
  <c r="P32" i="1"/>
  <c r="Q31" i="1" s="1"/>
  <c r="P35" i="1"/>
  <c r="Q34" i="1" s="1"/>
  <c r="P34" i="1"/>
  <c r="Q33" i="1" s="1"/>
  <c r="P33" i="1"/>
  <c r="Q32" i="1" s="1"/>
  <c r="E26" i="1"/>
  <c r="F26" i="1"/>
  <c r="G26" i="1"/>
  <c r="H26" i="1"/>
  <c r="I26" i="1"/>
  <c r="J26" i="1"/>
  <c r="K26" i="1"/>
  <c r="L26" i="1"/>
  <c r="M26" i="1"/>
  <c r="N26" i="1"/>
  <c r="O26" i="1"/>
  <c r="D26" i="1"/>
  <c r="P16" i="1"/>
  <c r="Q15" i="1" s="1"/>
  <c r="P10" i="1"/>
  <c r="Q10" i="1" s="1"/>
  <c r="P11" i="1"/>
  <c r="Q11" i="1" s="1"/>
  <c r="P12" i="1"/>
  <c r="Q12" i="1" s="1"/>
  <c r="P9" i="1"/>
  <c r="Q9" i="1" s="1"/>
  <c r="P4" i="1"/>
  <c r="Q4" i="1" s="1"/>
  <c r="H104" i="1" l="1"/>
  <c r="G104" i="1"/>
  <c r="E174" i="1"/>
  <c r="M174" i="1"/>
  <c r="P207" i="1"/>
  <c r="Q207" i="1" s="1"/>
  <c r="P193" i="1"/>
  <c r="Q193" i="1" s="1"/>
  <c r="N174" i="1"/>
  <c r="F174" i="1"/>
  <c r="H174" i="1"/>
  <c r="D174" i="1"/>
  <c r="L174" i="1"/>
  <c r="G174" i="1"/>
  <c r="O174" i="1"/>
  <c r="I174" i="1"/>
  <c r="J174" i="1"/>
  <c r="K174" i="1"/>
  <c r="P173" i="1"/>
  <c r="Q173" i="1" s="1"/>
  <c r="P163" i="1"/>
  <c r="Q163" i="1" s="1"/>
  <c r="I51" i="1"/>
  <c r="F70" i="1"/>
  <c r="M104" i="1"/>
  <c r="O104" i="1"/>
  <c r="J104" i="1"/>
  <c r="N70" i="1"/>
  <c r="F104" i="1"/>
  <c r="N104" i="1"/>
  <c r="I70" i="1"/>
  <c r="K104" i="1"/>
  <c r="L104" i="1"/>
  <c r="P87" i="1"/>
  <c r="Q87" i="1" s="1"/>
  <c r="P103" i="1"/>
  <c r="Q103" i="1" s="1"/>
  <c r="D104" i="1"/>
  <c r="E70" i="1"/>
  <c r="M70" i="1"/>
  <c r="I104" i="1"/>
  <c r="E104" i="1"/>
  <c r="P58" i="1"/>
  <c r="Q58" i="1" s="1"/>
  <c r="D70" i="1"/>
  <c r="J70" i="1"/>
  <c r="G70" i="1"/>
  <c r="O70" i="1"/>
  <c r="H70" i="1"/>
  <c r="K70" i="1"/>
  <c r="L70" i="1"/>
  <c r="J51" i="1"/>
  <c r="G27" i="1"/>
  <c r="O27" i="1"/>
  <c r="N27" i="1"/>
  <c r="F27" i="1"/>
  <c r="J27" i="1"/>
  <c r="K51" i="1"/>
  <c r="D51" i="1"/>
  <c r="L27" i="1"/>
  <c r="O51" i="1"/>
  <c r="G51" i="1"/>
  <c r="N51" i="1"/>
  <c r="M51" i="1"/>
  <c r="F51" i="1"/>
  <c r="E51" i="1"/>
  <c r="L51" i="1"/>
  <c r="H51" i="1"/>
  <c r="I27" i="1"/>
  <c r="H27" i="1"/>
  <c r="M27" i="1"/>
  <c r="E27" i="1"/>
  <c r="K27" i="1"/>
  <c r="P69" i="1"/>
  <c r="Q69" i="1" s="1"/>
  <c r="P26" i="1"/>
  <c r="Q25" i="1" s="1"/>
  <c r="P36" i="1"/>
  <c r="Q35" i="1" s="1"/>
  <c r="P13" i="1"/>
  <c r="Q13" i="1" s="1"/>
  <c r="P50" i="1"/>
  <c r="Q49" i="1" s="1"/>
  <c r="P174" i="1" l="1"/>
  <c r="Q174" i="1" s="1"/>
  <c r="P104" i="1"/>
  <c r="Q104" i="1" s="1"/>
  <c r="P70" i="1"/>
  <c r="Q70" i="1" s="1"/>
  <c r="P51" i="1"/>
  <c r="Q50" i="1" s="1"/>
  <c r="P27" i="1"/>
  <c r="Q26" i="1" s="1"/>
  <c r="R27" i="1"/>
</calcChain>
</file>

<file path=xl/sharedStrings.xml><?xml version="1.0" encoding="utf-8"?>
<sst xmlns="http://schemas.openxmlformats.org/spreadsheetml/2006/main" count="1326" uniqueCount="230">
  <si>
    <t>Артикул</t>
  </si>
  <si>
    <t>Итог</t>
  </si>
  <si>
    <t xml:space="preserve">Январь  </t>
  </si>
  <si>
    <t xml:space="preserve">Февраль  </t>
  </si>
  <si>
    <t xml:space="preserve">Апрель  </t>
  </si>
  <si>
    <t xml:space="preserve">Май  </t>
  </si>
  <si>
    <t xml:space="preserve">Июнь  </t>
  </si>
  <si>
    <t xml:space="preserve">Июль  </t>
  </si>
  <si>
    <t xml:space="preserve">Август  </t>
  </si>
  <si>
    <t xml:space="preserve">Сентябрь  </t>
  </si>
  <si>
    <t xml:space="preserve">Октябрь  </t>
  </si>
  <si>
    <t xml:space="preserve">Ноябрь  </t>
  </si>
  <si>
    <t xml:space="preserve">Декабрь  </t>
  </si>
  <si>
    <t>Март</t>
  </si>
  <si>
    <t>Общий итог</t>
  </si>
  <si>
    <t>Итог ПРОДАЖА</t>
  </si>
  <si>
    <t>Итог СПИСАНИЕ</t>
  </si>
  <si>
    <t>Номенклатура</t>
  </si>
  <si>
    <t>ST20754C</t>
  </si>
  <si>
    <t>CC-5224X</t>
  </si>
  <si>
    <t>1009806735</t>
  </si>
  <si>
    <t>Фильтр топливный 1000700908</t>
  </si>
  <si>
    <t>Фильтр топливный 1009806735</t>
  </si>
  <si>
    <t>Фильтр топливный PL420</t>
  </si>
  <si>
    <t>Фильтр топливный ST20754C</t>
  </si>
  <si>
    <t>Фильтр топливный грубой очистки Weichai, 1000700908</t>
  </si>
  <si>
    <t>PL420</t>
  </si>
  <si>
    <t>1000100310</t>
  </si>
  <si>
    <t>Фильтр воздушный внешний DIFA 4382 + внутренний DIFA 4382-01, к-т</t>
  </si>
  <si>
    <t>DIFA 4382 + DIFA 4382-01</t>
  </si>
  <si>
    <t>Фильтр воздушный  81-21078-SX</t>
  </si>
  <si>
    <t>Фильтр воздушный 1000100310</t>
  </si>
  <si>
    <t>Фильтр воздушный A8506S</t>
  </si>
  <si>
    <t>Фильтр воздушный AP30969</t>
  </si>
  <si>
    <t>Фильтр воздушный P827653</t>
  </si>
  <si>
    <t>Фильтр воздушный P827653/P829332</t>
  </si>
  <si>
    <t>Фильтр воздушный внешний 1000100310</t>
  </si>
  <si>
    <t>Фильтр воздушный внешний 1000100310 + внутренний 1000100311</t>
  </si>
  <si>
    <t>Фильтр воздушный внешний DIFA 4382 + внутренний DIFA 4382-01</t>
  </si>
  <si>
    <t>Фильтр воздушный комплект AF2555+AF25484</t>
  </si>
  <si>
    <t>8121078SX</t>
  </si>
  <si>
    <t>A8506S</t>
  </si>
  <si>
    <t>AP30969</t>
  </si>
  <si>
    <t>P827653</t>
  </si>
  <si>
    <t>00-00007897</t>
  </si>
  <si>
    <t>AP30969K</t>
  </si>
  <si>
    <t>PU1433</t>
  </si>
  <si>
    <t>1000100311</t>
  </si>
  <si>
    <t>Фильтр воздушный  81-21134-SX</t>
  </si>
  <si>
    <t>Фильтр воздушный 1000100311</t>
  </si>
  <si>
    <t>Фильтр воздушный внутренний 1000100311</t>
  </si>
  <si>
    <t>8121134SX</t>
  </si>
  <si>
    <t>AP30970K</t>
  </si>
  <si>
    <t>1009806733</t>
  </si>
  <si>
    <t>CJ-6165X</t>
  </si>
  <si>
    <t>C-1812</t>
  </si>
  <si>
    <t>C5606</t>
  </si>
  <si>
    <t>C1812</t>
  </si>
  <si>
    <t>LS32571</t>
  </si>
  <si>
    <t>ST10711</t>
  </si>
  <si>
    <t>Фильтр масляный  Weichai  1001740614</t>
  </si>
  <si>
    <t>Фильтр масляный 1009806733</t>
  </si>
  <si>
    <t>Фильтр масляный C-1812</t>
  </si>
  <si>
    <t>Фильтр масляный C-5606</t>
  </si>
  <si>
    <t>Фильтр масляный C1812</t>
  </si>
  <si>
    <t>Фильтр масляный CTT05033P10C</t>
  </si>
  <si>
    <t>Фильтр масляный LS32571</t>
  </si>
  <si>
    <t>Фильтр масляный ST10711</t>
  </si>
  <si>
    <t>CTT05033P10C</t>
  </si>
  <si>
    <t>DIFA 6153</t>
  </si>
  <si>
    <t>1000002416</t>
  </si>
  <si>
    <t>1009806734</t>
  </si>
  <si>
    <t>Фильтр топливный  DIFA 6153</t>
  </si>
  <si>
    <t>Фильтр топливный  Weichai  1000002416</t>
  </si>
  <si>
    <t>Фильтр топливный 1009806734</t>
  </si>
  <si>
    <t>Фильтрующий элемент очистки топлива</t>
  </si>
  <si>
    <t>DIFA6153</t>
  </si>
  <si>
    <t>1010601542</t>
  </si>
  <si>
    <t>Z20140023</t>
  </si>
  <si>
    <t>ST20160</t>
  </si>
  <si>
    <t>Фильтр топливный 1010601542</t>
  </si>
  <si>
    <t>Фильтр топливный 24095328101</t>
  </si>
  <si>
    <t>Фильтр топливный FF5485</t>
  </si>
  <si>
    <t>Фильтр топливный SFC7945002</t>
  </si>
  <si>
    <t>Фильтр топливный ST20160</t>
  </si>
  <si>
    <t>Фильтр топливный Z20140023</t>
  </si>
  <si>
    <t>FF5485</t>
  </si>
  <si>
    <t>SFC7945002</t>
  </si>
  <si>
    <t>CC-5214X</t>
  </si>
  <si>
    <t>CJ-1342</t>
  </si>
  <si>
    <t>1000491060A</t>
  </si>
  <si>
    <t>1009806741</t>
  </si>
  <si>
    <t>Фильтр масляный 1000491060</t>
  </si>
  <si>
    <t>Фильтр масляный 1009806741</t>
  </si>
  <si>
    <t>Фильтр масляный 4110015194173</t>
  </si>
  <si>
    <t>Фильтр масляный M5502/LF17356</t>
  </si>
  <si>
    <t>Фильтр масляный WP4.1</t>
  </si>
  <si>
    <t>M5502</t>
  </si>
  <si>
    <t>WP4.1</t>
  </si>
  <si>
    <t>1010600689</t>
  </si>
  <si>
    <t>FS36216</t>
  </si>
  <si>
    <t>BC00005197</t>
  </si>
  <si>
    <t>EKO03329</t>
  </si>
  <si>
    <t>Фильтр топливный грубой очистки 1010600689</t>
  </si>
  <si>
    <t>Фильтр топливный грубой очистки EKO03329</t>
  </si>
  <si>
    <t>Фильтр топливный грубой очистки с колбой QF400420</t>
  </si>
  <si>
    <t>QF400420</t>
  </si>
  <si>
    <t>1991100323</t>
  </si>
  <si>
    <t>15208-01B00</t>
  </si>
  <si>
    <t>HH16432430</t>
  </si>
  <si>
    <t>LS32680K</t>
  </si>
  <si>
    <t>Фильтр масляный 1991100323</t>
  </si>
  <si>
    <t>Фильтр масляный LS32680</t>
  </si>
  <si>
    <t>FK28316K</t>
  </si>
  <si>
    <t>ST20009</t>
  </si>
  <si>
    <t>ST21336</t>
  </si>
  <si>
    <t>1000400196</t>
  </si>
  <si>
    <t>Фильтр топливный 1000400196</t>
  </si>
  <si>
    <t>Фильтр топливный FK28316K</t>
  </si>
  <si>
    <t>Фильтр топливный HH166-43560</t>
  </si>
  <si>
    <t>Фильтр топливный ZP598BF</t>
  </si>
  <si>
    <t>ZP598BF</t>
  </si>
  <si>
    <t>1009901968</t>
  </si>
  <si>
    <t>C-7926</t>
  </si>
  <si>
    <t>1010601709</t>
  </si>
  <si>
    <t>28.07.000238</t>
  </si>
  <si>
    <t>1000400458</t>
  </si>
  <si>
    <t>RF-1860</t>
  </si>
  <si>
    <t>EKO-03.402</t>
  </si>
  <si>
    <t>FS20018</t>
  </si>
  <si>
    <t>FS20021</t>
  </si>
  <si>
    <t>Фильтр топливный RF-1860</t>
  </si>
  <si>
    <t>Фильтр топливный сепаратор 1000400458</t>
  </si>
  <si>
    <t>Фильтр топливный сепаратор EKO-03.402</t>
  </si>
  <si>
    <t>Фильтр топливный сепаратор FS20018</t>
  </si>
  <si>
    <t>Фильтр топливный сепаратор FS20021</t>
  </si>
  <si>
    <t>CC-5165X</t>
  </si>
  <si>
    <t>FS36209</t>
  </si>
  <si>
    <t>SN40547</t>
  </si>
  <si>
    <t>ST20071</t>
  </si>
  <si>
    <t>1000000876</t>
  </si>
  <si>
    <t>Фильтр топливный 1000000876</t>
  </si>
  <si>
    <t>Фильтр топливный 5268019</t>
  </si>
  <si>
    <t>Фильтр топливный FS36209</t>
  </si>
  <si>
    <t>Фильтр топливный SN40547</t>
  </si>
  <si>
    <t>Фильтр топливный ST20071</t>
  </si>
  <si>
    <t>1009900947</t>
  </si>
  <si>
    <t>DIFA5502</t>
  </si>
  <si>
    <t>LS50031K</t>
  </si>
  <si>
    <t>Фильтр масляный 1009900947</t>
  </si>
  <si>
    <t>Фильтр масляный 5266016</t>
  </si>
  <si>
    <t>Фильтр масляный 92567</t>
  </si>
  <si>
    <t>Фильтр масляный DIFA 5502</t>
  </si>
  <si>
    <t>Фильтр масляный DIFA5502</t>
  </si>
  <si>
    <t>Фильтр масляный EKO-02.248</t>
  </si>
  <si>
    <t>Фильтр масляный LF17356</t>
  </si>
  <si>
    <t>Фильтр масляный LS50031K</t>
  </si>
  <si>
    <t>Фильтр сменный для масла</t>
  </si>
  <si>
    <t>GB104</t>
  </si>
  <si>
    <t>EKO-02.248</t>
  </si>
  <si>
    <t>LF17356</t>
  </si>
  <si>
    <t>ST20047</t>
  </si>
  <si>
    <t>1000400428</t>
  </si>
  <si>
    <t>1000400457</t>
  </si>
  <si>
    <t>DIFA 6501</t>
  </si>
  <si>
    <t>Фильтр топливный 1000400457</t>
  </si>
  <si>
    <t>1000300679</t>
  </si>
  <si>
    <t>CJ6176X</t>
  </si>
  <si>
    <t>LS32883K</t>
  </si>
  <si>
    <t>Фильтр масляный 1000300679</t>
  </si>
  <si>
    <t>Фильтр масляный 5399594</t>
  </si>
  <si>
    <t>Фильтр масляный LS32883K</t>
  </si>
  <si>
    <t>1010500489</t>
  </si>
  <si>
    <t>1010601571</t>
  </si>
  <si>
    <t>RF-4949</t>
  </si>
  <si>
    <t>Фильтр гидравлический 1010601571</t>
  </si>
  <si>
    <t>Фильтр гидравлический HLX-8049</t>
  </si>
  <si>
    <t>Фильтр гидравлический RF-4949</t>
  </si>
  <si>
    <t>HLX-8049</t>
  </si>
  <si>
    <t>G-0055D005ON</t>
  </si>
  <si>
    <t>RF-4390</t>
  </si>
  <si>
    <t>ST38007</t>
  </si>
  <si>
    <t>1019902592</t>
  </si>
  <si>
    <t>Фильтр гидравлический G-0055D005ON</t>
  </si>
  <si>
    <t>Фильтр гидравлический P764665</t>
  </si>
  <si>
    <t>Фильтр гидравлический RF-4390</t>
  </si>
  <si>
    <t>Фильтр гидравлический SH75205</t>
  </si>
  <si>
    <t>Фильтр гидравлический ST38007</t>
  </si>
  <si>
    <t>P764665</t>
  </si>
  <si>
    <t>SH75205</t>
  </si>
  <si>
    <t>1019902593</t>
  </si>
  <si>
    <t>D0095A10NHA</t>
  </si>
  <si>
    <t>G-0095D005ON</t>
  </si>
  <si>
    <t>TFH5323</t>
  </si>
  <si>
    <t>Фильтр гидравлический G-0095D005ON</t>
  </si>
  <si>
    <t>Фильтр гидравлический TFH5323</t>
  </si>
  <si>
    <t>1019902594</t>
  </si>
  <si>
    <t>HF28948</t>
  </si>
  <si>
    <t>Фильтр гидравлический 1019902594</t>
  </si>
  <si>
    <t>Фильтр гидравлический HF28948</t>
  </si>
  <si>
    <t>1010601865</t>
  </si>
  <si>
    <t>RF-4696</t>
  </si>
  <si>
    <t>ST30057J</t>
  </si>
  <si>
    <t>Фильтр гидравлический 1010601865</t>
  </si>
  <si>
    <t>Фильтр гидравлический RF-4696</t>
  </si>
  <si>
    <t>Фильтр гидравлический ST30057J</t>
  </si>
  <si>
    <t>CH-1178</t>
  </si>
  <si>
    <t>1010600940</t>
  </si>
  <si>
    <t>28.07.000239</t>
  </si>
  <si>
    <t>1010601507</t>
  </si>
  <si>
    <t>1010601513</t>
  </si>
  <si>
    <t xml:space="preserve">Фильтр топливный PL420 </t>
  </si>
  <si>
    <t>Фильтр масляный HH16432430</t>
  </si>
  <si>
    <t>Фильтр топливный ST20009</t>
  </si>
  <si>
    <t>Фильтр топливный ST21336</t>
  </si>
  <si>
    <t>Фильтр масляный C-7926</t>
  </si>
  <si>
    <t>Фильтр топливный сепаратор Kubota V3307 1E786-43060</t>
  </si>
  <si>
    <t>Фильтр топливный сепаратор 1010601425</t>
  </si>
  <si>
    <t xml:space="preserve">Фильтр топливный SN40547 </t>
  </si>
  <si>
    <t>Фильтр топливный ST20047</t>
  </si>
  <si>
    <t>Фильтр топливный ST20047 STAL</t>
  </si>
  <si>
    <t>Фильтр топливный DIFA 6501</t>
  </si>
  <si>
    <t>Фильтр-сапун в сборе 1010500489</t>
  </si>
  <si>
    <t>Фильтр гидравлический 1010602080</t>
  </si>
  <si>
    <t>Фильтр гидравлический D0095A10NHA</t>
  </si>
  <si>
    <t xml:space="preserve">Фильтр гидравлический ST30057J </t>
  </si>
  <si>
    <t>Фильтр гидравлический 0100MX010BN4HC</t>
  </si>
  <si>
    <t>Фильтр гидравлический 1010600940</t>
  </si>
  <si>
    <t>Фильтр гидравлический 15706189990</t>
  </si>
  <si>
    <t>Фильтр гидравлический 1010601513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</si>
</sst>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49" fontId="1" fillId="2" borderId="1" xfId="0" applyNumberFormat="1" applyFont="1" applyFill="1" applyBorder="1"/>
    <xf numFmtId="49" fontId="0" fillId="0" borderId="1" xfId="0" applyNumberFormat="1" applyBorder="1"/>
    <xf numFmtId="49" fontId="1" fillId="0" borderId="1" xfId="0" applyNumberFormat="1" applyFont="1" applyBorder="1"/>
    <xf numFmtId="49" fontId="1" fillId="2" borderId="1" xfId="0" applyNumberFormat="1" applyFont="1" applyFill="1" applyBorder="1" applyAlignment="1">
      <alignment horizontal="left"/>
    </xf>
    <xf numFmtId="49" fontId="0" fillId="0" borderId="1" xfId="1" applyNumberFormat="1" applyFont="1" applyBorder="1"/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0" fontId="1" fillId="4" borderId="1" xfId="0" applyFont="1" applyFill="1" applyBorder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6" fontId="1" fillId="0" borderId="2" xfId="0" applyNumberFormat="1" applyFont="1" applyFill="1" applyBorder="1"/>
  </cellXfs>
  <cellStyles count="2">
    <cellStyle name="Обычный" xfId="0" builtinId="0"/>
    <cellStyle name="Процентный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479"/>
  <sheetViews>
    <sheetView tabSelected="1" workbookViewId="0">
      <selection activeCell="AC34" sqref="AC34"/>
    </sheetView>
  </sheetViews>
  <sheetFormatPr defaultRowHeight="14.4" x14ac:dyDescent="0.3"/>
  <cols>
    <col min="2" max="2" width="42.44140625" style="9" customWidth="1"/>
    <col min="3" max="3" width="15.5546875" style="9" customWidth="1"/>
    <col min="17" max="17" width="38.21875" hidden="1" customWidth="1"/>
    <col min="18" max="30" width="8.88671875" style="16"/>
  </cols>
  <sheetData>
    <row r="1" spans="2:30" x14ac:dyDescent="0.3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R1" s="17">
        <v>13</v>
      </c>
      <c r="S1" s="17">
        <v>14</v>
      </c>
      <c r="T1" s="17">
        <v>15</v>
      </c>
      <c r="U1" s="17">
        <v>16</v>
      </c>
      <c r="V1" s="17">
        <v>17</v>
      </c>
      <c r="W1" s="17">
        <v>18</v>
      </c>
      <c r="X1" s="17">
        <v>19</v>
      </c>
      <c r="Y1" s="17">
        <v>20</v>
      </c>
      <c r="Z1" s="17">
        <v>21</v>
      </c>
      <c r="AA1" s="17">
        <v>22</v>
      </c>
      <c r="AB1" s="17">
        <v>23</v>
      </c>
      <c r="AC1" s="17">
        <v>24</v>
      </c>
    </row>
    <row r="2" spans="2:30" x14ac:dyDescent="0.3">
      <c r="B2" s="4" t="s">
        <v>20</v>
      </c>
    </row>
    <row r="3" spans="2:30" x14ac:dyDescent="0.3">
      <c r="B3" s="11" t="s">
        <v>17</v>
      </c>
      <c r="C3" s="11" t="s">
        <v>0</v>
      </c>
      <c r="D3" s="12" t="s">
        <v>2</v>
      </c>
      <c r="E3" s="12" t="s">
        <v>3</v>
      </c>
      <c r="F3" s="12" t="s">
        <v>13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12</v>
      </c>
      <c r="P3" s="14" t="s">
        <v>1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 t="s">
        <v>1</v>
      </c>
    </row>
    <row r="4" spans="2:30" x14ac:dyDescent="0.3">
      <c r="B4" s="5" t="s">
        <v>21</v>
      </c>
      <c r="C4" s="5">
        <v>1000700908</v>
      </c>
      <c r="D4" s="1"/>
      <c r="E4" s="1"/>
      <c r="F4" s="1"/>
      <c r="G4" s="1"/>
      <c r="H4" s="1">
        <v>2</v>
      </c>
      <c r="I4" s="1"/>
      <c r="J4" s="1"/>
      <c r="K4" s="1"/>
      <c r="L4" s="1"/>
      <c r="M4" s="1">
        <v>1</v>
      </c>
      <c r="N4" s="1"/>
      <c r="O4" s="1"/>
      <c r="P4" s="14">
        <f t="shared" ref="P4:P12" si="0">SUM(D4:O4)</f>
        <v>3</v>
      </c>
      <c r="Q4" t="str">
        <f>_xlfn.CONCAT(B4,C4,D4,E4,F4,G4,H4,I4,J4,K4,L4,M4,N4,O4,P4)</f>
        <v>Фильтр топливный 10007009081000700908213</v>
      </c>
      <c r="R4" s="18">
        <f t="array" ref="R4">IF(COUNT($D4:$O4)=1, 0,
      MAX(
        _xlfn.FORECAST.LINEAR(R$1,
          IF($D4:$O4="",0,$D4:$O4),
          $D$1:$O$1
        ), 0
      )
)</f>
        <v>0.27272727272727271</v>
      </c>
      <c r="S4" s="18">
        <f t="array" ref="S4">IF(COUNT($D4:$O4)=1, 0,
      MAX(
        _xlfn.FORECAST.LINEAR(S$1,
          IF($D4:$O4="",0,$D4:$O4),
          $D$1:$O$1
        ), 0
      )
)</f>
        <v>0.2762237762237762</v>
      </c>
      <c r="T4" s="18">
        <f t="array" ref="T4">IF(COUNT($D4:$O4)=1, 0,
      MAX(
        _xlfn.FORECAST.LINEAR(T$1,
          IF($D4:$O4="",0,$D4:$O4),
          $D$1:$O$1
        ), 0
      )
)</f>
        <v>0.27972027972027969</v>
      </c>
      <c r="U4" s="18">
        <f t="array" ref="U4">IF(COUNT($D4:$O4)=1, 0,
      MAX(
        _xlfn.FORECAST.LINEAR(U$1,
          IF($D4:$O4="",0,$D4:$O4),
          $D$1:$O$1
        ), 0
      )
)</f>
        <v>0.28321678321678323</v>
      </c>
      <c r="V4" s="18">
        <f t="array" ref="V4">IF(COUNT($D4:$O4)=1, 0,
      MAX(
        _xlfn.FORECAST.LINEAR(V$1,
          IF($D4:$O4="",0,$D4:$O4),
          $D$1:$O$1
        ), 0
      )
)</f>
        <v>0.28671328671328672</v>
      </c>
      <c r="W4" s="18">
        <f t="array" ref="W4">IF(COUNT($D4:$O4)=1, 0,
      MAX(
        _xlfn.FORECAST.LINEAR(W$1,
          IF($D4:$O4="",0,$D4:$O4),
          $D$1:$O$1
        ), 0
      )
)</f>
        <v>0.29020979020979021</v>
      </c>
      <c r="X4" s="18">
        <f t="array" ref="X4">IF(COUNT($D4:$O4)=1, 0,
      MAX(
        _xlfn.FORECAST.LINEAR(X$1,
          IF($D4:$O4="",0,$D4:$O4),
          $D$1:$O$1
        ), 0
      )
)</f>
        <v>0.2937062937062937</v>
      </c>
      <c r="Y4" s="18">
        <f t="array" ref="Y4">IF(COUNT($D4:$O4)=1, 0,
      MAX(
        _xlfn.FORECAST.LINEAR(Y$1,
          IF($D4:$O4="",0,$D4:$O4),
          $D$1:$O$1
        ), 0
      )
)</f>
        <v>0.29720279720279719</v>
      </c>
      <c r="Z4" s="18">
        <f t="array" ref="Z4">IF(COUNT($D4:$O4)=1, 0,
      MAX(
        _xlfn.FORECAST.LINEAR(Z$1,
          IF($D4:$O4="",0,$D4:$O4),
          $D$1:$O$1
        ), 0
      )
)</f>
        <v>0.30069930069930068</v>
      </c>
      <c r="AA4" s="18">
        <f t="array" ref="AA4">IF(COUNT($D4:$O4)=1, 0,
      MAX(
        _xlfn.FORECAST.LINEAR(AA$1,
          IF($D4:$O4="",0,$D4:$O4),
          $D$1:$O$1
        ), 0
      )
)</f>
        <v>0.30419580419580416</v>
      </c>
      <c r="AB4" s="18">
        <f t="array" ref="AB4">IF(COUNT($D4:$O4)=1, 0,
      MAX(
        _xlfn.FORECAST.LINEAR(AB$1,
          IF($D4:$O4="",0,$D4:$O4),
          $D$1:$O$1
        ), 0
      )
)</f>
        <v>0.30769230769230771</v>
      </c>
      <c r="AC4" s="18">
        <f t="array" ref="AC4">IF(COUNT($D4:$O4)=1, 0,
      MAX(
        _xlfn.FORECAST.LINEAR(AC$1,
          IF($D4:$O4="",0,$D4:$O4),
          $D$1:$O$1
        ), 0
      )
)</f>
        <v>0.3111888111888112</v>
      </c>
      <c r="AD4" s="18">
        <f t="array" ref="AD4">IF(COUNT($D4:$O4)=1, 0,
      MAX(
        _xlfn.FORECAST.LINEAR(AD$1,
          IF($D4:$O4="",0,$D4:$O4),
          $D$1:$O$1
        ), 0
      )
)</f>
        <v>0.22727272727272727</v>
      </c>
    </row>
    <row r="5" spans="2:30" x14ac:dyDescent="0.3">
      <c r="B5" s="5" t="s">
        <v>22</v>
      </c>
      <c r="C5" s="5">
        <v>1000700908</v>
      </c>
      <c r="D5" s="1"/>
      <c r="E5" s="1"/>
      <c r="F5" s="1"/>
      <c r="G5" s="1"/>
      <c r="H5" s="1"/>
      <c r="I5" s="1"/>
      <c r="J5" s="1"/>
      <c r="K5" s="1">
        <v>8</v>
      </c>
      <c r="L5" s="1">
        <v>11</v>
      </c>
      <c r="M5" s="1">
        <v>49</v>
      </c>
      <c r="N5" s="1">
        <v>9</v>
      </c>
      <c r="O5" s="1">
        <v>5</v>
      </c>
      <c r="P5" s="14">
        <f t="shared" si="0"/>
        <v>82</v>
      </c>
      <c r="Q5" t="str">
        <f t="shared" ref="Q5:Q8" si="1">_xlfn.CONCAT(B5,C5,D5,E5,F5,G5,H5,I5,J5,K5,L5,M5,N5,O5,P5)</f>
        <v>Фильтр топливный 10098067351000700908811499582</v>
      </c>
      <c r="R5" s="18">
        <f t="array" ref="R5">IF(COUNT($D5:$O5)=1, 0,
      MAX(
        _xlfn.FORECAST.LINEAR(R$1,
          IF($D5:$O5="",0,$D5:$O5),
          $D$1:$O$1
        ), 0
      )
)</f>
        <v>19.515151515151516</v>
      </c>
      <c r="S5" s="18">
        <f t="array" ref="S5">IF(COUNT($D5:$O5)=1, 0,
      MAX(
        _xlfn.FORECAST.LINEAR(S$1,
          IF($D5:$O5="",0,$D5:$O5),
          $D$1:$O$1
        ), 0
      )
)</f>
        <v>21.466200466200466</v>
      </c>
      <c r="T5" s="18">
        <f t="array" ref="T5">IF(COUNT($D5:$O5)=1, 0,
      MAX(
        _xlfn.FORECAST.LINEAR(T$1,
          IF($D5:$O5="",0,$D5:$O5),
          $D$1:$O$1
        ), 0
      )
)</f>
        <v>23.417249417249419</v>
      </c>
      <c r="U5" s="18">
        <f t="array" ref="U5">IF(COUNT($D5:$O5)=1, 0,
      MAX(
        _xlfn.FORECAST.LINEAR(U$1,
          IF($D5:$O5="",0,$D5:$O5),
          $D$1:$O$1
        ), 0
      )
)</f>
        <v>25.368298368298369</v>
      </c>
      <c r="V5" s="18">
        <f t="array" ref="V5">IF(COUNT($D5:$O5)=1, 0,
      MAX(
        _xlfn.FORECAST.LINEAR(V$1,
          IF($D5:$O5="",0,$D5:$O5),
          $D$1:$O$1
        ), 0
      )
)</f>
        <v>27.319347319347319</v>
      </c>
      <c r="W5" s="18">
        <f t="array" ref="W5">IF(COUNT($D5:$O5)=1, 0,
      MAX(
        _xlfn.FORECAST.LINEAR(W$1,
          IF($D5:$O5="",0,$D5:$O5),
          $D$1:$O$1
        ), 0
      )
)</f>
        <v>29.270396270396272</v>
      </c>
      <c r="X5" s="18">
        <f t="array" ref="X5">IF(COUNT($D5:$O5)=1, 0,
      MAX(
        _xlfn.FORECAST.LINEAR(X$1,
          IF($D5:$O5="",0,$D5:$O5),
          $D$1:$O$1
        ), 0
      )
)</f>
        <v>31.221445221445219</v>
      </c>
      <c r="Y5" s="18">
        <f t="array" ref="Y5">IF(COUNT($D5:$O5)=1, 0,
      MAX(
        _xlfn.FORECAST.LINEAR(Y$1,
          IF($D5:$O5="",0,$D5:$O5),
          $D$1:$O$1
        ), 0
      )
)</f>
        <v>33.172494172494169</v>
      </c>
      <c r="Z5" s="18">
        <f t="array" ref="Z5">IF(COUNT($D5:$O5)=1, 0,
      MAX(
        _xlfn.FORECAST.LINEAR(Z$1,
          IF($D5:$O5="",0,$D5:$O5),
          $D$1:$O$1
        ), 0
      )
)</f>
        <v>35.123543123543122</v>
      </c>
      <c r="AA5" s="18">
        <f t="array" ref="AA5">IF(COUNT($D5:$O5)=1, 0,
      MAX(
        _xlfn.FORECAST.LINEAR(AA$1,
          IF($D5:$O5="",0,$D5:$O5),
          $D$1:$O$1
        ), 0
      )
)</f>
        <v>37.074592074592069</v>
      </c>
      <c r="AB5" s="18">
        <f t="array" ref="AB5">IF(COUNT($D5:$O5)=1, 0,
      MAX(
        _xlfn.FORECAST.LINEAR(AB$1,
          IF($D5:$O5="",0,$D5:$O5),
          $D$1:$O$1
        ), 0
      )
)</f>
        <v>39.025641025641022</v>
      </c>
      <c r="AC5" s="18">
        <f t="array" ref="AC5">IF(COUNT($D5:$O5)=1, 0,
      MAX(
        _xlfn.FORECAST.LINEAR(AC$1,
          IF($D5:$O5="",0,$D5:$O5),
          $D$1:$O$1
        ), 0
      )
)</f>
        <v>40.976689976689975</v>
      </c>
      <c r="AD5" s="18">
        <f t="shared" ref="AD5:AD12" si="2">SUM(R5:AC5)</f>
        <v>362.95104895104896</v>
      </c>
    </row>
    <row r="6" spans="2:30" x14ac:dyDescent="0.3">
      <c r="B6" s="5" t="s">
        <v>22</v>
      </c>
      <c r="C6" s="5">
        <v>1009806735</v>
      </c>
      <c r="D6" s="1">
        <v>2</v>
      </c>
      <c r="E6" s="1">
        <v>10</v>
      </c>
      <c r="F6" s="1">
        <v>39</v>
      </c>
      <c r="G6" s="1">
        <v>11</v>
      </c>
      <c r="H6" s="1"/>
      <c r="I6" s="1">
        <v>1</v>
      </c>
      <c r="J6" s="1"/>
      <c r="K6" s="1">
        <v>3</v>
      </c>
      <c r="L6" s="1"/>
      <c r="M6" s="1"/>
      <c r="N6" s="1"/>
      <c r="O6" s="1"/>
      <c r="P6" s="14">
        <f t="shared" si="0"/>
        <v>66</v>
      </c>
      <c r="Q6" t="str">
        <f t="shared" si="1"/>
        <v>Фильтр топливный 1009806735100980673521039111366</v>
      </c>
      <c r="R6" s="18">
        <f t="array" ref="R6">IF(COUNT($D6:$O6)=1, 0,
      MAX(
        _xlfn.FORECAST.LINEAR(R$1,
          IF($D6:$O6="",0,$D6:$O6),
          $D$1:$O$1
        ), 0
      )
)</f>
        <v>0</v>
      </c>
      <c r="S6" s="18">
        <f t="array" ref="S6">IF(COUNT($D6:$O6)=1, 0,
      MAX(
        _xlfn.FORECAST.LINEAR(S$1,
          IF($D6:$O6="",0,$D6:$O6),
          $D$1:$O$1
        ), 0
      )
)</f>
        <v>0</v>
      </c>
      <c r="T6" s="18">
        <f t="array" ref="T6">IF(COUNT($D6:$O6)=1, 0,
      MAX(
        _xlfn.FORECAST.LINEAR(T$1,
          IF($D6:$O6="",0,$D6:$O6),
          $D$1:$O$1
        ), 0
      )
)</f>
        <v>0</v>
      </c>
      <c r="U6" s="18">
        <f t="array" ref="U6">IF(COUNT($D6:$O6)=1, 0,
      MAX(
        _xlfn.FORECAST.LINEAR(U$1,
          IF($D6:$O6="",0,$D6:$O6),
          $D$1:$O$1
        ), 0
      )
)</f>
        <v>0</v>
      </c>
      <c r="V6" s="18">
        <f t="array" ref="V6">IF(COUNT($D6:$O6)=1, 0,
      MAX(
        _xlfn.FORECAST.LINEAR(V$1,
          IF($D6:$O6="",0,$D6:$O6),
          $D$1:$O$1
        ), 0
      )
)</f>
        <v>0</v>
      </c>
      <c r="W6" s="18">
        <f t="array" ref="W6">IF(COUNT($D6:$O6)=1, 0,
      MAX(
        _xlfn.FORECAST.LINEAR(W$1,
          IF($D6:$O6="",0,$D6:$O6),
          $D$1:$O$1
        ), 0
      )
)</f>
        <v>0</v>
      </c>
      <c r="X6" s="18">
        <f t="array" ref="X6">IF(COUNT($D6:$O6)=1, 0,
      MAX(
        _xlfn.FORECAST.LINEAR(X$1,
          IF($D6:$O6="",0,$D6:$O6),
          $D$1:$O$1
        ), 0
      )
)</f>
        <v>0</v>
      </c>
      <c r="Y6" s="18">
        <f t="array" ref="Y6">IF(COUNT($D6:$O6)=1, 0,
      MAX(
        _xlfn.FORECAST.LINEAR(Y$1,
          IF($D6:$O6="",0,$D6:$O6),
          $D$1:$O$1
        ), 0
      )
)</f>
        <v>0</v>
      </c>
      <c r="Z6" s="18">
        <f t="array" ref="Z6">IF(COUNT($D6:$O6)=1, 0,
      MAX(
        _xlfn.FORECAST.LINEAR(Z$1,
          IF($D6:$O6="",0,$D6:$O6),
          $D$1:$O$1
        ), 0
      )
)</f>
        <v>0</v>
      </c>
      <c r="AA6" s="18">
        <f t="array" ref="AA6">IF(COUNT($D6:$O6)=1, 0,
      MAX(
        _xlfn.FORECAST.LINEAR(AA$1,
          IF($D6:$O6="",0,$D6:$O6),
          $D$1:$O$1
        ), 0
      )
)</f>
        <v>0</v>
      </c>
      <c r="AB6" s="18">
        <f t="array" ref="AB6">IF(COUNT($D6:$O6)=1, 0,
      MAX(
        _xlfn.FORECAST.LINEAR(AB$1,
          IF($D6:$O6="",0,$D6:$O6),
          $D$1:$O$1
        ), 0
      )
)</f>
        <v>0</v>
      </c>
      <c r="AC6" s="18">
        <f t="array" ref="AC6">IF(COUNT($D6:$O6)=1, 0,
      MAX(
        _xlfn.FORECAST.LINEAR(AC$1,
          IF($D6:$O6="",0,$D6:$O6),
          $D$1:$O$1
        ), 0
      )
)</f>
        <v>0</v>
      </c>
      <c r="AD6" s="18">
        <f t="shared" si="2"/>
        <v>0</v>
      </c>
    </row>
    <row r="7" spans="2:30" x14ac:dyDescent="0.3">
      <c r="B7" s="5" t="s">
        <v>24</v>
      </c>
      <c r="C7" s="5" t="s">
        <v>18</v>
      </c>
      <c r="D7" s="1">
        <v>57</v>
      </c>
      <c r="E7" s="1">
        <v>69</v>
      </c>
      <c r="F7" s="1">
        <v>97</v>
      </c>
      <c r="G7" s="1">
        <v>19</v>
      </c>
      <c r="H7" s="1">
        <v>40</v>
      </c>
      <c r="I7" s="1">
        <v>3</v>
      </c>
      <c r="J7" s="1">
        <v>24</v>
      </c>
      <c r="K7" s="1">
        <v>37</v>
      </c>
      <c r="L7" s="1">
        <v>19</v>
      </c>
      <c r="M7" s="1">
        <v>3</v>
      </c>
      <c r="N7" s="1">
        <v>17</v>
      </c>
      <c r="O7" s="1">
        <v>31</v>
      </c>
      <c r="P7" s="14">
        <f t="shared" si="0"/>
        <v>416</v>
      </c>
      <c r="Q7" t="str">
        <f t="shared" si="1"/>
        <v>Фильтр топливный ST20754CST20754C5769971940324371931731416</v>
      </c>
      <c r="R7" s="18">
        <f t="array" ref="R7">IF(COUNT($D7:$O7)=1, 0,
      MAX(
        _xlfn.FORECAST.LINEAR(R$1,
          IF($D7:$O7="",0,$D7:$O7),
          $D$1:$O$1
        ), 0
      )
)</f>
        <v>2.8484848484848513</v>
      </c>
      <c r="S7" s="18">
        <f t="array" ref="S7">IF(COUNT($D7:$O7)=1, 0,
      MAX(
        _xlfn.FORECAST.LINEAR(S$1,
          IF($D7:$O7="",0,$D7:$O7),
          $D$1:$O$1
        ), 0
      )
)</f>
        <v>0</v>
      </c>
      <c r="T7" s="18">
        <f t="array" ref="T7">IF(COUNT($D7:$O7)=1, 0,
      MAX(
        _xlfn.FORECAST.LINEAR(T$1,
          IF($D7:$O7="",0,$D7:$O7),
          $D$1:$O$1
        ), 0
      )
)</f>
        <v>0</v>
      </c>
      <c r="U7" s="18">
        <f t="array" ref="U7">IF(COUNT($D7:$O7)=1, 0,
      MAX(
        _xlfn.FORECAST.LINEAR(U$1,
          IF($D7:$O7="",0,$D7:$O7),
          $D$1:$O$1
        ), 0
      )
)</f>
        <v>0</v>
      </c>
      <c r="V7" s="18">
        <f t="array" ref="V7">IF(COUNT($D7:$O7)=1, 0,
      MAX(
        _xlfn.FORECAST.LINEAR(V$1,
          IF($D7:$O7="",0,$D7:$O7),
          $D$1:$O$1
        ), 0
      )
)</f>
        <v>0</v>
      </c>
      <c r="W7" s="18">
        <f t="array" ref="W7">IF(COUNT($D7:$O7)=1, 0,
      MAX(
        _xlfn.FORECAST.LINEAR(W$1,
          IF($D7:$O7="",0,$D7:$O7),
          $D$1:$O$1
        ), 0
      )
)</f>
        <v>0</v>
      </c>
      <c r="X7" s="18">
        <f t="array" ref="X7">IF(COUNT($D7:$O7)=1, 0,
      MAX(
        _xlfn.FORECAST.LINEAR(X$1,
          IF($D7:$O7="",0,$D7:$O7),
          $D$1:$O$1
        ), 0
      )
)</f>
        <v>0</v>
      </c>
      <c r="Y7" s="18">
        <f t="array" ref="Y7">IF(COUNT($D7:$O7)=1, 0,
      MAX(
        _xlfn.FORECAST.LINEAR(Y$1,
          IF($D7:$O7="",0,$D7:$O7),
          $D$1:$O$1
        ), 0
      )
)</f>
        <v>0</v>
      </c>
      <c r="Z7" s="18">
        <f t="array" ref="Z7">IF(COUNT($D7:$O7)=1, 0,
      MAX(
        _xlfn.FORECAST.LINEAR(Z$1,
          IF($D7:$O7="",0,$D7:$O7),
          $D$1:$O$1
        ), 0
      )
)</f>
        <v>0</v>
      </c>
      <c r="AA7" s="18">
        <f t="array" ref="AA7">IF(COUNT($D7:$O7)=1, 0,
      MAX(
        _xlfn.FORECAST.LINEAR(AA$1,
          IF($D7:$O7="",0,$D7:$O7),
          $D$1:$O$1
        ), 0
      )
)</f>
        <v>0</v>
      </c>
      <c r="AB7" s="18">
        <f t="array" ref="AB7">IF(COUNT($D7:$O7)=1, 0,
      MAX(
        _xlfn.FORECAST.LINEAR(AB$1,
          IF($D7:$O7="",0,$D7:$O7),
          $D$1:$O$1
        ), 0
      )
)</f>
        <v>0</v>
      </c>
      <c r="AC7" s="18">
        <f t="array" ref="AC7">IF(COUNT($D7:$O7)=1, 0,
      MAX(
        _xlfn.FORECAST.LINEAR(AC$1,
          IF($D7:$O7="",0,$D7:$O7),
          $D$1:$O$1
        ), 0
      )
)</f>
        <v>0</v>
      </c>
      <c r="AD7" s="18">
        <f t="shared" si="2"/>
        <v>2.8484848484848513</v>
      </c>
    </row>
    <row r="8" spans="2:30" x14ac:dyDescent="0.3">
      <c r="B8" s="5" t="s">
        <v>24</v>
      </c>
      <c r="C8" s="5" t="s">
        <v>18</v>
      </c>
      <c r="D8" s="1">
        <v>6</v>
      </c>
      <c r="E8" s="1">
        <v>3</v>
      </c>
      <c r="F8" s="1">
        <v>2</v>
      </c>
      <c r="G8" s="1">
        <v>60</v>
      </c>
      <c r="H8" s="1">
        <v>4</v>
      </c>
      <c r="I8" s="1">
        <v>1</v>
      </c>
      <c r="J8" s="1">
        <v>1</v>
      </c>
      <c r="K8" s="1"/>
      <c r="L8" s="1"/>
      <c r="M8" s="1"/>
      <c r="N8" s="1"/>
      <c r="O8" s="1"/>
      <c r="P8" s="14">
        <f t="shared" si="0"/>
        <v>77</v>
      </c>
      <c r="Q8" t="str">
        <f t="shared" si="1"/>
        <v>Фильтр топливный ST20754CST20754C6326041177</v>
      </c>
      <c r="R8" s="18">
        <f t="array" ref="R8">IF(COUNT($D8:$O8)=1, 0,
      MAX(
        _xlfn.FORECAST.LINEAR(R$1,
          IF($D8:$O8="",0,$D8:$O8),
          $D$1:$O$1
        ), 0
      )
)</f>
        <v>0</v>
      </c>
      <c r="S8" s="18">
        <f t="array" ref="S8">IF(COUNT($D8:$O8)=1, 0,
      MAX(
        _xlfn.FORECAST.LINEAR(S$1,
          IF($D8:$O8="",0,$D8:$O8),
          $D$1:$O$1
        ), 0
      )
)</f>
        <v>0</v>
      </c>
      <c r="T8" s="18">
        <f t="array" ref="T8">IF(COUNT($D8:$O8)=1, 0,
      MAX(
        _xlfn.FORECAST.LINEAR(T$1,
          IF($D8:$O8="",0,$D8:$O8),
          $D$1:$O$1
        ), 0
      )
)</f>
        <v>0</v>
      </c>
      <c r="U8" s="18">
        <f t="array" ref="U8">IF(COUNT($D8:$O8)=1, 0,
      MAX(
        _xlfn.FORECAST.LINEAR(U$1,
          IF($D8:$O8="",0,$D8:$O8),
          $D$1:$O$1
        ), 0
      )
)</f>
        <v>0</v>
      </c>
      <c r="V8" s="18">
        <f t="array" ref="V8">IF(COUNT($D8:$O8)=1, 0,
      MAX(
        _xlfn.FORECAST.LINEAR(V$1,
          IF($D8:$O8="",0,$D8:$O8),
          $D$1:$O$1
        ), 0
      )
)</f>
        <v>0</v>
      </c>
      <c r="W8" s="18">
        <f t="array" ref="W8">IF(COUNT($D8:$O8)=1, 0,
      MAX(
        _xlfn.FORECAST.LINEAR(W$1,
          IF($D8:$O8="",0,$D8:$O8),
          $D$1:$O$1
        ), 0
      )
)</f>
        <v>0</v>
      </c>
      <c r="X8" s="18">
        <f t="array" ref="X8">IF(COUNT($D8:$O8)=1, 0,
      MAX(
        _xlfn.FORECAST.LINEAR(X$1,
          IF($D8:$O8="",0,$D8:$O8),
          $D$1:$O$1
        ), 0
      )
)</f>
        <v>0</v>
      </c>
      <c r="Y8" s="18">
        <f t="array" ref="Y8">IF(COUNT($D8:$O8)=1, 0,
      MAX(
        _xlfn.FORECAST.LINEAR(Y$1,
          IF($D8:$O8="",0,$D8:$O8),
          $D$1:$O$1
        ), 0
      )
)</f>
        <v>0</v>
      </c>
      <c r="Z8" s="18">
        <f t="array" ref="Z8">IF(COUNT($D8:$O8)=1, 0,
      MAX(
        _xlfn.FORECAST.LINEAR(Z$1,
          IF($D8:$O8="",0,$D8:$O8),
          $D$1:$O$1
        ), 0
      )
)</f>
        <v>0</v>
      </c>
      <c r="AA8" s="18">
        <f t="array" ref="AA8">IF(COUNT($D8:$O8)=1, 0,
      MAX(
        _xlfn.FORECAST.LINEAR(AA$1,
          IF($D8:$O8="",0,$D8:$O8),
          $D$1:$O$1
        ), 0
      )
)</f>
        <v>0</v>
      </c>
      <c r="AB8" s="18">
        <f t="array" ref="AB8">IF(COUNT($D8:$O8)=1, 0,
      MAX(
        _xlfn.FORECAST.LINEAR(AB$1,
          IF($D8:$O8="",0,$D8:$O8),
          $D$1:$O$1
        ), 0
      )
)</f>
        <v>0</v>
      </c>
      <c r="AC8" s="18">
        <f t="array" ref="AC8">IF(COUNT($D8:$O8)=1, 0,
      MAX(
        _xlfn.FORECAST.LINEAR(AC$1,
          IF($D8:$O8="",0,$D8:$O8),
          $D$1:$O$1
        ), 0
      )
)</f>
        <v>0</v>
      </c>
      <c r="AD8" s="18">
        <f t="shared" si="2"/>
        <v>0</v>
      </c>
    </row>
    <row r="9" spans="2:30" x14ac:dyDescent="0.3">
      <c r="B9" s="5" t="s">
        <v>24</v>
      </c>
      <c r="C9" s="5" t="s">
        <v>18</v>
      </c>
      <c r="D9" s="1"/>
      <c r="E9" s="1"/>
      <c r="F9" s="1"/>
      <c r="G9" s="1"/>
      <c r="H9" s="1"/>
      <c r="I9" s="1"/>
      <c r="J9" s="1"/>
      <c r="K9" s="1"/>
      <c r="L9" s="1"/>
      <c r="M9" s="1">
        <v>1</v>
      </c>
      <c r="N9" s="1">
        <v>1</v>
      </c>
      <c r="O9" s="1"/>
      <c r="P9" s="14">
        <f t="shared" si="0"/>
        <v>2</v>
      </c>
      <c r="Q9" t="str">
        <f t="shared" ref="Q9:Q102" si="3">_xlfn.CONCAT(B9,C9,D9,E9,F9,G9,H9,I9,J9,K9,L9,M9,N9,O9,P9)</f>
        <v>Фильтр топливный ST20754CST20754C112</v>
      </c>
      <c r="R9" s="18">
        <f t="array" ref="R9">IF(COUNT($D9:$O9)=1, 0,
      MAX(
        _xlfn.FORECAST.LINEAR(R$1,
          IF($D9:$O9="",0,$D9:$O9),
          $D$1:$O$1
        ), 0
      )
)</f>
        <v>0.53030303030303039</v>
      </c>
      <c r="S9" s="18">
        <f t="array" ref="S9">IF(COUNT($D9:$O9)=1, 0,
      MAX(
        _xlfn.FORECAST.LINEAR(S$1,
          IF($D9:$O9="",0,$D9:$O9),
          $D$1:$O$1
        ), 0
      )
)</f>
        <v>0.58624708624708644</v>
      </c>
      <c r="T9" s="18">
        <f t="array" ref="T9">IF(COUNT($D9:$O9)=1, 0,
      MAX(
        _xlfn.FORECAST.LINEAR(T$1,
          IF($D9:$O9="",0,$D9:$O9),
          $D$1:$O$1
        ), 0
      )
)</f>
        <v>0.64219114219114237</v>
      </c>
      <c r="U9" s="18">
        <f t="array" ref="U9">IF(COUNT($D9:$O9)=1, 0,
      MAX(
        _xlfn.FORECAST.LINEAR(U$1,
          IF($D9:$O9="",0,$D9:$O9),
          $D$1:$O$1
        ), 0
      )
)</f>
        <v>0.69813519813519831</v>
      </c>
      <c r="V9" s="18">
        <f t="array" ref="V9">IF(COUNT($D9:$O9)=1, 0,
      MAX(
        _xlfn.FORECAST.LINEAR(V$1,
          IF($D9:$O9="",0,$D9:$O9),
          $D$1:$O$1
        ), 0
      )
)</f>
        <v>0.75407925407925425</v>
      </c>
      <c r="W9" s="18">
        <f t="array" ref="W9">IF(COUNT($D9:$O9)=1, 0,
      MAX(
        _xlfn.FORECAST.LINEAR(W$1,
          IF($D9:$O9="",0,$D9:$O9),
          $D$1:$O$1
        ), 0
      )
)</f>
        <v>0.81002331002331029</v>
      </c>
      <c r="X9" s="18">
        <f t="array" ref="X9">IF(COUNT($D9:$O9)=1, 0,
      MAX(
        _xlfn.FORECAST.LINEAR(X$1,
          IF($D9:$O9="",0,$D9:$O9),
          $D$1:$O$1
        ), 0
      )
)</f>
        <v>0.86596736596736612</v>
      </c>
      <c r="Y9" s="18">
        <f t="array" ref="Y9">IF(COUNT($D9:$O9)=1, 0,
      MAX(
        _xlfn.FORECAST.LINEAR(Y$1,
          IF($D9:$O9="",0,$D9:$O9),
          $D$1:$O$1
        ), 0
      )
)</f>
        <v>0.92191142191142217</v>
      </c>
      <c r="Z9" s="18">
        <f t="array" ref="Z9">IF(COUNT($D9:$O9)=1, 0,
      MAX(
        _xlfn.FORECAST.LINEAR(Z$1,
          IF($D9:$O9="",0,$D9:$O9),
          $D$1:$O$1
        ), 0
      )
)</f>
        <v>0.97785547785547799</v>
      </c>
      <c r="AA9" s="18">
        <f t="array" ref="AA9">IF(COUNT($D9:$O9)=1, 0,
      MAX(
        _xlfn.FORECAST.LINEAR(AA$1,
          IF($D9:$O9="",0,$D9:$O9),
          $D$1:$O$1
        ), 0
      )
)</f>
        <v>1.033799533799534</v>
      </c>
      <c r="AB9" s="18">
        <f t="array" ref="AB9">IF(COUNT($D9:$O9)=1, 0,
      MAX(
        _xlfn.FORECAST.LINEAR(AB$1,
          IF($D9:$O9="",0,$D9:$O9),
          $D$1:$O$1
        ), 0
      )
)</f>
        <v>1.0897435897435901</v>
      </c>
      <c r="AC9" s="18">
        <f t="array" ref="AC9">IF(COUNT($D9:$O9)=1, 0,
      MAX(
        _xlfn.FORECAST.LINEAR(AC$1,
          IF($D9:$O9="",0,$D9:$O9),
          $D$1:$O$1
        ), 0
      )
)</f>
        <v>1.1456876456876459</v>
      </c>
      <c r="AD9" s="18">
        <f t="shared" si="2"/>
        <v>10.055944055944057</v>
      </c>
    </row>
    <row r="10" spans="2:30" x14ac:dyDescent="0.3">
      <c r="B10" s="5" t="s">
        <v>24</v>
      </c>
      <c r="C10" s="5" t="s">
        <v>18</v>
      </c>
      <c r="D10" s="1"/>
      <c r="E10" s="1"/>
      <c r="F10" s="1"/>
      <c r="G10" s="1"/>
      <c r="H10" s="1">
        <v>1</v>
      </c>
      <c r="I10" s="1">
        <v>81</v>
      </c>
      <c r="J10" s="1">
        <v>27</v>
      </c>
      <c r="K10" s="1">
        <v>4</v>
      </c>
      <c r="L10" s="1">
        <v>2</v>
      </c>
      <c r="M10" s="1"/>
      <c r="N10" s="1">
        <v>11</v>
      </c>
      <c r="O10" s="1">
        <v>11</v>
      </c>
      <c r="P10" s="14">
        <f t="shared" si="0"/>
        <v>137</v>
      </c>
      <c r="Q10" t="str">
        <f t="shared" si="3"/>
        <v>Фильтр топливный ST20754CST20754C18127421111137</v>
      </c>
      <c r="R10" s="18">
        <f t="array" ref="R10">IF(COUNT($D10:$O10)=1, 0,
      MAX(
        _xlfn.FORECAST.LINEAR(R$1,
          IF($D10:$O10="",0,$D10:$O10),
          $D$1:$O$1
        ), 0
      )
)</f>
        <v>15.621212121212121</v>
      </c>
      <c r="S10" s="18">
        <f t="array" ref="S10">IF(COUNT($D10:$O10)=1, 0,
      MAX(
        _xlfn.FORECAST.LINEAR(S$1,
          IF($D10:$O10="",0,$D10:$O10),
          $D$1:$O$1
        ), 0
      )
)</f>
        <v>16.268065268065271</v>
      </c>
      <c r="T10" s="18">
        <f t="array" ref="T10">IF(COUNT($D10:$O10)=1, 0,
      MAX(
        _xlfn.FORECAST.LINEAR(T$1,
          IF($D10:$O10="",0,$D10:$O10),
          $D$1:$O$1
        ), 0
      )
)</f>
        <v>16.914918414918418</v>
      </c>
      <c r="U10" s="18">
        <f t="array" ref="U10">IF(COUNT($D10:$O10)=1, 0,
      MAX(
        _xlfn.FORECAST.LINEAR(U$1,
          IF($D10:$O10="",0,$D10:$O10),
          $D$1:$O$1
        ), 0
      )
)</f>
        <v>17.561771561771565</v>
      </c>
      <c r="V10" s="18">
        <f t="array" ref="V10">IF(COUNT($D10:$O10)=1, 0,
      MAX(
        _xlfn.FORECAST.LINEAR(V$1,
          IF($D10:$O10="",0,$D10:$O10),
          $D$1:$O$1
        ), 0
      )
)</f>
        <v>18.208624708624711</v>
      </c>
      <c r="W10" s="18">
        <f t="array" ref="W10">IF(COUNT($D10:$O10)=1, 0,
      MAX(
        _xlfn.FORECAST.LINEAR(W$1,
          IF($D10:$O10="",0,$D10:$O10),
          $D$1:$O$1
        ), 0
      )
)</f>
        <v>18.855477855477858</v>
      </c>
      <c r="X10" s="18">
        <f t="array" ref="X10">IF(COUNT($D10:$O10)=1, 0,
      MAX(
        _xlfn.FORECAST.LINEAR(X$1,
          IF($D10:$O10="",0,$D10:$O10),
          $D$1:$O$1
        ), 0
      )
)</f>
        <v>19.502331002331005</v>
      </c>
      <c r="Y10" s="18">
        <f t="array" ref="Y10">IF(COUNT($D10:$O10)=1, 0,
      MAX(
        _xlfn.FORECAST.LINEAR(Y$1,
          IF($D10:$O10="",0,$D10:$O10),
          $D$1:$O$1
        ), 0
      )
)</f>
        <v>20.149184149184151</v>
      </c>
      <c r="Z10" s="18">
        <f t="array" ref="Z10">IF(COUNT($D10:$O10)=1, 0,
      MAX(
        _xlfn.FORECAST.LINEAR(Z$1,
          IF($D10:$O10="",0,$D10:$O10),
          $D$1:$O$1
        ), 0
      )
)</f>
        <v>20.796037296037298</v>
      </c>
      <c r="AA10" s="18">
        <f t="array" ref="AA10">IF(COUNT($D10:$O10)=1, 0,
      MAX(
        _xlfn.FORECAST.LINEAR(AA$1,
          IF($D10:$O10="",0,$D10:$O10),
          $D$1:$O$1
        ), 0
      )
)</f>
        <v>21.442890442890445</v>
      </c>
      <c r="AB10" s="18">
        <f t="array" ref="AB10">IF(COUNT($D10:$O10)=1, 0,
      MAX(
        _xlfn.FORECAST.LINEAR(AB$1,
          IF($D10:$O10="",0,$D10:$O10),
          $D$1:$O$1
        ), 0
      )
)</f>
        <v>22.089743589743591</v>
      </c>
      <c r="AC10" s="18">
        <f t="array" ref="AC10">IF(COUNT($D10:$O10)=1, 0,
      MAX(
        _xlfn.FORECAST.LINEAR(AC$1,
          IF($D10:$O10="",0,$D10:$O10),
          $D$1:$O$1
        ), 0
      )
)</f>
        <v>22.736596736596738</v>
      </c>
      <c r="AD10" s="18">
        <f t="shared" si="2"/>
        <v>230.14685314685318</v>
      </c>
    </row>
    <row r="11" spans="2:30" x14ac:dyDescent="0.3">
      <c r="B11" s="5" t="s">
        <v>25</v>
      </c>
      <c r="C11" s="5">
        <v>1000700908</v>
      </c>
      <c r="D11" s="1"/>
      <c r="E11" s="1"/>
      <c r="F11" s="1">
        <v>5</v>
      </c>
      <c r="G11" s="1">
        <v>1</v>
      </c>
      <c r="H11" s="1"/>
      <c r="I11" s="1"/>
      <c r="J11" s="1">
        <v>2</v>
      </c>
      <c r="K11" s="1"/>
      <c r="L11" s="1">
        <v>3</v>
      </c>
      <c r="M11" s="1"/>
      <c r="N11" s="1">
        <v>3</v>
      </c>
      <c r="O11" s="1"/>
      <c r="P11" s="14">
        <f t="shared" si="0"/>
        <v>14</v>
      </c>
      <c r="Q11" t="str">
        <f t="shared" si="3"/>
        <v>Фильтр топливный грубой очистки Weichai, 100070090810007009085123314</v>
      </c>
      <c r="R11" s="18">
        <f t="array" ref="R11">IF(COUNT($D11:$O11)=1, 0,
      MAX(
        _xlfn.FORECAST.LINEAR(R$1,
          IF($D11:$O11="",0,$D11:$O11),
          $D$1:$O$1
        ), 0
      )
)</f>
        <v>1.2575757575757576</v>
      </c>
      <c r="S11" s="18">
        <f t="array" ref="S11">IF(COUNT($D11:$O11)=1, 0,
      MAX(
        _xlfn.FORECAST.LINEAR(S$1,
          IF($D11:$O11="",0,$D11:$O11),
          $D$1:$O$1
        ), 0
      )
)</f>
        <v>1.2715617715617715</v>
      </c>
      <c r="T11" s="18">
        <f t="array" ref="T11">IF(COUNT($D11:$O11)=1, 0,
      MAX(
        _xlfn.FORECAST.LINEAR(T$1,
          IF($D11:$O11="",0,$D11:$O11),
          $D$1:$O$1
        ), 0
      )
)</f>
        <v>1.2855477855477857</v>
      </c>
      <c r="U11" s="18">
        <f t="array" ref="U11">IF(COUNT($D11:$O11)=1, 0,
      MAX(
        _xlfn.FORECAST.LINEAR(U$1,
          IF($D11:$O11="",0,$D11:$O11),
          $D$1:$O$1
        ), 0
      )
)</f>
        <v>1.2995337995337997</v>
      </c>
      <c r="V11" s="18">
        <f t="array" ref="V11">IF(COUNT($D11:$O11)=1, 0,
      MAX(
        _xlfn.FORECAST.LINEAR(V$1,
          IF($D11:$O11="",0,$D11:$O11),
          $D$1:$O$1
        ), 0
      )
)</f>
        <v>1.3135198135198136</v>
      </c>
      <c r="W11" s="18">
        <f t="array" ref="W11">IF(COUNT($D11:$O11)=1, 0,
      MAX(
        _xlfn.FORECAST.LINEAR(W$1,
          IF($D11:$O11="",0,$D11:$O11),
          $D$1:$O$1
        ), 0
      )
)</f>
        <v>1.3275058275058276</v>
      </c>
      <c r="X11" s="18">
        <f t="array" ref="X11">IF(COUNT($D11:$O11)=1, 0,
      MAX(
        _xlfn.FORECAST.LINEAR(X$1,
          IF($D11:$O11="",0,$D11:$O11),
          $D$1:$O$1
        ), 0
      )
)</f>
        <v>1.3414918414918415</v>
      </c>
      <c r="Y11" s="18">
        <f t="array" ref="Y11">IF(COUNT($D11:$O11)=1, 0,
      MAX(
        _xlfn.FORECAST.LINEAR(Y$1,
          IF($D11:$O11="",0,$D11:$O11),
          $D$1:$O$1
        ), 0
      )
)</f>
        <v>1.3554778554778555</v>
      </c>
      <c r="Z11" s="18">
        <f t="array" ref="Z11">IF(COUNT($D11:$O11)=1, 0,
      MAX(
        _xlfn.FORECAST.LINEAR(Z$1,
          IF($D11:$O11="",0,$D11:$O11),
          $D$1:$O$1
        ), 0
      )
)</f>
        <v>1.3694638694638694</v>
      </c>
      <c r="AA11" s="18">
        <f t="array" ref="AA11">IF(COUNT($D11:$O11)=1, 0,
      MAX(
        _xlfn.FORECAST.LINEAR(AA$1,
          IF($D11:$O11="",0,$D11:$O11),
          $D$1:$O$1
        ), 0
      )
)</f>
        <v>1.3834498834498836</v>
      </c>
      <c r="AB11" s="18">
        <f t="array" ref="AB11">IF(COUNT($D11:$O11)=1, 0,
      MAX(
        _xlfn.FORECAST.LINEAR(AB$1,
          IF($D11:$O11="",0,$D11:$O11),
          $D$1:$O$1
        ), 0
      )
)</f>
        <v>1.3974358974358976</v>
      </c>
      <c r="AC11" s="18">
        <f t="array" ref="AC11">IF(COUNT($D11:$O11)=1, 0,
      MAX(
        _xlfn.FORECAST.LINEAR(AC$1,
          IF($D11:$O11="",0,$D11:$O11),
          $D$1:$O$1
        ), 0
      )
)</f>
        <v>1.4114219114219115</v>
      </c>
      <c r="AD11" s="18">
        <f t="shared" si="2"/>
        <v>16.013986013986017</v>
      </c>
    </row>
    <row r="12" spans="2:30" x14ac:dyDescent="0.3">
      <c r="B12" s="5" t="s">
        <v>25</v>
      </c>
      <c r="C12" s="5" t="s">
        <v>19</v>
      </c>
      <c r="D12" s="1"/>
      <c r="E12" s="1"/>
      <c r="F12" s="1"/>
      <c r="G12" s="1"/>
      <c r="H12" s="1">
        <v>1</v>
      </c>
      <c r="I12" s="1"/>
      <c r="J12" s="1"/>
      <c r="K12" s="1"/>
      <c r="L12" s="1"/>
      <c r="M12" s="1"/>
      <c r="N12" s="1"/>
      <c r="O12" s="1"/>
      <c r="P12" s="14">
        <f t="shared" si="0"/>
        <v>1</v>
      </c>
      <c r="Q12" t="str">
        <f t="shared" si="3"/>
        <v>Фильтр топливный грубой очистки Weichai, 1000700908CC-5224X11</v>
      </c>
      <c r="R12" s="18">
        <f t="array" ref="R12">IF(COUNT($D12:$O12)=1, 0,
      MAX(
        _xlfn.FORECAST.LINEAR(R$1,
          IF($D12:$O12="",0,$D12:$O12),
          $D$1:$O$1
        ), 0
      )
)</f>
        <v>0</v>
      </c>
      <c r="S12" s="18">
        <f t="array" ref="S12">IF(COUNT($D12:$O12)=1, 0,
      MAX(
        _xlfn.FORECAST.LINEAR(S$1,
          IF($D12:$O12="",0,$D12:$O12),
          $D$1:$O$1
        ), 0
      )
)</f>
        <v>0</v>
      </c>
      <c r="T12" s="18">
        <f t="array" ref="T12">IF(COUNT($D12:$O12)=1, 0,
      MAX(
        _xlfn.FORECAST.LINEAR(T$1,
          IF($D12:$O12="",0,$D12:$O12),
          $D$1:$O$1
        ), 0
      )
)</f>
        <v>0</v>
      </c>
      <c r="U12" s="18">
        <f t="array" ref="U12">IF(COUNT($D12:$O12)=1, 0,
      MAX(
        _xlfn.FORECAST.LINEAR(U$1,
          IF($D12:$O12="",0,$D12:$O12),
          $D$1:$O$1
        ), 0
      )
)</f>
        <v>0</v>
      </c>
      <c r="V12" s="18">
        <f t="array" ref="V12">IF(COUNT($D12:$O12)=1, 0,
      MAX(
        _xlfn.FORECAST.LINEAR(V$1,
          IF($D12:$O12="",0,$D12:$O12),
          $D$1:$O$1
        ), 0
      )
)</f>
        <v>0</v>
      </c>
      <c r="W12" s="18">
        <f t="array" ref="W12">IF(COUNT($D12:$O12)=1, 0,
      MAX(
        _xlfn.FORECAST.LINEAR(W$1,
          IF($D12:$O12="",0,$D12:$O12),
          $D$1:$O$1
        ), 0
      )
)</f>
        <v>0</v>
      </c>
      <c r="X12" s="18">
        <f t="array" ref="X12">IF(COUNT($D12:$O12)=1, 0,
      MAX(
        _xlfn.FORECAST.LINEAR(X$1,
          IF($D12:$O12="",0,$D12:$O12),
          $D$1:$O$1
        ), 0
      )
)</f>
        <v>0</v>
      </c>
      <c r="Y12" s="18">
        <f t="array" ref="Y12">IF(COUNT($D12:$O12)=1, 0,
      MAX(
        _xlfn.FORECAST.LINEAR(Y$1,
          IF($D12:$O12="",0,$D12:$O12),
          $D$1:$O$1
        ), 0
      )
)</f>
        <v>0</v>
      </c>
      <c r="Z12" s="18">
        <f t="array" ref="Z12">IF(COUNT($D12:$O12)=1, 0,
      MAX(
        _xlfn.FORECAST.LINEAR(Z$1,
          IF($D12:$O12="",0,$D12:$O12),
          $D$1:$O$1
        ), 0
      )
)</f>
        <v>0</v>
      </c>
      <c r="AA12" s="18">
        <f t="array" ref="AA12">IF(COUNT($D12:$O12)=1, 0,
      MAX(
        _xlfn.FORECAST.LINEAR(AA$1,
          IF($D12:$O12="",0,$D12:$O12),
          $D$1:$O$1
        ), 0
      )
)</f>
        <v>0</v>
      </c>
      <c r="AB12" s="18">
        <f t="array" ref="AB12">IF(COUNT($D12:$O12)=1, 0,
      MAX(
        _xlfn.FORECAST.LINEAR(AB$1,
          IF($D12:$O12="",0,$D12:$O12),
          $D$1:$O$1
        ), 0
      )
)</f>
        <v>0</v>
      </c>
      <c r="AC12" s="18">
        <f t="array" ref="AC12">IF(COUNT($D12:$O12)=1, 0,
      MAX(
        _xlfn.FORECAST.LINEAR(AC$1,
          IF($D12:$O12="",0,$D12:$O12),
          $D$1:$O$1
        ), 0
      )
)</f>
        <v>0</v>
      </c>
      <c r="AD12" s="18">
        <f t="shared" si="2"/>
        <v>0</v>
      </c>
    </row>
    <row r="13" spans="2:30" x14ac:dyDescent="0.3">
      <c r="B13" s="5" t="s">
        <v>15</v>
      </c>
      <c r="C13" s="5"/>
      <c r="D13" s="1">
        <f>SUM(D4:D12)</f>
        <v>65</v>
      </c>
      <c r="E13" s="1">
        <f t="shared" ref="E13:O13" si="4">SUM(E4:E12)</f>
        <v>82</v>
      </c>
      <c r="F13" s="1">
        <f t="shared" si="4"/>
        <v>143</v>
      </c>
      <c r="G13" s="1">
        <f t="shared" si="4"/>
        <v>91</v>
      </c>
      <c r="H13" s="1">
        <f t="shared" si="4"/>
        <v>48</v>
      </c>
      <c r="I13" s="1">
        <f t="shared" si="4"/>
        <v>86</v>
      </c>
      <c r="J13" s="1">
        <f t="shared" si="4"/>
        <v>54</v>
      </c>
      <c r="K13" s="1">
        <f t="shared" si="4"/>
        <v>52</v>
      </c>
      <c r="L13" s="1">
        <f t="shared" si="4"/>
        <v>35</v>
      </c>
      <c r="M13" s="1">
        <f t="shared" si="4"/>
        <v>54</v>
      </c>
      <c r="N13" s="1">
        <f t="shared" si="4"/>
        <v>41</v>
      </c>
      <c r="O13" s="1">
        <f t="shared" si="4"/>
        <v>47</v>
      </c>
      <c r="P13" s="14">
        <f t="shared" ref="P13" si="5">SUM(D13:O13)</f>
        <v>798</v>
      </c>
      <c r="Q13" t="str">
        <f t="shared" si="3"/>
        <v>Итог ПРОДАЖА6582143914886545235544147798</v>
      </c>
      <c r="R13" s="18">
        <f>SUM(R4:R12)</f>
        <v>40.045454545454554</v>
      </c>
      <c r="S13" s="18">
        <f>SUM(S4:S12)</f>
        <v>39.868298368298376</v>
      </c>
      <c r="T13" s="18">
        <f t="shared" ref="T13:AC13" si="6">SUM(T4:T12)</f>
        <v>42.539627039627042</v>
      </c>
      <c r="U13" s="18">
        <f t="shared" si="6"/>
        <v>45.210955710955709</v>
      </c>
      <c r="V13" s="18">
        <f t="shared" si="6"/>
        <v>47.882284382284382</v>
      </c>
      <c r="W13" s="18">
        <f t="shared" si="6"/>
        <v>50.553613053613056</v>
      </c>
      <c r="X13" s="18">
        <f t="shared" si="6"/>
        <v>53.224941724941729</v>
      </c>
      <c r="Y13" s="18">
        <f t="shared" si="6"/>
        <v>55.896270396270403</v>
      </c>
      <c r="Z13" s="18">
        <f t="shared" si="6"/>
        <v>58.567599067599069</v>
      </c>
      <c r="AA13" s="18">
        <f t="shared" si="6"/>
        <v>61.238927738927735</v>
      </c>
      <c r="AB13" s="18">
        <f t="shared" si="6"/>
        <v>63.910256410256409</v>
      </c>
      <c r="AC13" s="18">
        <f t="shared" si="6"/>
        <v>66.581585081585075</v>
      </c>
      <c r="AD13" s="18">
        <f>SUM(R13:AC13)</f>
        <v>625.51981351981351</v>
      </c>
    </row>
    <row r="14" spans="2:30" x14ac:dyDescent="0.3">
      <c r="Q14" t="str">
        <f t="shared" ref="Q14:Q26" si="7">_xlfn.CONCAT(B15,C15,D15,E15,F15,G15,H15,I15,J15,K15,L15,M15,N15,O15,P15)</f>
        <v xml:space="preserve">НоменклатураАртикулЯнварь  Февраль  МартАпрель  Май  Июнь  Июль  Август  Сентябрь  Октябрь  Ноябрь  Декабрь  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2:30" x14ac:dyDescent="0.3">
      <c r="B15" s="11" t="s">
        <v>17</v>
      </c>
      <c r="C15" s="11" t="s">
        <v>0</v>
      </c>
      <c r="D15" s="13" t="s">
        <v>2</v>
      </c>
      <c r="E15" s="13" t="s">
        <v>3</v>
      </c>
      <c r="F15" s="13" t="s">
        <v>13</v>
      </c>
      <c r="G15" s="13" t="s">
        <v>4</v>
      </c>
      <c r="H15" s="13" t="s">
        <v>5</v>
      </c>
      <c r="I15" s="13" t="s">
        <v>6</v>
      </c>
      <c r="J15" s="13" t="s">
        <v>7</v>
      </c>
      <c r="K15" s="13" t="s">
        <v>8</v>
      </c>
      <c r="L15" s="13" t="s">
        <v>9</v>
      </c>
      <c r="M15" s="13" t="s">
        <v>10</v>
      </c>
      <c r="N15" s="13" t="s">
        <v>11</v>
      </c>
      <c r="O15" s="13" t="s">
        <v>12</v>
      </c>
      <c r="P15" s="12"/>
      <c r="Q15" t="str">
        <f t="shared" si="7"/>
        <v>Фильтр топливный 10007009081000700908113128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 t="s">
        <v>1</v>
      </c>
    </row>
    <row r="16" spans="2:30" x14ac:dyDescent="0.3">
      <c r="B16" s="5" t="s">
        <v>21</v>
      </c>
      <c r="C16" s="5">
        <v>1000700908</v>
      </c>
      <c r="D16" s="1">
        <v>1</v>
      </c>
      <c r="E16" s="1">
        <v>1</v>
      </c>
      <c r="F16" s="1">
        <v>3</v>
      </c>
      <c r="G16" s="1"/>
      <c r="H16" s="1"/>
      <c r="I16" s="1">
        <v>1</v>
      </c>
      <c r="J16" s="1"/>
      <c r="K16" s="1"/>
      <c r="L16" s="1"/>
      <c r="M16" s="1">
        <v>2</v>
      </c>
      <c r="N16" s="1"/>
      <c r="O16" s="1"/>
      <c r="P16" s="14">
        <f>SUM(D16:O16)</f>
        <v>8</v>
      </c>
      <c r="Q16" t="str">
        <f t="shared" si="7"/>
        <v>Фильтр топливный 1009806735100070090821158799464267</v>
      </c>
      <c r="R16" s="18">
        <f t="array" ref="R16">IF(COUNT($D16:$O16)=1, 0,
      MAX(
        _xlfn.FORECAST.LINEAR(R$1,
          IF($D16:$O16="",0,$D16:$O16),
          $D$1:$O$1
        ), 0
      )
)</f>
        <v>3.0303030303030276E-2</v>
      </c>
      <c r="S16" s="18">
        <f t="array" ref="S16">IF(COUNT($D16:$O16)=1, 0,
      MAX(
        _xlfn.FORECAST.LINEAR(S$1,
          IF($D16:$O16="",0,$D16:$O16),
          $D$1:$O$1
        ), 0
      )
)</f>
        <v>0</v>
      </c>
      <c r="T16" s="18">
        <f t="array" ref="T16">IF(COUNT($D16:$O16)=1, 0,
      MAX(
        _xlfn.FORECAST.LINEAR(T$1,
          IF($D16:$O16="",0,$D16:$O16),
          $D$1:$O$1
        ), 0
      )
)</f>
        <v>0</v>
      </c>
      <c r="U16" s="18">
        <f t="array" ref="U16">IF(COUNT($D16:$O16)=1, 0,
      MAX(
        _xlfn.FORECAST.LINEAR(U$1,
          IF($D16:$O16="",0,$D16:$O16),
          $D$1:$O$1
        ), 0
      )
)</f>
        <v>0</v>
      </c>
      <c r="V16" s="18">
        <f t="array" ref="V16">IF(COUNT($D16:$O16)=1, 0,
      MAX(
        _xlfn.FORECAST.LINEAR(V$1,
          IF($D16:$O16="",0,$D16:$O16),
          $D$1:$O$1
        ), 0
      )
)</f>
        <v>0</v>
      </c>
      <c r="W16" s="18">
        <f t="array" ref="W16">IF(COUNT($D16:$O16)=1, 0,
      MAX(
        _xlfn.FORECAST.LINEAR(W$1,
          IF($D16:$O16="",0,$D16:$O16),
          $D$1:$O$1
        ), 0
      )
)</f>
        <v>0</v>
      </c>
      <c r="X16" s="18">
        <f t="array" ref="X16">IF(COUNT($D16:$O16)=1, 0,
      MAX(
        _xlfn.FORECAST.LINEAR(X$1,
          IF($D16:$O16="",0,$D16:$O16),
          $D$1:$O$1
        ), 0
      )
)</f>
        <v>0</v>
      </c>
      <c r="Y16" s="18">
        <f t="array" ref="Y16">IF(COUNT($D16:$O16)=1, 0,
      MAX(
        _xlfn.FORECAST.LINEAR(Y$1,
          IF($D16:$O16="",0,$D16:$O16),
          $D$1:$O$1
        ), 0
      )
)</f>
        <v>0</v>
      </c>
      <c r="Z16" s="18">
        <f t="array" ref="Z16">IF(COUNT($D16:$O16)=1, 0,
      MAX(
        _xlfn.FORECAST.LINEAR(Z$1,
          IF($D16:$O16="",0,$D16:$O16),
          $D$1:$O$1
        ), 0
      )
)</f>
        <v>0</v>
      </c>
      <c r="AA16" s="18">
        <f t="array" ref="AA16">IF(COUNT($D16:$O16)=1, 0,
      MAX(
        _xlfn.FORECAST.LINEAR(AA$1,
          IF($D16:$O16="",0,$D16:$O16),
          $D$1:$O$1
        ), 0
      )
)</f>
        <v>0</v>
      </c>
      <c r="AB16" s="18">
        <f t="array" ref="AB16">IF(COUNT($D16:$O16)=1, 0,
      MAX(
        _xlfn.FORECAST.LINEAR(AB$1,
          IF($D16:$O16="",0,$D16:$O16),
          $D$1:$O$1
        ), 0
      )
)</f>
        <v>0</v>
      </c>
      <c r="AC16" s="18">
        <f t="array" ref="AC16">IF(COUNT($D16:$O16)=1, 0,
      MAX(
        _xlfn.FORECAST.LINEAR(AC$1,
          IF($D16:$O16="",0,$D16:$O16),
          $D$1:$O$1
        ), 0
      )
)</f>
        <v>0</v>
      </c>
      <c r="AD16" s="18">
        <f t="array" ref="AD16">IF(COUNT($D16:$O16)=1, 0,
      MAX(
        _xlfn.FORECAST.LINEAR(AD$1,
          IF($D16:$O16="",0,$D16:$O16),
          $D$1:$O$1
        ), 0
      )
)</f>
        <v>1.3030303030303032</v>
      </c>
    </row>
    <row r="17" spans="2:30" x14ac:dyDescent="0.3">
      <c r="B17" s="5" t="s">
        <v>22</v>
      </c>
      <c r="C17" s="5">
        <v>1000700908</v>
      </c>
      <c r="D17" s="1">
        <v>2</v>
      </c>
      <c r="E17" s="1">
        <v>1</v>
      </c>
      <c r="F17" s="1"/>
      <c r="G17" s="1">
        <v>15</v>
      </c>
      <c r="H17" s="1">
        <v>8</v>
      </c>
      <c r="I17" s="1">
        <v>7</v>
      </c>
      <c r="J17" s="1">
        <v>9</v>
      </c>
      <c r="K17" s="1">
        <v>9</v>
      </c>
      <c r="L17" s="1">
        <v>4</v>
      </c>
      <c r="M17" s="1">
        <v>6</v>
      </c>
      <c r="N17" s="1">
        <v>4</v>
      </c>
      <c r="O17" s="1">
        <v>2</v>
      </c>
      <c r="P17" s="14">
        <f t="shared" ref="P17:P22" si="8">SUM(D17:O17)</f>
        <v>67</v>
      </c>
      <c r="Q17" t="str">
        <f t="shared" si="7"/>
        <v>Фильтр топливный 1009806735100980673512438619121077391</v>
      </c>
      <c r="R17" s="18">
        <f t="array" ref="R17">IF(COUNT($D17:$O17)=1, 0,
      MAX(
        _xlfn.FORECAST.LINEAR(R$1,
          IF($D17:$O17="",0,$D17:$O17),
          $D$1:$O$1
        ), 0
      )
)</f>
        <v>6.0151515151515138</v>
      </c>
      <c r="S17" s="18">
        <f t="array" ref="S17">IF(COUNT($D17:$O17)=1, 0,
      MAX(
        _xlfn.FORECAST.LINEAR(S$1,
          IF($D17:$O17="",0,$D17:$O17),
          $D$1:$O$1
        ), 0
      )
)</f>
        <v>6.0815850815850805</v>
      </c>
      <c r="T17" s="18">
        <f t="array" ref="T17">IF(COUNT($D17:$O17)=1, 0,
      MAX(
        _xlfn.FORECAST.LINEAR(T$1,
          IF($D17:$O17="",0,$D17:$O17),
          $D$1:$O$1
        ), 0
      )
)</f>
        <v>6.1480186480186472</v>
      </c>
      <c r="U17" s="18">
        <f t="array" ref="U17">IF(COUNT($D17:$O17)=1, 0,
      MAX(
        _xlfn.FORECAST.LINEAR(U$1,
          IF($D17:$O17="",0,$D17:$O17),
          $D$1:$O$1
        ), 0
      )
)</f>
        <v>6.214452214452213</v>
      </c>
      <c r="V17" s="18">
        <f t="array" ref="V17">IF(COUNT($D17:$O17)=1, 0,
      MAX(
        _xlfn.FORECAST.LINEAR(V$1,
          IF($D17:$O17="",0,$D17:$O17),
          $D$1:$O$1
        ), 0
      )
)</f>
        <v>6.2808857808857796</v>
      </c>
      <c r="W17" s="18">
        <f t="array" ref="W17">IF(COUNT($D17:$O17)=1, 0,
      MAX(
        _xlfn.FORECAST.LINEAR(W$1,
          IF($D17:$O17="",0,$D17:$O17),
          $D$1:$O$1
        ), 0
      )
)</f>
        <v>6.3473193473193454</v>
      </c>
      <c r="X17" s="18">
        <f t="array" ref="X17">IF(COUNT($D17:$O17)=1, 0,
      MAX(
        _xlfn.FORECAST.LINEAR(X$1,
          IF($D17:$O17="",0,$D17:$O17),
          $D$1:$O$1
        ), 0
      )
)</f>
        <v>6.4137529137529121</v>
      </c>
      <c r="Y17" s="18">
        <f t="array" ref="Y17">IF(COUNT($D17:$O17)=1, 0,
      MAX(
        _xlfn.FORECAST.LINEAR(Y$1,
          IF($D17:$O17="",0,$D17:$O17),
          $D$1:$O$1
        ), 0
      )
)</f>
        <v>6.4801864801864788</v>
      </c>
      <c r="Z17" s="18">
        <f t="array" ref="Z17">IF(COUNT($D17:$O17)=1, 0,
      MAX(
        _xlfn.FORECAST.LINEAR(Z$1,
          IF($D17:$O17="",0,$D17:$O17),
          $D$1:$O$1
        ), 0
      )
)</f>
        <v>6.5466200466200455</v>
      </c>
      <c r="AA17" s="18">
        <f t="array" ref="AA17">IF(COUNT($D17:$O17)=1, 0,
      MAX(
        _xlfn.FORECAST.LINEAR(AA$1,
          IF($D17:$O17="",0,$D17:$O17),
          $D$1:$O$1
        ), 0
      )
)</f>
        <v>6.6130536130536113</v>
      </c>
      <c r="AB17" s="18">
        <f t="array" ref="AB17">IF(COUNT($D17:$O17)=1, 0,
      MAX(
        _xlfn.FORECAST.LINEAR(AB$1,
          IF($D17:$O17="",0,$D17:$O17),
          $D$1:$O$1
        ), 0
      )
)</f>
        <v>6.679487179487178</v>
      </c>
      <c r="AC17" s="18">
        <f t="array" ref="AC17">IF(COUNT($D17:$O17)=1, 0,
      MAX(
        _xlfn.FORECAST.LINEAR(AC$1,
          IF($D17:$O17="",0,$D17:$O17),
          $D$1:$O$1
        ), 0
      )
)</f>
        <v>6.7459207459207438</v>
      </c>
      <c r="AD17" s="18">
        <f t="shared" ref="AD17:AD24" si="9">SUM(R17:AC17)</f>
        <v>76.566433566433545</v>
      </c>
    </row>
    <row r="18" spans="2:30" x14ac:dyDescent="0.3">
      <c r="B18" s="5" t="s">
        <v>22</v>
      </c>
      <c r="C18" s="5">
        <v>1009806735</v>
      </c>
      <c r="D18" s="1">
        <v>12</v>
      </c>
      <c r="E18" s="1"/>
      <c r="F18" s="1">
        <v>4</v>
      </c>
      <c r="G18" s="1">
        <v>3</v>
      </c>
      <c r="H18" s="1">
        <v>8</v>
      </c>
      <c r="I18" s="1">
        <v>6</v>
      </c>
      <c r="J18" s="1">
        <v>19</v>
      </c>
      <c r="K18" s="1">
        <v>12</v>
      </c>
      <c r="L18" s="1">
        <v>10</v>
      </c>
      <c r="M18" s="1">
        <v>7</v>
      </c>
      <c r="N18" s="1">
        <v>7</v>
      </c>
      <c r="O18" s="1">
        <v>3</v>
      </c>
      <c r="P18" s="14">
        <f t="shared" si="8"/>
        <v>91</v>
      </c>
      <c r="Q18" t="str">
        <f t="shared" si="7"/>
        <v>Фильтр топливный PL420PL420241850998747325</v>
      </c>
      <c r="R18" s="18">
        <f t="array" ref="R18">IF(COUNT($D18:$O18)=1, 0,
      MAX(
        _xlfn.FORECAST.LINEAR(R$1,
          IF($D18:$O18="",0,$D18:$O18),
          $D$1:$O$1
        ), 0
      )
)</f>
        <v>8.6060606060606055</v>
      </c>
      <c r="S18" s="18">
        <f t="array" ref="S18">IF(COUNT($D18:$O18)=1, 0,
      MAX(
        _xlfn.FORECAST.LINEAR(S$1,
          IF($D18:$O18="",0,$D18:$O18),
          $D$1:$O$1
        ), 0
      )
)</f>
        <v>8.7634032634032639</v>
      </c>
      <c r="T18" s="18">
        <f t="array" ref="T18">IF(COUNT($D18:$O18)=1, 0,
      MAX(
        _xlfn.FORECAST.LINEAR(T$1,
          IF($D18:$O18="",0,$D18:$O18),
          $D$1:$O$1
        ), 0
      )
)</f>
        <v>8.9207459207459205</v>
      </c>
      <c r="U18" s="18">
        <f t="array" ref="U18">IF(COUNT($D18:$O18)=1, 0,
      MAX(
        _xlfn.FORECAST.LINEAR(U$1,
          IF($D18:$O18="",0,$D18:$O18),
          $D$1:$O$1
        ), 0
      )
)</f>
        <v>9.0780885780885789</v>
      </c>
      <c r="V18" s="18">
        <f t="array" ref="V18">IF(COUNT($D18:$O18)=1, 0,
      MAX(
        _xlfn.FORECAST.LINEAR(V$1,
          IF($D18:$O18="",0,$D18:$O18),
          $D$1:$O$1
        ), 0
      )
)</f>
        <v>9.2354312354312356</v>
      </c>
      <c r="W18" s="18">
        <f t="array" ref="W18">IF(COUNT($D18:$O18)=1, 0,
      MAX(
        _xlfn.FORECAST.LINEAR(W$1,
          IF($D18:$O18="",0,$D18:$O18),
          $D$1:$O$1
        ), 0
      )
)</f>
        <v>9.3927738927738922</v>
      </c>
      <c r="X18" s="18">
        <f t="array" ref="X18">IF(COUNT($D18:$O18)=1, 0,
      MAX(
        _xlfn.FORECAST.LINEAR(X$1,
          IF($D18:$O18="",0,$D18:$O18),
          $D$1:$O$1
        ), 0
      )
)</f>
        <v>9.5501165501165506</v>
      </c>
      <c r="Y18" s="18">
        <f t="array" ref="Y18">IF(COUNT($D18:$O18)=1, 0,
      MAX(
        _xlfn.FORECAST.LINEAR(Y$1,
          IF($D18:$O18="",0,$D18:$O18),
          $D$1:$O$1
        ), 0
      )
)</f>
        <v>9.707459207459209</v>
      </c>
      <c r="Z18" s="18">
        <f t="array" ref="Z18">IF(COUNT($D18:$O18)=1, 0,
      MAX(
        _xlfn.FORECAST.LINEAR(Z$1,
          IF($D18:$O18="",0,$D18:$O18),
          $D$1:$O$1
        ), 0
      )
)</f>
        <v>9.8648018648018656</v>
      </c>
      <c r="AA18" s="18">
        <f t="array" ref="AA18">IF(COUNT($D18:$O18)=1, 0,
      MAX(
        _xlfn.FORECAST.LINEAR(AA$1,
          IF($D18:$O18="",0,$D18:$O18),
          $D$1:$O$1
        ), 0
      )
)</f>
        <v>10.022144522144522</v>
      </c>
      <c r="AB18" s="18">
        <f t="array" ref="AB18">IF(COUNT($D18:$O18)=1, 0,
      MAX(
        _xlfn.FORECAST.LINEAR(AB$1,
          IF($D18:$O18="",0,$D18:$O18),
          $D$1:$O$1
        ), 0
      )
)</f>
        <v>10.179487179487181</v>
      </c>
      <c r="AC18" s="18">
        <f t="array" ref="AC18">IF(COUNT($D18:$O18)=1, 0,
      MAX(
        _xlfn.FORECAST.LINEAR(AC$1,
          IF($D18:$O18="",0,$D18:$O18),
          $D$1:$O$1
        ), 0
      )
)</f>
        <v>10.336829836829837</v>
      </c>
      <c r="AD18" s="18">
        <f t="shared" si="9"/>
        <v>113.65734265734265</v>
      </c>
    </row>
    <row r="19" spans="2:30" x14ac:dyDescent="0.3">
      <c r="B19" s="5" t="s">
        <v>23</v>
      </c>
      <c r="C19" s="5" t="s">
        <v>26</v>
      </c>
      <c r="D19" s="1">
        <v>24</v>
      </c>
      <c r="E19" s="1"/>
      <c r="F19" s="1"/>
      <c r="G19" s="1"/>
      <c r="H19" s="1"/>
      <c r="I19" s="1"/>
      <c r="J19" s="1"/>
      <c r="K19" s="1">
        <v>18</v>
      </c>
      <c r="L19" s="1">
        <v>50</v>
      </c>
      <c r="M19" s="1">
        <v>99</v>
      </c>
      <c r="N19" s="1">
        <v>87</v>
      </c>
      <c r="O19" s="1">
        <v>47</v>
      </c>
      <c r="P19" s="14">
        <f t="shared" si="8"/>
        <v>325</v>
      </c>
      <c r="Q19" t="str">
        <f t="shared" si="7"/>
        <v>Фильтр топливный ST20754CST20754C2315314</v>
      </c>
      <c r="R19" s="18">
        <f t="array" ref="R19">IF(COUNT($D19:$O19)=1, 0,
      MAX(
        _xlfn.FORECAST.LINEAR(R$1,
          IF($D19:$O19="",0,$D19:$O19),
          $D$1:$O$1
        ), 0
      )
)</f>
        <v>73.287878787878782</v>
      </c>
      <c r="S19" s="18">
        <f t="array" ref="S19">IF(COUNT($D19:$O19)=1, 0,
      MAX(
        _xlfn.FORECAST.LINEAR(S$1,
          IF($D19:$O19="",0,$D19:$O19),
          $D$1:$O$1
        ), 0
      )
)</f>
        <v>80.396270396270396</v>
      </c>
      <c r="T19" s="18">
        <f t="array" ref="T19">IF(COUNT($D19:$O19)=1, 0,
      MAX(
        _xlfn.FORECAST.LINEAR(T$1,
          IF($D19:$O19="",0,$D19:$O19),
          $D$1:$O$1
        ), 0
      )
)</f>
        <v>87.504662004661995</v>
      </c>
      <c r="U19" s="18">
        <f t="array" ref="U19">IF(COUNT($D19:$O19)=1, 0,
      MAX(
        _xlfn.FORECAST.LINEAR(U$1,
          IF($D19:$O19="",0,$D19:$O19),
          $D$1:$O$1
        ), 0
      )
)</f>
        <v>94.613053613053609</v>
      </c>
      <c r="V19" s="18">
        <f t="array" ref="V19">IF(COUNT($D19:$O19)=1, 0,
      MAX(
        _xlfn.FORECAST.LINEAR(V$1,
          IF($D19:$O19="",0,$D19:$O19),
          $D$1:$O$1
        ), 0
      )
)</f>
        <v>101.72144522144522</v>
      </c>
      <c r="W19" s="18">
        <f t="array" ref="W19">IF(COUNT($D19:$O19)=1, 0,
      MAX(
        _xlfn.FORECAST.LINEAR(W$1,
          IF($D19:$O19="",0,$D19:$O19),
          $D$1:$O$1
        ), 0
      )
)</f>
        <v>108.82983682983682</v>
      </c>
      <c r="X19" s="18">
        <f t="array" ref="X19">IF(COUNT($D19:$O19)=1, 0,
      MAX(
        _xlfn.FORECAST.LINEAR(X$1,
          IF($D19:$O19="",0,$D19:$O19),
          $D$1:$O$1
        ), 0
      )
)</f>
        <v>115.93822843822844</v>
      </c>
      <c r="Y19" s="18">
        <f t="array" ref="Y19">IF(COUNT($D19:$O19)=1, 0,
      MAX(
        _xlfn.FORECAST.LINEAR(Y$1,
          IF($D19:$O19="",0,$D19:$O19),
          $D$1:$O$1
        ), 0
      )
)</f>
        <v>123.04662004662003</v>
      </c>
      <c r="Z19" s="18">
        <f t="array" ref="Z19">IF(COUNT($D19:$O19)=1, 0,
      MAX(
        _xlfn.FORECAST.LINEAR(Z$1,
          IF($D19:$O19="",0,$D19:$O19),
          $D$1:$O$1
        ), 0
      )
)</f>
        <v>130.15501165501166</v>
      </c>
      <c r="AA19" s="18">
        <f t="array" ref="AA19">IF(COUNT($D19:$O19)=1, 0,
      MAX(
        _xlfn.FORECAST.LINEAR(AA$1,
          IF($D19:$O19="",0,$D19:$O19),
          $D$1:$O$1
        ), 0
      )
)</f>
        <v>137.26340326340326</v>
      </c>
      <c r="AB19" s="18">
        <f t="array" ref="AB19">IF(COUNT($D19:$O19)=1, 0,
      MAX(
        _xlfn.FORECAST.LINEAR(AB$1,
          IF($D19:$O19="",0,$D19:$O19),
          $D$1:$O$1
        ), 0
      )
)</f>
        <v>144.37179487179486</v>
      </c>
      <c r="AC19" s="18">
        <f t="array" ref="AC19">IF(COUNT($D19:$O19)=1, 0,
      MAX(
        _xlfn.FORECAST.LINEAR(AC$1,
          IF($D19:$O19="",0,$D19:$O19),
          $D$1:$O$1
        ), 0
      )
)</f>
        <v>151.48018648018649</v>
      </c>
      <c r="AD19" s="18">
        <f t="shared" si="9"/>
        <v>1348.6083916083917</v>
      </c>
    </row>
    <row r="20" spans="2:30" x14ac:dyDescent="0.3">
      <c r="B20" s="5" t="s">
        <v>24</v>
      </c>
      <c r="C20" s="5" t="s">
        <v>18</v>
      </c>
      <c r="D20" s="1">
        <v>2</v>
      </c>
      <c r="E20" s="1"/>
      <c r="F20" s="1"/>
      <c r="G20" s="1"/>
      <c r="H20" s="1">
        <v>3</v>
      </c>
      <c r="I20" s="1"/>
      <c r="J20" s="1"/>
      <c r="K20" s="1"/>
      <c r="L20" s="1"/>
      <c r="M20" s="1">
        <v>1</v>
      </c>
      <c r="N20" s="1">
        <v>5</v>
      </c>
      <c r="O20" s="1">
        <v>3</v>
      </c>
      <c r="P20" s="14">
        <f t="shared" si="8"/>
        <v>14</v>
      </c>
      <c r="Q20" t="str">
        <f t="shared" si="7"/>
        <v>Фильтр топливный ST20754CST20754C71210</v>
      </c>
      <c r="R20" s="18">
        <f t="array" ref="R20">IF(COUNT($D20:$O20)=1, 0,
      MAX(
        _xlfn.FORECAST.LINEAR(R$1,
          IF($D20:$O20="",0,$D20:$O20),
          $D$1:$O$1
        ), 0
      )
)</f>
        <v>2.393939393939394</v>
      </c>
      <c r="S20" s="18">
        <f t="array" ref="S20">IF(COUNT($D20:$O20)=1, 0,
      MAX(
        _xlfn.FORECAST.LINEAR(S$1,
          IF($D20:$O20="",0,$D20:$O20),
          $D$1:$O$1
        ), 0
      )
)</f>
        <v>2.5827505827505828</v>
      </c>
      <c r="T20" s="18">
        <f t="array" ref="T20">IF(COUNT($D20:$O20)=1, 0,
      MAX(
        _xlfn.FORECAST.LINEAR(T$1,
          IF($D20:$O20="",0,$D20:$O20),
          $D$1:$O$1
        ), 0
      )
)</f>
        <v>2.7715617715617715</v>
      </c>
      <c r="U20" s="18">
        <f t="array" ref="U20">IF(COUNT($D20:$O20)=1, 0,
      MAX(
        _xlfn.FORECAST.LINEAR(U$1,
          IF($D20:$O20="",0,$D20:$O20),
          $D$1:$O$1
        ), 0
      )
)</f>
        <v>2.9603729603729603</v>
      </c>
      <c r="V20" s="18">
        <f t="array" ref="V20">IF(COUNT($D20:$O20)=1, 0,
      MAX(
        _xlfn.FORECAST.LINEAR(V$1,
          IF($D20:$O20="",0,$D20:$O20),
          $D$1:$O$1
        ), 0
      )
)</f>
        <v>3.149184149184149</v>
      </c>
      <c r="W20" s="18">
        <f t="array" ref="W20">IF(COUNT($D20:$O20)=1, 0,
      MAX(
        _xlfn.FORECAST.LINEAR(W$1,
          IF($D20:$O20="",0,$D20:$O20),
          $D$1:$O$1
        ), 0
      )
)</f>
        <v>3.3379953379953378</v>
      </c>
      <c r="X20" s="18">
        <f t="array" ref="X20">IF(COUNT($D20:$O20)=1, 0,
      MAX(
        _xlfn.FORECAST.LINEAR(X$1,
          IF($D20:$O20="",0,$D20:$O20),
          $D$1:$O$1
        ), 0
      )
)</f>
        <v>3.5268065268065265</v>
      </c>
      <c r="Y20" s="18">
        <f t="array" ref="Y20">IF(COUNT($D20:$O20)=1, 0,
      MAX(
        _xlfn.FORECAST.LINEAR(Y$1,
          IF($D20:$O20="",0,$D20:$O20),
          $D$1:$O$1
        ), 0
      )
)</f>
        <v>3.7156177156177153</v>
      </c>
      <c r="Z20" s="18">
        <f t="array" ref="Z20">IF(COUNT($D20:$O20)=1, 0,
      MAX(
        _xlfn.FORECAST.LINEAR(Z$1,
          IF($D20:$O20="",0,$D20:$O20),
          $D$1:$O$1
        ), 0
      )
)</f>
        <v>3.9044289044289044</v>
      </c>
      <c r="AA20" s="18">
        <f t="array" ref="AA20">IF(COUNT($D20:$O20)=1, 0,
      MAX(
        _xlfn.FORECAST.LINEAR(AA$1,
          IF($D20:$O20="",0,$D20:$O20),
          $D$1:$O$1
        ), 0
      )
)</f>
        <v>4.0932400932400927</v>
      </c>
      <c r="AB20" s="18">
        <f t="array" ref="AB20">IF(COUNT($D20:$O20)=1, 0,
      MAX(
        _xlfn.FORECAST.LINEAR(AB$1,
          IF($D20:$O20="",0,$D20:$O20),
          $D$1:$O$1
        ), 0
      )
)</f>
        <v>4.2820512820512819</v>
      </c>
      <c r="AC20" s="18">
        <f t="array" ref="AC20">IF(COUNT($D20:$O20)=1, 0,
      MAX(
        _xlfn.FORECAST.LINEAR(AC$1,
          IF($D20:$O20="",0,$D20:$O20),
          $D$1:$O$1
        ), 0
      )
)</f>
        <v>4.4708624708624711</v>
      </c>
      <c r="AD20" s="18">
        <f t="shared" si="9"/>
        <v>41.188811188811187</v>
      </c>
    </row>
    <row r="21" spans="2:30" x14ac:dyDescent="0.3">
      <c r="B21" s="5" t="s">
        <v>24</v>
      </c>
      <c r="C21" s="5" t="s">
        <v>18</v>
      </c>
      <c r="D21" s="1">
        <v>7</v>
      </c>
      <c r="E21" s="1"/>
      <c r="F21" s="1"/>
      <c r="G21" s="1"/>
      <c r="H21" s="1"/>
      <c r="I21" s="1"/>
      <c r="J21" s="1"/>
      <c r="K21" s="1"/>
      <c r="L21" s="1"/>
      <c r="M21" s="1"/>
      <c r="N21" s="1">
        <v>1</v>
      </c>
      <c r="O21" s="1">
        <v>2</v>
      </c>
      <c r="P21" s="14">
        <f t="shared" si="8"/>
        <v>10</v>
      </c>
      <c r="Q21" t="str">
        <f t="shared" si="7"/>
        <v>Фильтр топливный ST20754CST20754C731114846625167</v>
      </c>
      <c r="R21" s="18">
        <f t="array" ref="R21">IF(COUNT($D21:$O21)=1, 0,
      MAX(
        _xlfn.FORECAST.LINEAR(R$1,
          IF($D21:$O21="",0,$D21:$O21),
          $D$1:$O$1
        ), 0
      )
)</f>
        <v>0</v>
      </c>
      <c r="S21" s="18">
        <f t="array" ref="S21">IF(COUNT($D21:$O21)=1, 0,
      MAX(
        _xlfn.FORECAST.LINEAR(S$1,
          IF($D21:$O21="",0,$D21:$O21),
          $D$1:$O$1
        ), 0
      )
)</f>
        <v>0</v>
      </c>
      <c r="T21" s="18">
        <f t="array" ref="T21">IF(COUNT($D21:$O21)=1, 0,
      MAX(
        _xlfn.FORECAST.LINEAR(T$1,
          IF($D21:$O21="",0,$D21:$O21),
          $D$1:$O$1
        ), 0
      )
)</f>
        <v>0</v>
      </c>
      <c r="U21" s="18">
        <f t="array" ref="U21">IF(COUNT($D21:$O21)=1, 0,
      MAX(
        _xlfn.FORECAST.LINEAR(U$1,
          IF($D21:$O21="",0,$D21:$O21),
          $D$1:$O$1
        ), 0
      )
)</f>
        <v>0</v>
      </c>
      <c r="V21" s="18">
        <f t="array" ref="V21">IF(COUNT($D21:$O21)=1, 0,
      MAX(
        _xlfn.FORECAST.LINEAR(V$1,
          IF($D21:$O21="",0,$D21:$O21),
          $D$1:$O$1
        ), 0
      )
)</f>
        <v>0</v>
      </c>
      <c r="W21" s="18">
        <f t="array" ref="W21">IF(COUNT($D21:$O21)=1, 0,
      MAX(
        _xlfn.FORECAST.LINEAR(W$1,
          IF($D21:$O21="",0,$D21:$O21),
          $D$1:$O$1
        ), 0
      )
)</f>
        <v>0</v>
      </c>
      <c r="X21" s="18">
        <f t="array" ref="X21">IF(COUNT($D21:$O21)=1, 0,
      MAX(
        _xlfn.FORECAST.LINEAR(X$1,
          IF($D21:$O21="",0,$D21:$O21),
          $D$1:$O$1
        ), 0
      )
)</f>
        <v>0</v>
      </c>
      <c r="Y21" s="18">
        <f t="array" ref="Y21">IF(COUNT($D21:$O21)=1, 0,
      MAX(
        _xlfn.FORECAST.LINEAR(Y$1,
          IF($D21:$O21="",0,$D21:$O21),
          $D$1:$O$1
        ), 0
      )
)</f>
        <v>0</v>
      </c>
      <c r="Z21" s="18">
        <f t="array" ref="Z21">IF(COUNT($D21:$O21)=1, 0,
      MAX(
        _xlfn.FORECAST.LINEAR(Z$1,
          IF($D21:$O21="",0,$D21:$O21),
          $D$1:$O$1
        ), 0
      )
)</f>
        <v>0</v>
      </c>
      <c r="AA21" s="18">
        <f t="array" ref="AA21">IF(COUNT($D21:$O21)=1, 0,
      MAX(
        _xlfn.FORECAST.LINEAR(AA$1,
          IF($D21:$O21="",0,$D21:$O21),
          $D$1:$O$1
        ), 0
      )
)</f>
        <v>0</v>
      </c>
      <c r="AB21" s="18">
        <f t="array" ref="AB21">IF(COUNT($D21:$O21)=1, 0,
      MAX(
        _xlfn.FORECAST.LINEAR(AB$1,
          IF($D21:$O21="",0,$D21:$O21),
          $D$1:$O$1
        ), 0
      )
)</f>
        <v>0</v>
      </c>
      <c r="AC21" s="18">
        <f t="array" ref="AC21">IF(COUNT($D21:$O21)=1, 0,
      MAX(
        _xlfn.FORECAST.LINEAR(AC$1,
          IF($D21:$O21="",0,$D21:$O21),
          $D$1:$O$1
        ), 0
      )
)</f>
        <v>0</v>
      </c>
      <c r="AD21" s="18">
        <f t="shared" si="9"/>
        <v>0</v>
      </c>
    </row>
    <row r="22" spans="2:30" x14ac:dyDescent="0.3">
      <c r="B22" s="5" t="s">
        <v>24</v>
      </c>
      <c r="C22" s="5" t="s">
        <v>18</v>
      </c>
      <c r="D22" s="1">
        <v>7</v>
      </c>
      <c r="E22" s="1">
        <v>3</v>
      </c>
      <c r="F22" s="1">
        <v>11</v>
      </c>
      <c r="G22" s="1">
        <v>14</v>
      </c>
      <c r="H22" s="1">
        <v>8</v>
      </c>
      <c r="I22" s="1">
        <v>4</v>
      </c>
      <c r="J22" s="1">
        <v>6</v>
      </c>
      <c r="K22" s="1">
        <v>6</v>
      </c>
      <c r="L22" s="1">
        <v>2</v>
      </c>
      <c r="M22" s="1"/>
      <c r="N22" s="1">
        <v>5</v>
      </c>
      <c r="O22" s="1">
        <v>1</v>
      </c>
      <c r="P22" s="14">
        <f t="shared" si="8"/>
        <v>67</v>
      </c>
      <c r="Q22" t="str">
        <f t="shared" si="7"/>
        <v>Фильтр топливный ST20754CST20754C525752044</v>
      </c>
      <c r="R22" s="18">
        <f t="array" ref="R22">IF(COUNT($D22:$O22)=1, 0,
      MAX(
        _xlfn.FORECAST.LINEAR(R$1,
          IF($D22:$O22="",0,$D22:$O22),
          $D$1:$O$1
        ), 0
      )
)</f>
        <v>1.2878787878787872</v>
      </c>
      <c r="S22" s="18">
        <f t="array" ref="S22">IF(COUNT($D22:$O22)=1, 0,
      MAX(
        _xlfn.FORECAST.LINEAR(S$1,
          IF($D22:$O22="",0,$D22:$O22),
          $D$1:$O$1
        ), 0
      )
)</f>
        <v>0.62703962703962546</v>
      </c>
      <c r="T22" s="18">
        <f t="array" ref="T22">IF(COUNT($D22:$O22)=1, 0,
      MAX(
        _xlfn.FORECAST.LINEAR(T$1,
          IF($D22:$O22="",0,$D22:$O22),
          $D$1:$O$1
        ), 0
      )
)</f>
        <v>0</v>
      </c>
      <c r="U22" s="18">
        <f t="array" ref="U22">IF(COUNT($D22:$O22)=1, 0,
      MAX(
        _xlfn.FORECAST.LINEAR(U$1,
          IF($D22:$O22="",0,$D22:$O22),
          $D$1:$O$1
        ), 0
      )
)</f>
        <v>0</v>
      </c>
      <c r="V22" s="18">
        <f t="array" ref="V22">IF(COUNT($D22:$O22)=1, 0,
      MAX(
        _xlfn.FORECAST.LINEAR(V$1,
          IF($D22:$O22="",0,$D22:$O22),
          $D$1:$O$1
        ), 0
      )
)</f>
        <v>0</v>
      </c>
      <c r="W22" s="18">
        <f t="array" ref="W22">IF(COUNT($D22:$O22)=1, 0,
      MAX(
        _xlfn.FORECAST.LINEAR(W$1,
          IF($D22:$O22="",0,$D22:$O22),
          $D$1:$O$1
        ), 0
      )
)</f>
        <v>0</v>
      </c>
      <c r="X22" s="18">
        <f t="array" ref="X22">IF(COUNT($D22:$O22)=1, 0,
      MAX(
        _xlfn.FORECAST.LINEAR(X$1,
          IF($D22:$O22="",0,$D22:$O22),
          $D$1:$O$1
        ), 0
      )
)</f>
        <v>0</v>
      </c>
      <c r="Y22" s="18">
        <f t="array" ref="Y22">IF(COUNT($D22:$O22)=1, 0,
      MAX(
        _xlfn.FORECAST.LINEAR(Y$1,
          IF($D22:$O22="",0,$D22:$O22),
          $D$1:$O$1
        ), 0
      )
)</f>
        <v>0</v>
      </c>
      <c r="Z22" s="18">
        <f t="array" ref="Z22">IF(COUNT($D22:$O22)=1, 0,
      MAX(
        _xlfn.FORECAST.LINEAR(Z$1,
          IF($D22:$O22="",0,$D22:$O22),
          $D$1:$O$1
        ), 0
      )
)</f>
        <v>0</v>
      </c>
      <c r="AA22" s="18">
        <f t="array" ref="AA22">IF(COUNT($D22:$O22)=1, 0,
      MAX(
        _xlfn.FORECAST.LINEAR(AA$1,
          IF($D22:$O22="",0,$D22:$O22),
          $D$1:$O$1
        ), 0
      )
)</f>
        <v>0</v>
      </c>
      <c r="AB22" s="18">
        <f t="array" ref="AB22">IF(COUNT($D22:$O22)=1, 0,
      MAX(
        _xlfn.FORECAST.LINEAR(AB$1,
          IF($D22:$O22="",0,$D22:$O22),
          $D$1:$O$1
        ), 0
      )
)</f>
        <v>0</v>
      </c>
      <c r="AC22" s="18">
        <f t="array" ref="AC22">IF(COUNT($D22:$O22)=1, 0,
      MAX(
        _xlfn.FORECAST.LINEAR(AC$1,
          IF($D22:$O22="",0,$D22:$O22),
          $D$1:$O$1
        ), 0
      )
)</f>
        <v>0</v>
      </c>
      <c r="AD22" s="18">
        <f t="shared" si="9"/>
        <v>1.9149184149184126</v>
      </c>
    </row>
    <row r="23" spans="2:30" x14ac:dyDescent="0.3">
      <c r="B23" s="5" t="s">
        <v>24</v>
      </c>
      <c r="C23" s="5" t="s">
        <v>18</v>
      </c>
      <c r="D23" s="1">
        <v>5</v>
      </c>
      <c r="E23" s="1"/>
      <c r="F23" s="1"/>
      <c r="G23" s="1"/>
      <c r="H23" s="1"/>
      <c r="I23" s="1"/>
      <c r="J23" s="1">
        <v>2</v>
      </c>
      <c r="K23" s="1">
        <v>5</v>
      </c>
      <c r="L23" s="1">
        <v>7</v>
      </c>
      <c r="M23" s="1">
        <v>5</v>
      </c>
      <c r="N23" s="1"/>
      <c r="O23" s="1">
        <v>20</v>
      </c>
      <c r="P23" s="14">
        <f t="shared" ref="P23:P25" si="10">SUM(D23:O23)</f>
        <v>44</v>
      </c>
      <c r="Q23" t="str">
        <f t="shared" si="7"/>
        <v>Фильтр топливный грубой очистки Weichai, 10007009081000700908412312316968</v>
      </c>
      <c r="R23" s="18">
        <f t="array" ref="R23">IF(COUNT($D23:$O23)=1, 0,
      MAX(
        _xlfn.FORECAST.LINEAR(R$1,
          IF($D23:$O23="",0,$D23:$O23),
          $D$1:$O$1
        ), 0
      )
)</f>
        <v>9.3939393939393945</v>
      </c>
      <c r="S23" s="18">
        <f t="array" ref="S23">IF(COUNT($D23:$O23)=1, 0,
      MAX(
        _xlfn.FORECAST.LINEAR(S$1,
          IF($D23:$O23="",0,$D23:$O23),
          $D$1:$O$1
        ), 0
      )
)</f>
        <v>10.275058275058276</v>
      </c>
      <c r="T23" s="18">
        <f t="array" ref="T23">IF(COUNT($D23:$O23)=1, 0,
      MAX(
        _xlfn.FORECAST.LINEAR(T$1,
          IF($D23:$O23="",0,$D23:$O23),
          $D$1:$O$1
        ), 0
      )
)</f>
        <v>11.156177156177156</v>
      </c>
      <c r="U23" s="18">
        <f t="array" ref="U23">IF(COUNT($D23:$O23)=1, 0,
      MAX(
        _xlfn.FORECAST.LINEAR(U$1,
          IF($D23:$O23="",0,$D23:$O23),
          $D$1:$O$1
        ), 0
      )
)</f>
        <v>12.037296037296038</v>
      </c>
      <c r="V23" s="18">
        <f t="array" ref="V23">IF(COUNT($D23:$O23)=1, 0,
      MAX(
        _xlfn.FORECAST.LINEAR(V$1,
          IF($D23:$O23="",0,$D23:$O23),
          $D$1:$O$1
        ), 0
      )
)</f>
        <v>12.91841491841492</v>
      </c>
      <c r="W23" s="18">
        <f t="array" ref="W23">IF(COUNT($D23:$O23)=1, 0,
      MAX(
        _xlfn.FORECAST.LINEAR(W$1,
          IF($D23:$O23="",0,$D23:$O23),
          $D$1:$O$1
        ), 0
      )
)</f>
        <v>13.799533799533799</v>
      </c>
      <c r="X23" s="18">
        <f t="array" ref="X23">IF(COUNT($D23:$O23)=1, 0,
      MAX(
        _xlfn.FORECAST.LINEAR(X$1,
          IF($D23:$O23="",0,$D23:$O23),
          $D$1:$O$1
        ), 0
      )
)</f>
        <v>14.680652680652683</v>
      </c>
      <c r="Y23" s="18">
        <f t="array" ref="Y23">IF(COUNT($D23:$O23)=1, 0,
      MAX(
        _xlfn.FORECAST.LINEAR(Y$1,
          IF($D23:$O23="",0,$D23:$O23),
          $D$1:$O$1
        ), 0
      )
)</f>
        <v>15.561771561771563</v>
      </c>
      <c r="Z23" s="18">
        <f t="array" ref="Z23">IF(COUNT($D23:$O23)=1, 0,
      MAX(
        _xlfn.FORECAST.LINEAR(Z$1,
          IF($D23:$O23="",0,$D23:$O23),
          $D$1:$O$1
        ), 0
      )
)</f>
        <v>16.442890442890441</v>
      </c>
      <c r="AA23" s="18">
        <f t="array" ref="AA23">IF(COUNT($D23:$O23)=1, 0,
      MAX(
        _xlfn.FORECAST.LINEAR(AA$1,
          IF($D23:$O23="",0,$D23:$O23),
          $D$1:$O$1
        ), 0
      )
)</f>
        <v>17.324009324009324</v>
      </c>
      <c r="AB23" s="18">
        <f t="array" ref="AB23">IF(COUNT($D23:$O23)=1, 0,
      MAX(
        _xlfn.FORECAST.LINEAR(AB$1,
          IF($D23:$O23="",0,$D23:$O23),
          $D$1:$O$1
        ), 0
      )
)</f>
        <v>18.205128205128204</v>
      </c>
      <c r="AC23" s="18">
        <f t="array" ref="AC23">IF(COUNT($D23:$O23)=1, 0,
      MAX(
        _xlfn.FORECAST.LINEAR(AC$1,
          IF($D23:$O23="",0,$D23:$O23),
          $D$1:$O$1
        ), 0
      )
)</f>
        <v>19.086247086247084</v>
      </c>
      <c r="AD23" s="18">
        <f t="shared" si="9"/>
        <v>170.88111888111888</v>
      </c>
    </row>
    <row r="24" spans="2:30" x14ac:dyDescent="0.3">
      <c r="B24" s="5" t="s">
        <v>25</v>
      </c>
      <c r="C24" s="5">
        <v>1000700908</v>
      </c>
      <c r="D24" s="1">
        <v>4</v>
      </c>
      <c r="E24" s="1"/>
      <c r="F24" s="1"/>
      <c r="G24" s="1"/>
      <c r="H24" s="1"/>
      <c r="I24" s="1"/>
      <c r="J24" s="1">
        <v>1</v>
      </c>
      <c r="K24" s="1">
        <v>23</v>
      </c>
      <c r="L24" s="1">
        <v>12</v>
      </c>
      <c r="M24" s="1">
        <v>3</v>
      </c>
      <c r="N24" s="1">
        <v>16</v>
      </c>
      <c r="O24" s="1">
        <v>9</v>
      </c>
      <c r="P24" s="14">
        <f t="shared" si="10"/>
        <v>68</v>
      </c>
      <c r="Q24" t="str">
        <f t="shared" si="7"/>
        <v>Фильтр топливный грубой очистки Weichai, 1000700908CC-5224X656419102324121699143</v>
      </c>
      <c r="R24" s="18">
        <f t="array" ref="R24">IF(COUNT($D24:$O24)=1, 0,
      MAX(
        _xlfn.FORECAST.LINEAR(R$1,
          IF($D24:$O24="",0,$D24:$O24),
          $D$1:$O$1
        ), 0
      )
)</f>
        <v>13.621212121212121</v>
      </c>
      <c r="S24" s="18">
        <f t="array" ref="S24">IF(COUNT($D24:$O24)=1, 0,
      MAX(
        _xlfn.FORECAST.LINEAR(S$1,
          IF($D24:$O24="",0,$D24:$O24),
          $D$1:$O$1
        ), 0
      )
)</f>
        <v>14.844988344988346</v>
      </c>
      <c r="T24" s="18">
        <f t="array" ref="T24">IF(COUNT($D24:$O24)=1, 0,
      MAX(
        _xlfn.FORECAST.LINEAR(T$1,
          IF($D24:$O24="",0,$D24:$O24),
          $D$1:$O$1
        ), 0
      )
)</f>
        <v>16.068764568764571</v>
      </c>
      <c r="U24" s="18">
        <f t="array" ref="U24">IF(COUNT($D24:$O24)=1, 0,
      MAX(
        _xlfn.FORECAST.LINEAR(U$1,
          IF($D24:$O24="",0,$D24:$O24),
          $D$1:$O$1
        ), 0
      )
)</f>
        <v>17.292540792540791</v>
      </c>
      <c r="V24" s="18">
        <f t="array" ref="V24">IF(COUNT($D24:$O24)=1, 0,
      MAX(
        _xlfn.FORECAST.LINEAR(V$1,
          IF($D24:$O24="",0,$D24:$O24),
          $D$1:$O$1
        ), 0
      )
)</f>
        <v>18.516317016317018</v>
      </c>
      <c r="W24" s="18">
        <f t="array" ref="W24">IF(COUNT($D24:$O24)=1, 0,
      MAX(
        _xlfn.FORECAST.LINEAR(W$1,
          IF($D24:$O24="",0,$D24:$O24),
          $D$1:$O$1
        ), 0
      )
)</f>
        <v>19.740093240093238</v>
      </c>
      <c r="X24" s="18">
        <f t="array" ref="X24">IF(COUNT($D24:$O24)=1, 0,
      MAX(
        _xlfn.FORECAST.LINEAR(X$1,
          IF($D24:$O24="",0,$D24:$O24),
          $D$1:$O$1
        ), 0
      )
)</f>
        <v>20.963869463869464</v>
      </c>
      <c r="Y24" s="18">
        <f t="array" ref="Y24">IF(COUNT($D24:$O24)=1, 0,
      MAX(
        _xlfn.FORECAST.LINEAR(Y$1,
          IF($D24:$O24="",0,$D24:$O24),
          $D$1:$O$1
        ), 0
      )
)</f>
        <v>22.187645687645684</v>
      </c>
      <c r="Z24" s="18">
        <f t="array" ref="Z24">IF(COUNT($D24:$O24)=1, 0,
      MAX(
        _xlfn.FORECAST.LINEAR(Z$1,
          IF($D24:$O24="",0,$D24:$O24),
          $D$1:$O$1
        ), 0
      )
)</f>
        <v>23.411421911421911</v>
      </c>
      <c r="AA24" s="18">
        <f t="array" ref="AA24">IF(COUNT($D24:$O24)=1, 0,
      MAX(
        _xlfn.FORECAST.LINEAR(AA$1,
          IF($D24:$O24="",0,$D24:$O24),
          $D$1:$O$1
        ), 0
      )
)</f>
        <v>24.635198135198138</v>
      </c>
      <c r="AB24" s="18">
        <f t="array" ref="AB24">IF(COUNT($D24:$O24)=1, 0,
      MAX(
        _xlfn.FORECAST.LINEAR(AB$1,
          IF($D24:$O24="",0,$D24:$O24),
          $D$1:$O$1
        ), 0
      )
)</f>
        <v>25.858974358974358</v>
      </c>
      <c r="AC24" s="18">
        <f t="array" ref="AC24">IF(COUNT($D24:$O24)=1, 0,
      MAX(
        _xlfn.FORECAST.LINEAR(AC$1,
          IF($D24:$O24="",0,$D24:$O24),
          $D$1:$O$1
        ), 0
      )
)</f>
        <v>27.082750582750585</v>
      </c>
      <c r="AD24" s="18">
        <f t="shared" si="9"/>
        <v>244.22377622377621</v>
      </c>
    </row>
    <row r="25" spans="2:30" x14ac:dyDescent="0.3">
      <c r="B25" s="5" t="s">
        <v>25</v>
      </c>
      <c r="C25" s="5" t="s">
        <v>19</v>
      </c>
      <c r="D25" s="1">
        <v>6</v>
      </c>
      <c r="E25" s="1">
        <v>5</v>
      </c>
      <c r="F25" s="1">
        <v>6</v>
      </c>
      <c r="G25" s="1">
        <v>4</v>
      </c>
      <c r="H25" s="1">
        <v>19</v>
      </c>
      <c r="I25" s="1">
        <v>10</v>
      </c>
      <c r="J25" s="1">
        <v>23</v>
      </c>
      <c r="K25" s="1">
        <v>24</v>
      </c>
      <c r="L25" s="1">
        <v>12</v>
      </c>
      <c r="M25" s="1">
        <v>16</v>
      </c>
      <c r="N25" s="1">
        <v>9</v>
      </c>
      <c r="O25" s="1">
        <v>9</v>
      </c>
      <c r="P25" s="14">
        <f t="shared" si="10"/>
        <v>143</v>
      </c>
      <c r="Q25" t="str">
        <f t="shared" si="7"/>
        <v>Итог СПИСАНИЕ70102436462860979713913496837</v>
      </c>
      <c r="R25" s="18">
        <f>SUM(R16:R24)</f>
        <v>114.63636363636363</v>
      </c>
      <c r="S25" s="18">
        <f>SUM(S16:S24)</f>
        <v>123.57109557109557</v>
      </c>
      <c r="T25" s="18">
        <f t="shared" ref="T25:AC25" si="11">SUM(T16:T24)</f>
        <v>132.56993006993005</v>
      </c>
      <c r="U25" s="18">
        <f t="shared" si="11"/>
        <v>142.19580419580419</v>
      </c>
      <c r="V25" s="18">
        <f t="shared" si="11"/>
        <v>151.82167832167835</v>
      </c>
      <c r="W25" s="18">
        <f t="shared" si="11"/>
        <v>161.44755244755243</v>
      </c>
      <c r="X25" s="18">
        <f t="shared" si="11"/>
        <v>171.07342657342656</v>
      </c>
      <c r="Y25" s="18">
        <f t="shared" si="11"/>
        <v>180.69930069930069</v>
      </c>
      <c r="Z25" s="18">
        <f t="shared" si="11"/>
        <v>190.32517482517483</v>
      </c>
      <c r="AA25" s="18">
        <f t="shared" si="11"/>
        <v>199.95104895104896</v>
      </c>
      <c r="AB25" s="18">
        <f t="shared" si="11"/>
        <v>209.57692307692307</v>
      </c>
      <c r="AC25" s="18">
        <f t="shared" si="11"/>
        <v>219.2027972027972</v>
      </c>
      <c r="AD25" s="18">
        <f>SUM(R25:AC25)</f>
        <v>1997.0710955710956</v>
      </c>
    </row>
    <row r="26" spans="2:30" s="3" customFormat="1" x14ac:dyDescent="0.3">
      <c r="B26" s="5" t="s">
        <v>16</v>
      </c>
      <c r="C26" s="5"/>
      <c r="D26" s="1">
        <f t="shared" ref="D26:O26" si="12">SUM(D16:D25)</f>
        <v>70</v>
      </c>
      <c r="E26" s="1">
        <f t="shared" si="12"/>
        <v>10</v>
      </c>
      <c r="F26" s="1">
        <f t="shared" si="12"/>
        <v>24</v>
      </c>
      <c r="G26" s="1">
        <f t="shared" si="12"/>
        <v>36</v>
      </c>
      <c r="H26" s="1">
        <f t="shared" si="12"/>
        <v>46</v>
      </c>
      <c r="I26" s="1">
        <f t="shared" si="12"/>
        <v>28</v>
      </c>
      <c r="J26" s="1">
        <f t="shared" si="12"/>
        <v>60</v>
      </c>
      <c r="K26" s="1">
        <f t="shared" si="12"/>
        <v>97</v>
      </c>
      <c r="L26" s="1">
        <f t="shared" si="12"/>
        <v>97</v>
      </c>
      <c r="M26" s="1">
        <f t="shared" si="12"/>
        <v>139</v>
      </c>
      <c r="N26" s="1">
        <f t="shared" si="12"/>
        <v>134</v>
      </c>
      <c r="O26" s="1">
        <f t="shared" si="12"/>
        <v>96</v>
      </c>
      <c r="P26" s="14">
        <f t="shared" ref="P26" si="13">SUM(D26:O26)</f>
        <v>837</v>
      </c>
      <c r="Q26" t="str">
        <f t="shared" si="7"/>
        <v>Общий итог13592167127941141141491321931751431635</v>
      </c>
      <c r="R26" s="18">
        <f>SUM(R16:R25)</f>
        <v>229.27272727272725</v>
      </c>
      <c r="S26" s="18">
        <f t="shared" ref="S26:AD26" si="14">SUM(S16:S25)</f>
        <v>247.14219114219114</v>
      </c>
      <c r="T26" s="18">
        <f t="shared" si="14"/>
        <v>265.1398601398601</v>
      </c>
      <c r="U26" s="18">
        <f t="shared" si="14"/>
        <v>284.39160839160837</v>
      </c>
      <c r="V26" s="18">
        <f t="shared" si="14"/>
        <v>303.6433566433567</v>
      </c>
      <c r="W26" s="18">
        <f t="shared" si="14"/>
        <v>322.89510489510485</v>
      </c>
      <c r="X26" s="18">
        <f t="shared" si="14"/>
        <v>342.14685314685312</v>
      </c>
      <c r="Y26" s="18">
        <f t="shared" si="14"/>
        <v>361.39860139860139</v>
      </c>
      <c r="Z26" s="18">
        <f t="shared" si="14"/>
        <v>380.65034965034965</v>
      </c>
      <c r="AA26" s="18">
        <f t="shared" si="14"/>
        <v>399.90209790209792</v>
      </c>
      <c r="AB26" s="18">
        <f t="shared" si="14"/>
        <v>419.15384615384613</v>
      </c>
      <c r="AC26" s="18">
        <f t="shared" si="14"/>
        <v>438.4055944055944</v>
      </c>
      <c r="AD26" s="18">
        <f t="shared" si="14"/>
        <v>3995.4149184149182</v>
      </c>
    </row>
    <row r="27" spans="2:30" x14ac:dyDescent="0.3">
      <c r="B27" s="6" t="s">
        <v>14</v>
      </c>
      <c r="C27" s="6"/>
      <c r="D27" s="2">
        <f t="shared" ref="D27:P27" si="15">D26+D13</f>
        <v>135</v>
      </c>
      <c r="E27" s="2">
        <f t="shared" si="15"/>
        <v>92</v>
      </c>
      <c r="F27" s="2">
        <f t="shared" si="15"/>
        <v>167</v>
      </c>
      <c r="G27" s="2">
        <f t="shared" si="15"/>
        <v>127</v>
      </c>
      <c r="H27" s="2">
        <f t="shared" si="15"/>
        <v>94</v>
      </c>
      <c r="I27" s="2">
        <f t="shared" si="15"/>
        <v>114</v>
      </c>
      <c r="J27" s="2">
        <f t="shared" si="15"/>
        <v>114</v>
      </c>
      <c r="K27" s="2">
        <f t="shared" si="15"/>
        <v>149</v>
      </c>
      <c r="L27" s="2">
        <f t="shared" si="15"/>
        <v>132</v>
      </c>
      <c r="M27" s="2">
        <f t="shared" si="15"/>
        <v>193</v>
      </c>
      <c r="N27" s="2">
        <f t="shared" si="15"/>
        <v>175</v>
      </c>
      <c r="O27" s="2">
        <f t="shared" si="15"/>
        <v>143</v>
      </c>
      <c r="P27" s="15">
        <f t="shared" si="15"/>
        <v>1635</v>
      </c>
      <c r="Q27" t="e">
        <f>_xlfn.CONCAT(#REF!,#REF!,#REF!,#REF!,#REF!,#REF!,#REF!,#REF!,#REF!,#REF!,#REF!,#REF!,#REF!,#REF!,#REF!)</f>
        <v>#REF!</v>
      </c>
      <c r="R27" s="19">
        <f>R26+R13</f>
        <v>269.31818181818181</v>
      </c>
      <c r="S27" s="19">
        <f t="shared" ref="S27:AC27" si="16">S26+S13</f>
        <v>287.01048951048949</v>
      </c>
      <c r="T27" s="19">
        <f t="shared" si="16"/>
        <v>307.67948717948713</v>
      </c>
      <c r="U27" s="19">
        <f t="shared" si="16"/>
        <v>329.60256410256409</v>
      </c>
      <c r="V27" s="19">
        <f t="shared" si="16"/>
        <v>351.52564102564111</v>
      </c>
      <c r="W27" s="19">
        <f t="shared" si="16"/>
        <v>373.4487179487179</v>
      </c>
      <c r="X27" s="19">
        <f t="shared" si="16"/>
        <v>395.37179487179486</v>
      </c>
      <c r="Y27" s="19">
        <f t="shared" si="16"/>
        <v>417.29487179487177</v>
      </c>
      <c r="Z27" s="19">
        <f t="shared" si="16"/>
        <v>439.21794871794873</v>
      </c>
      <c r="AA27" s="19">
        <f t="shared" si="16"/>
        <v>461.14102564102564</v>
      </c>
      <c r="AB27" s="19">
        <f t="shared" si="16"/>
        <v>483.06410256410254</v>
      </c>
      <c r="AC27" s="19">
        <f t="shared" si="16"/>
        <v>504.98717948717945</v>
      </c>
      <c r="AD27" s="19">
        <f>AD26+AD13</f>
        <v>4620.9347319347316</v>
      </c>
    </row>
    <row r="28" spans="2:30" x14ac:dyDescent="0.3">
      <c r="Q28" t="str">
        <f t="shared" si="3"/>
        <v/>
      </c>
    </row>
    <row r="29" spans="2:30" x14ac:dyDescent="0.3">
      <c r="Q29" t="str">
        <f t="shared" ref="Q29:Q50" si="17">_xlfn.CONCAT(B30,C30,D30,E30,F30,G30,H30,I30,J30,K30,L30,M30,N30,O30,P30)</f>
        <v>1000100310</v>
      </c>
    </row>
    <row r="30" spans="2:30" x14ac:dyDescent="0.3">
      <c r="B30" s="7" t="s">
        <v>27</v>
      </c>
      <c r="Q30" t="str">
        <f t="shared" si="17"/>
        <v>НоменклатураАртикулЯнварь  Февраль  МартАпрель  Май  Июнь  Июль  Август  Сентябрь  Октябрь  Ноябрь  Декабрь  Итог</v>
      </c>
    </row>
    <row r="31" spans="2:30" x14ac:dyDescent="0.3">
      <c r="B31" s="11" t="s">
        <v>17</v>
      </c>
      <c r="C31" s="11" t="s">
        <v>0</v>
      </c>
      <c r="D31" s="12" t="s">
        <v>2</v>
      </c>
      <c r="E31" s="12" t="s">
        <v>3</v>
      </c>
      <c r="F31" s="12" t="s">
        <v>13</v>
      </c>
      <c r="G31" s="12" t="s">
        <v>4</v>
      </c>
      <c r="H31" s="12" t="s">
        <v>5</v>
      </c>
      <c r="I31" s="12" t="s">
        <v>6</v>
      </c>
      <c r="J31" s="12" t="s">
        <v>7</v>
      </c>
      <c r="K31" s="12" t="s">
        <v>8</v>
      </c>
      <c r="L31" s="12" t="s">
        <v>9</v>
      </c>
      <c r="M31" s="12" t="s">
        <v>10</v>
      </c>
      <c r="N31" s="12" t="s">
        <v>11</v>
      </c>
      <c r="O31" s="12" t="s">
        <v>12</v>
      </c>
      <c r="P31" s="14" t="s">
        <v>1</v>
      </c>
      <c r="Q31" t="str">
        <f t="shared" si="17"/>
        <v>Фильтр воздушный 100010031010001003109110</v>
      </c>
    </row>
    <row r="32" spans="2:30" x14ac:dyDescent="0.3">
      <c r="B32" s="5" t="s">
        <v>31</v>
      </c>
      <c r="C32" s="5">
        <v>1000100310</v>
      </c>
      <c r="D32" s="1"/>
      <c r="E32" s="1"/>
      <c r="F32" s="1"/>
      <c r="G32" s="1"/>
      <c r="H32" s="1">
        <v>9</v>
      </c>
      <c r="I32" s="1"/>
      <c r="J32" s="1">
        <v>1</v>
      </c>
      <c r="K32" s="1"/>
      <c r="L32" s="1"/>
      <c r="M32" s="1"/>
      <c r="N32" s="1"/>
      <c r="O32" s="1"/>
      <c r="P32" s="14">
        <f>SUM(D32:O32)</f>
        <v>10</v>
      </c>
      <c r="Q32" t="str">
        <f t="shared" si="17"/>
        <v>Фильтр воздушный 1000100310100010031033</v>
      </c>
    </row>
    <row r="33" spans="2:17" x14ac:dyDescent="0.3">
      <c r="B33" s="5" t="s">
        <v>31</v>
      </c>
      <c r="C33" s="5">
        <v>1000100310</v>
      </c>
      <c r="D33" s="1"/>
      <c r="E33" s="1"/>
      <c r="F33" s="1"/>
      <c r="G33" s="1"/>
      <c r="H33" s="1"/>
      <c r="I33" s="1"/>
      <c r="J33" s="1"/>
      <c r="K33" s="1"/>
      <c r="L33" s="1">
        <v>3</v>
      </c>
      <c r="M33" s="1"/>
      <c r="N33" s="1"/>
      <c r="O33" s="1"/>
      <c r="P33" s="14">
        <f>SUM(D33:O33)</f>
        <v>3</v>
      </c>
      <c r="Q33" t="str">
        <f t="shared" si="17"/>
        <v>Фильтр воздушный внешний DIFA 4382 + внутренний DIFA 4382-01, к-тDIFA 4382 + DIFA 4382-0185681129948111957710497100951091</v>
      </c>
    </row>
    <row r="34" spans="2:17" x14ac:dyDescent="0.3">
      <c r="B34" s="5" t="s">
        <v>28</v>
      </c>
      <c r="C34" s="5" t="s">
        <v>29</v>
      </c>
      <c r="D34" s="1">
        <v>85</v>
      </c>
      <c r="E34" s="1">
        <v>68</v>
      </c>
      <c r="F34" s="1">
        <v>112</v>
      </c>
      <c r="G34" s="1">
        <v>99</v>
      </c>
      <c r="H34" s="1">
        <v>48</v>
      </c>
      <c r="I34" s="1">
        <v>111</v>
      </c>
      <c r="J34" s="1">
        <v>95</v>
      </c>
      <c r="K34" s="1">
        <v>77</v>
      </c>
      <c r="L34" s="1">
        <v>104</v>
      </c>
      <c r="M34" s="1">
        <v>97</v>
      </c>
      <c r="N34" s="1">
        <v>100</v>
      </c>
      <c r="O34" s="1">
        <v>95</v>
      </c>
      <c r="P34" s="14">
        <f>SUM(D34:O34)</f>
        <v>1091</v>
      </c>
      <c r="Q34" t="str">
        <f t="shared" si="17"/>
        <v>Фильтр воздушный внешний DIFA 4382 + внутренний DIFA 4382-01, к-тDIFA 4382 + DIFA 4382-01224</v>
      </c>
    </row>
    <row r="35" spans="2:17" x14ac:dyDescent="0.3">
      <c r="B35" s="5" t="s">
        <v>28</v>
      </c>
      <c r="C35" s="5" t="s">
        <v>29</v>
      </c>
      <c r="D35" s="1"/>
      <c r="E35" s="1"/>
      <c r="F35" s="1"/>
      <c r="G35" s="1"/>
      <c r="H35" s="1"/>
      <c r="I35" s="1"/>
      <c r="J35" s="1">
        <v>2</v>
      </c>
      <c r="K35" s="1"/>
      <c r="L35" s="1">
        <v>2</v>
      </c>
      <c r="M35" s="1"/>
      <c r="N35" s="1"/>
      <c r="O35" s="1"/>
      <c r="P35" s="14">
        <f>SUM(D35:O35)</f>
        <v>4</v>
      </c>
      <c r="Q35" t="str">
        <f t="shared" si="17"/>
        <v>Итог ПРОДАЖА85681129957111987710997100951108</v>
      </c>
    </row>
    <row r="36" spans="2:17" x14ac:dyDescent="0.3">
      <c r="B36" s="5" t="s">
        <v>15</v>
      </c>
      <c r="C36" s="5"/>
      <c r="D36" s="1">
        <f>SUM(D32:D35)</f>
        <v>85</v>
      </c>
      <c r="E36" s="1">
        <f t="shared" ref="E36:O36" si="18">SUM(E32:E35)</f>
        <v>68</v>
      </c>
      <c r="F36" s="1">
        <f t="shared" si="18"/>
        <v>112</v>
      </c>
      <c r="G36" s="1">
        <f t="shared" si="18"/>
        <v>99</v>
      </c>
      <c r="H36" s="1">
        <f t="shared" si="18"/>
        <v>57</v>
      </c>
      <c r="I36" s="1">
        <f t="shared" si="18"/>
        <v>111</v>
      </c>
      <c r="J36" s="1">
        <f t="shared" si="18"/>
        <v>98</v>
      </c>
      <c r="K36" s="1">
        <f t="shared" si="18"/>
        <v>77</v>
      </c>
      <c r="L36" s="1">
        <f t="shared" si="18"/>
        <v>109</v>
      </c>
      <c r="M36" s="1">
        <f t="shared" si="18"/>
        <v>97</v>
      </c>
      <c r="N36" s="1">
        <f t="shared" si="18"/>
        <v>100</v>
      </c>
      <c r="O36" s="1">
        <f t="shared" si="18"/>
        <v>95</v>
      </c>
      <c r="P36" s="14">
        <f t="shared" ref="P36" si="19">SUM(D36:O36)</f>
        <v>1108</v>
      </c>
      <c r="Q36" t="str">
        <f t="shared" si="17"/>
        <v xml:space="preserve">НоменклатураАртикулЯнварь  Февраль  МартАпрель  Май  Июнь  Июль  Август  Сентябрь  Октябрь  Ноябрь  Декабрь  </v>
      </c>
    </row>
    <row r="37" spans="2:17" x14ac:dyDescent="0.3">
      <c r="B37" s="11" t="s">
        <v>17</v>
      </c>
      <c r="C37" s="11" t="s">
        <v>0</v>
      </c>
      <c r="D37" s="13" t="s">
        <v>2</v>
      </c>
      <c r="E37" s="13" t="s">
        <v>3</v>
      </c>
      <c r="F37" s="13" t="s">
        <v>13</v>
      </c>
      <c r="G37" s="13" t="s">
        <v>4</v>
      </c>
      <c r="H37" s="13" t="s">
        <v>5</v>
      </c>
      <c r="I37" s="13" t="s">
        <v>6</v>
      </c>
      <c r="J37" s="13" t="s">
        <v>7</v>
      </c>
      <c r="K37" s="13" t="s">
        <v>8</v>
      </c>
      <c r="L37" s="13" t="s">
        <v>9</v>
      </c>
      <c r="M37" s="13" t="s">
        <v>10</v>
      </c>
      <c r="N37" s="13" t="s">
        <v>11</v>
      </c>
      <c r="O37" s="13" t="s">
        <v>12</v>
      </c>
      <c r="P37" s="12"/>
      <c r="Q37" t="str">
        <f t="shared" si="17"/>
        <v>Фильтр воздушный  81-21078-SX8121078SX71359116323252</v>
      </c>
    </row>
    <row r="38" spans="2:17" x14ac:dyDescent="0.3">
      <c r="B38" s="5" t="s">
        <v>30</v>
      </c>
      <c r="C38" s="10" t="s">
        <v>40</v>
      </c>
      <c r="D38" s="1">
        <v>7</v>
      </c>
      <c r="E38" s="1">
        <v>1</v>
      </c>
      <c r="F38" s="1"/>
      <c r="G38" s="1">
        <v>3</v>
      </c>
      <c r="H38" s="1">
        <v>5</v>
      </c>
      <c r="I38" s="1">
        <v>9</v>
      </c>
      <c r="J38" s="1">
        <v>11</v>
      </c>
      <c r="K38" s="1">
        <v>6</v>
      </c>
      <c r="L38" s="1">
        <v>3</v>
      </c>
      <c r="M38" s="1">
        <v>2</v>
      </c>
      <c r="N38" s="1">
        <v>3</v>
      </c>
      <c r="O38" s="1">
        <v>2</v>
      </c>
      <c r="P38" s="14">
        <f>SUM(D38:O38)</f>
        <v>52</v>
      </c>
      <c r="Q38" t="str">
        <f t="shared" si="17"/>
        <v>Фильтр воздушный 10001003101000100310182222</v>
      </c>
    </row>
    <row r="39" spans="2:17" x14ac:dyDescent="0.3">
      <c r="B39" s="5" t="s">
        <v>31</v>
      </c>
      <c r="C39" s="5">
        <v>1000100310</v>
      </c>
      <c r="D39" s="1">
        <v>18</v>
      </c>
      <c r="E39" s="1">
        <v>2</v>
      </c>
      <c r="F39" s="1">
        <v>2</v>
      </c>
      <c r="G39" s="1"/>
      <c r="H39" s="1"/>
      <c r="I39" s="1"/>
      <c r="J39" s="1"/>
      <c r="K39" s="1"/>
      <c r="L39" s="1"/>
      <c r="M39" s="1"/>
      <c r="N39" s="1"/>
      <c r="O39" s="1"/>
      <c r="P39" s="14">
        <f t="shared" ref="P39:P49" si="20">SUM(D39:O39)</f>
        <v>22</v>
      </c>
      <c r="Q39" t="str">
        <f t="shared" si="17"/>
        <v>Фильтр воздушный A8506SA8506S6446672338</v>
      </c>
    </row>
    <row r="40" spans="2:17" x14ac:dyDescent="0.3">
      <c r="B40" s="5" t="s">
        <v>32</v>
      </c>
      <c r="C40" s="5" t="s">
        <v>41</v>
      </c>
      <c r="D40" s="1"/>
      <c r="E40" s="1"/>
      <c r="F40" s="1"/>
      <c r="G40" s="1">
        <v>6</v>
      </c>
      <c r="H40" s="1">
        <v>4</v>
      </c>
      <c r="I40" s="1">
        <v>4</v>
      </c>
      <c r="J40" s="1"/>
      <c r="K40" s="1">
        <v>6</v>
      </c>
      <c r="L40" s="1">
        <v>6</v>
      </c>
      <c r="M40" s="1">
        <v>7</v>
      </c>
      <c r="N40" s="1">
        <v>2</v>
      </c>
      <c r="O40" s="1">
        <v>3</v>
      </c>
      <c r="P40" s="14">
        <f t="shared" ref="P40:P43" si="21">SUM(D40:O40)</f>
        <v>38</v>
      </c>
      <c r="Q40" t="str">
        <f t="shared" si="17"/>
        <v>Фильтр воздушный AP30969AP3096944</v>
      </c>
    </row>
    <row r="41" spans="2:17" x14ac:dyDescent="0.3">
      <c r="B41" s="5" t="s">
        <v>33</v>
      </c>
      <c r="C41" s="5" t="s">
        <v>42</v>
      </c>
      <c r="D41" s="1">
        <v>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4">
        <f t="shared" si="21"/>
        <v>4</v>
      </c>
      <c r="Q41" t="str">
        <f t="shared" si="17"/>
        <v>Фильтр воздушный P827653P827653314</v>
      </c>
    </row>
    <row r="42" spans="2:17" x14ac:dyDescent="0.3">
      <c r="B42" s="5" t="s">
        <v>34</v>
      </c>
      <c r="C42" s="5" t="s">
        <v>43</v>
      </c>
      <c r="D42" s="1"/>
      <c r="E42" s="1"/>
      <c r="F42" s="1">
        <v>3</v>
      </c>
      <c r="G42" s="1"/>
      <c r="H42" s="1">
        <v>1</v>
      </c>
      <c r="I42" s="1"/>
      <c r="J42" s="1"/>
      <c r="K42" s="1"/>
      <c r="L42" s="1"/>
      <c r="M42" s="1"/>
      <c r="N42" s="1"/>
      <c r="O42" s="1"/>
      <c r="P42" s="14">
        <f t="shared" si="21"/>
        <v>4</v>
      </c>
      <c r="Q42" t="str">
        <f t="shared" si="17"/>
        <v>Фильтр воздушный P827653/P82933200-000078972215</v>
      </c>
    </row>
    <row r="43" spans="2:17" x14ac:dyDescent="0.3">
      <c r="B43" s="5" t="s">
        <v>35</v>
      </c>
      <c r="C43" s="5" t="s">
        <v>44</v>
      </c>
      <c r="D43" s="1">
        <v>2</v>
      </c>
      <c r="E43" s="1"/>
      <c r="F43" s="1"/>
      <c r="G43" s="1"/>
      <c r="H43" s="1"/>
      <c r="I43" s="1"/>
      <c r="J43" s="1"/>
      <c r="K43" s="1"/>
      <c r="L43" s="1"/>
      <c r="M43" s="1"/>
      <c r="N43" s="1">
        <v>2</v>
      </c>
      <c r="O43" s="1">
        <v>1</v>
      </c>
      <c r="P43" s="14">
        <f t="shared" si="21"/>
        <v>5</v>
      </c>
      <c r="Q43" t="str">
        <f t="shared" si="17"/>
        <v>Фильтр воздушный внешний 1000100310AP30969K123410</v>
      </c>
    </row>
    <row r="44" spans="2:17" x14ac:dyDescent="0.3">
      <c r="B44" s="5" t="s">
        <v>36</v>
      </c>
      <c r="C44" s="5" t="s">
        <v>45</v>
      </c>
      <c r="D44" s="1"/>
      <c r="E44" s="1"/>
      <c r="F44" s="1"/>
      <c r="G44" s="1"/>
      <c r="H44" s="1"/>
      <c r="I44" s="1"/>
      <c r="J44" s="1">
        <v>1</v>
      </c>
      <c r="K44" s="1">
        <v>2</v>
      </c>
      <c r="L44" s="1">
        <v>3</v>
      </c>
      <c r="M44" s="1">
        <v>4</v>
      </c>
      <c r="N44" s="1"/>
      <c r="O44" s="1"/>
      <c r="P44" s="14">
        <f>SUM(D44:O44)</f>
        <v>10</v>
      </c>
      <c r="Q44" t="str">
        <f t="shared" si="17"/>
        <v>Фильтр воздушный внешний 1000100310 + внутренний 1000100311PU1433224</v>
      </c>
    </row>
    <row r="45" spans="2:17" x14ac:dyDescent="0.3">
      <c r="B45" s="5" t="s">
        <v>37</v>
      </c>
      <c r="C45" s="5" t="s">
        <v>46</v>
      </c>
      <c r="D45" s="1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2</v>
      </c>
      <c r="P45" s="14">
        <f t="shared" ref="P45" si="22">SUM(D45:O45)</f>
        <v>4</v>
      </c>
      <c r="Q45" t="str">
        <f t="shared" si="17"/>
        <v>Фильтр воздушный внешний 1000100310 + внутренний 1000100311PU1433422210</v>
      </c>
    </row>
    <row r="46" spans="2:17" x14ac:dyDescent="0.3">
      <c r="B46" s="5" t="s">
        <v>37</v>
      </c>
      <c r="C46" s="5" t="s">
        <v>46</v>
      </c>
      <c r="D46" s="1">
        <v>4</v>
      </c>
      <c r="E46" s="1"/>
      <c r="F46" s="1"/>
      <c r="G46" s="1"/>
      <c r="H46" s="1"/>
      <c r="I46" s="1"/>
      <c r="J46" s="1"/>
      <c r="K46" s="1">
        <v>2</v>
      </c>
      <c r="L46" s="1"/>
      <c r="M46" s="1">
        <v>2</v>
      </c>
      <c r="N46" s="1"/>
      <c r="O46" s="1">
        <v>2</v>
      </c>
      <c r="P46" s="14">
        <f t="shared" si="20"/>
        <v>10</v>
      </c>
      <c r="Q46" t="str">
        <f t="shared" si="17"/>
        <v>Фильтр воздушный внешний DIFA 4382 + внутренний DIFA 4382-01DIFA 4382 + DIFA 4382-01179952235</v>
      </c>
    </row>
    <row r="47" spans="2:17" x14ac:dyDescent="0.3">
      <c r="B47" s="5" t="s">
        <v>38</v>
      </c>
      <c r="C47" s="5" t="s">
        <v>29</v>
      </c>
      <c r="D47" s="1">
        <v>1</v>
      </c>
      <c r="E47" s="1"/>
      <c r="F47" s="1"/>
      <c r="G47" s="1"/>
      <c r="H47" s="1"/>
      <c r="I47" s="1"/>
      <c r="J47" s="1">
        <v>7</v>
      </c>
      <c r="K47" s="1">
        <v>9</v>
      </c>
      <c r="L47" s="1">
        <v>9</v>
      </c>
      <c r="M47" s="1">
        <v>5</v>
      </c>
      <c r="N47" s="1">
        <v>2</v>
      </c>
      <c r="O47" s="1">
        <v>2</v>
      </c>
      <c r="P47" s="14">
        <f t="shared" si="20"/>
        <v>35</v>
      </c>
      <c r="Q47" t="str">
        <f t="shared" si="17"/>
        <v>Фильтр воздушный внешний DIFA 4382 + внутренний DIFA 4382-01DIFA 4382 + DIFA 4382-01101153032543767787810584104785</v>
      </c>
    </row>
    <row r="48" spans="2:17" x14ac:dyDescent="0.3">
      <c r="B48" s="5" t="s">
        <v>38</v>
      </c>
      <c r="C48" s="5" t="s">
        <v>29</v>
      </c>
      <c r="D48" s="1">
        <v>101</v>
      </c>
      <c r="E48" s="1">
        <v>15</v>
      </c>
      <c r="F48" s="1">
        <v>30</v>
      </c>
      <c r="G48" s="1">
        <v>32</v>
      </c>
      <c r="H48" s="1">
        <v>54</v>
      </c>
      <c r="I48" s="1">
        <v>37</v>
      </c>
      <c r="J48" s="1">
        <v>67</v>
      </c>
      <c r="K48" s="1">
        <v>78</v>
      </c>
      <c r="L48" s="1">
        <v>78</v>
      </c>
      <c r="M48" s="1">
        <v>105</v>
      </c>
      <c r="N48" s="1">
        <v>84</v>
      </c>
      <c r="O48" s="1">
        <v>104</v>
      </c>
      <c r="P48" s="14">
        <f t="shared" si="20"/>
        <v>785</v>
      </c>
      <c r="Q48" t="str">
        <f t="shared" si="17"/>
        <v>Фильтр воздушный комплект AF2555+AF254842555617</v>
      </c>
    </row>
    <row r="49" spans="2:17" x14ac:dyDescent="0.3">
      <c r="B49" s="5" t="s">
        <v>39</v>
      </c>
      <c r="C49" s="5">
        <v>2555</v>
      </c>
      <c r="D49" s="1">
        <v>6</v>
      </c>
      <c r="E49" s="1"/>
      <c r="F49" s="1"/>
      <c r="G49" s="1"/>
      <c r="H49" s="1"/>
      <c r="I49" s="1"/>
      <c r="J49" s="1"/>
      <c r="K49" s="1">
        <v>1</v>
      </c>
      <c r="L49" s="1"/>
      <c r="M49" s="1"/>
      <c r="N49" s="1"/>
      <c r="O49" s="1"/>
      <c r="P49" s="14">
        <f t="shared" si="20"/>
        <v>7</v>
      </c>
      <c r="Q49" t="str">
        <f t="shared" si="17"/>
        <v>Итог СПИСАНИЕ1451835416450861049912593116976</v>
      </c>
    </row>
    <row r="50" spans="2:17" x14ac:dyDescent="0.3">
      <c r="B50" s="5" t="s">
        <v>16</v>
      </c>
      <c r="C50" s="5"/>
      <c r="D50" s="1">
        <f t="shared" ref="D50:O50" si="23">SUM(D38:D49)</f>
        <v>145</v>
      </c>
      <c r="E50" s="1">
        <f t="shared" si="23"/>
        <v>18</v>
      </c>
      <c r="F50" s="1">
        <f t="shared" si="23"/>
        <v>35</v>
      </c>
      <c r="G50" s="1">
        <f t="shared" si="23"/>
        <v>41</v>
      </c>
      <c r="H50" s="1">
        <f t="shared" si="23"/>
        <v>64</v>
      </c>
      <c r="I50" s="1">
        <f t="shared" si="23"/>
        <v>50</v>
      </c>
      <c r="J50" s="1">
        <f t="shared" si="23"/>
        <v>86</v>
      </c>
      <c r="K50" s="1">
        <f t="shared" si="23"/>
        <v>104</v>
      </c>
      <c r="L50" s="1">
        <f t="shared" si="23"/>
        <v>99</v>
      </c>
      <c r="M50" s="1">
        <f t="shared" si="23"/>
        <v>125</v>
      </c>
      <c r="N50" s="1">
        <f t="shared" si="23"/>
        <v>93</v>
      </c>
      <c r="O50" s="1">
        <f t="shared" si="23"/>
        <v>116</v>
      </c>
      <c r="P50" s="14">
        <f t="shared" ref="P50" si="24">SUM(D50:O50)</f>
        <v>976</v>
      </c>
      <c r="Q50" t="str">
        <f t="shared" si="17"/>
        <v>Общий итог230861471401211611841812082221932112084</v>
      </c>
    </row>
    <row r="51" spans="2:17" x14ac:dyDescent="0.3">
      <c r="B51" s="6" t="s">
        <v>14</v>
      </c>
      <c r="C51" s="6"/>
      <c r="D51" s="2">
        <f t="shared" ref="D51:P51" si="25">D50+D36</f>
        <v>230</v>
      </c>
      <c r="E51" s="2">
        <f t="shared" si="25"/>
        <v>86</v>
      </c>
      <c r="F51" s="2">
        <f t="shared" si="25"/>
        <v>147</v>
      </c>
      <c r="G51" s="2">
        <f t="shared" si="25"/>
        <v>140</v>
      </c>
      <c r="H51" s="2">
        <f t="shared" si="25"/>
        <v>121</v>
      </c>
      <c r="I51" s="2">
        <f t="shared" si="25"/>
        <v>161</v>
      </c>
      <c r="J51" s="2">
        <f t="shared" si="25"/>
        <v>184</v>
      </c>
      <c r="K51" s="2">
        <f t="shared" si="25"/>
        <v>181</v>
      </c>
      <c r="L51" s="2">
        <f t="shared" si="25"/>
        <v>208</v>
      </c>
      <c r="M51" s="2">
        <f t="shared" si="25"/>
        <v>222</v>
      </c>
      <c r="N51" s="2">
        <f t="shared" si="25"/>
        <v>193</v>
      </c>
      <c r="O51" s="2">
        <f t="shared" si="25"/>
        <v>211</v>
      </c>
      <c r="P51" s="15">
        <f t="shared" si="25"/>
        <v>2084</v>
      </c>
      <c r="Q51" t="e">
        <f>_xlfn.CONCAT(#REF!,#REF!,#REF!,#REF!,#REF!,#REF!,#REF!,#REF!,#REF!,#REF!,#REF!,#REF!,#REF!,#REF!,#REF!)</f>
        <v>#REF!</v>
      </c>
    </row>
    <row r="52" spans="2:17" x14ac:dyDescent="0.3">
      <c r="Q52" t="str">
        <f t="shared" si="3"/>
        <v/>
      </c>
    </row>
    <row r="53" spans="2:17" x14ac:dyDescent="0.3">
      <c r="B53" s="7" t="s">
        <v>47</v>
      </c>
      <c r="Q53" t="str">
        <f t="shared" si="3"/>
        <v>1000100311</v>
      </c>
    </row>
    <row r="54" spans="2:17" x14ac:dyDescent="0.3">
      <c r="B54" s="11" t="s">
        <v>17</v>
      </c>
      <c r="C54" s="11" t="s">
        <v>0</v>
      </c>
      <c r="D54" s="12" t="s">
        <v>2</v>
      </c>
      <c r="E54" s="12" t="s">
        <v>3</v>
      </c>
      <c r="F54" s="12" t="s">
        <v>13</v>
      </c>
      <c r="G54" s="12" t="s">
        <v>4</v>
      </c>
      <c r="H54" s="12" t="s">
        <v>5</v>
      </c>
      <c r="I54" s="12" t="s">
        <v>6</v>
      </c>
      <c r="J54" s="12" t="s">
        <v>7</v>
      </c>
      <c r="K54" s="12" t="s">
        <v>8</v>
      </c>
      <c r="L54" s="12" t="s">
        <v>9</v>
      </c>
      <c r="M54" s="12" t="s">
        <v>10</v>
      </c>
      <c r="N54" s="12" t="s">
        <v>11</v>
      </c>
      <c r="O54" s="12" t="s">
        <v>12</v>
      </c>
      <c r="P54" s="14" t="s">
        <v>1</v>
      </c>
      <c r="Q54" t="str">
        <f t="shared" si="3"/>
        <v>НоменклатураАртикулЯнварь  Февраль  МартАпрель  Май  Июнь  Июль  Август  Сентябрь  Октябрь  Ноябрь  Декабрь  Итог</v>
      </c>
    </row>
    <row r="55" spans="2:17" x14ac:dyDescent="0.3">
      <c r="B55" s="5" t="s">
        <v>49</v>
      </c>
      <c r="C55" s="5">
        <v>1000100311</v>
      </c>
      <c r="D55" s="1"/>
      <c r="E55" s="1"/>
      <c r="F55" s="1"/>
      <c r="G55" s="1"/>
      <c r="H55" s="1">
        <v>7</v>
      </c>
      <c r="I55" s="1"/>
      <c r="J55" s="1">
        <v>1</v>
      </c>
      <c r="K55" s="1"/>
      <c r="L55" s="1">
        <v>3</v>
      </c>
      <c r="M55" s="1"/>
      <c r="N55" s="1"/>
      <c r="O55" s="1"/>
      <c r="P55" s="14">
        <f>SUM(D55:O55)</f>
        <v>11</v>
      </c>
      <c r="Q55" t="str">
        <f t="shared" si="3"/>
        <v>Фильтр воздушный 1000100311100010031171311</v>
      </c>
    </row>
    <row r="56" spans="2:17" x14ac:dyDescent="0.3">
      <c r="B56" s="5" t="s">
        <v>28</v>
      </c>
      <c r="C56" s="5" t="s">
        <v>29</v>
      </c>
      <c r="D56" s="1">
        <v>85</v>
      </c>
      <c r="E56" s="1">
        <v>68</v>
      </c>
      <c r="F56" s="1">
        <v>112</v>
      </c>
      <c r="G56" s="1">
        <v>99</v>
      </c>
      <c r="H56" s="1">
        <v>48</v>
      </c>
      <c r="I56" s="1">
        <v>111</v>
      </c>
      <c r="J56" s="1">
        <v>95</v>
      </c>
      <c r="K56" s="1">
        <v>77</v>
      </c>
      <c r="L56" s="1">
        <v>104</v>
      </c>
      <c r="M56" s="1">
        <v>97</v>
      </c>
      <c r="N56" s="1">
        <v>100</v>
      </c>
      <c r="O56" s="1">
        <v>95</v>
      </c>
      <c r="P56" s="14">
        <f t="shared" ref="P56:P57" si="26">SUM(D56:O56)</f>
        <v>1091</v>
      </c>
      <c r="Q56" t="str">
        <f t="shared" si="3"/>
        <v>Фильтр воздушный внешний DIFA 4382 + внутренний DIFA 4382-01, к-тDIFA 4382 + DIFA 4382-0185681129948111957710497100951091</v>
      </c>
    </row>
    <row r="57" spans="2:17" x14ac:dyDescent="0.3">
      <c r="B57" s="5" t="s">
        <v>28</v>
      </c>
      <c r="C57" s="5" t="s">
        <v>29</v>
      </c>
      <c r="D57" s="1"/>
      <c r="E57" s="1"/>
      <c r="F57" s="1"/>
      <c r="G57" s="1"/>
      <c r="H57" s="1"/>
      <c r="I57" s="1"/>
      <c r="J57" s="1">
        <v>2</v>
      </c>
      <c r="K57" s="1"/>
      <c r="L57" s="1">
        <v>2</v>
      </c>
      <c r="M57" s="1"/>
      <c r="N57" s="1"/>
      <c r="O57" s="1"/>
      <c r="P57" s="14">
        <f t="shared" si="26"/>
        <v>4</v>
      </c>
      <c r="Q57" t="str">
        <f t="shared" ref="Q57" si="27">_xlfn.CONCAT(B57,C57,D57,E57,F57,G57,H57,I57,J57,K57,L57,M57,N57,O57,P57)</f>
        <v>Фильтр воздушный внешний DIFA 4382 + внутренний DIFA 4382-01, к-тDIFA 4382 + DIFA 4382-01224</v>
      </c>
    </row>
    <row r="58" spans="2:17" x14ac:dyDescent="0.3">
      <c r="B58" s="5" t="s">
        <v>15</v>
      </c>
      <c r="C58" s="5"/>
      <c r="D58" s="1">
        <f t="shared" ref="D58:O58" si="28">SUM(D55:D57)</f>
        <v>85</v>
      </c>
      <c r="E58" s="1">
        <f t="shared" si="28"/>
        <v>68</v>
      </c>
      <c r="F58" s="1">
        <f t="shared" si="28"/>
        <v>112</v>
      </c>
      <c r="G58" s="1">
        <f t="shared" si="28"/>
        <v>99</v>
      </c>
      <c r="H58" s="1">
        <f t="shared" si="28"/>
        <v>55</v>
      </c>
      <c r="I58" s="1">
        <f t="shared" si="28"/>
        <v>111</v>
      </c>
      <c r="J58" s="1">
        <f t="shared" si="28"/>
        <v>98</v>
      </c>
      <c r="K58" s="1">
        <f t="shared" si="28"/>
        <v>77</v>
      </c>
      <c r="L58" s="1">
        <f t="shared" si="28"/>
        <v>109</v>
      </c>
      <c r="M58" s="1">
        <f t="shared" si="28"/>
        <v>97</v>
      </c>
      <c r="N58" s="1">
        <f t="shared" si="28"/>
        <v>100</v>
      </c>
      <c r="O58" s="1">
        <f t="shared" si="28"/>
        <v>95</v>
      </c>
      <c r="P58" s="14">
        <f>SUM(D58:O58)</f>
        <v>1106</v>
      </c>
      <c r="Q58" t="str">
        <f t="shared" si="3"/>
        <v>Итог ПРОДАЖА85681129955111987710997100951106</v>
      </c>
    </row>
    <row r="59" spans="2:17" x14ac:dyDescent="0.3">
      <c r="B59" s="11" t="s">
        <v>17</v>
      </c>
      <c r="C59" s="11" t="s">
        <v>0</v>
      </c>
      <c r="D59" s="13" t="s">
        <v>2</v>
      </c>
      <c r="E59" s="13" t="s">
        <v>3</v>
      </c>
      <c r="F59" s="13" t="s">
        <v>13</v>
      </c>
      <c r="G59" s="13" t="s">
        <v>4</v>
      </c>
      <c r="H59" s="13" t="s">
        <v>5</v>
      </c>
      <c r="I59" s="13" t="s">
        <v>6</v>
      </c>
      <c r="J59" s="13" t="s">
        <v>7</v>
      </c>
      <c r="K59" s="13" t="s">
        <v>8</v>
      </c>
      <c r="L59" s="13" t="s">
        <v>9</v>
      </c>
      <c r="M59" s="13" t="s">
        <v>10</v>
      </c>
      <c r="N59" s="13" t="s">
        <v>11</v>
      </c>
      <c r="O59" s="13" t="s">
        <v>12</v>
      </c>
      <c r="P59" s="14">
        <f t="shared" ref="P59:P68" si="29">SUM(D59:O59)</f>
        <v>0</v>
      </c>
      <c r="Q59" t="str">
        <f t="shared" si="3"/>
        <v>НоменклатураАртикулЯнварь  Февраль  МартАпрель  Май  Июнь  Июль  Август  Сентябрь  Октябрь  Ноябрь  Декабрь  0</v>
      </c>
    </row>
    <row r="60" spans="2:17" x14ac:dyDescent="0.3">
      <c r="B60" s="5" t="s">
        <v>48</v>
      </c>
      <c r="C60" s="10" t="s">
        <v>51</v>
      </c>
      <c r="D60" s="1">
        <v>6</v>
      </c>
      <c r="E60" s="1">
        <v>1</v>
      </c>
      <c r="F60" s="1">
        <v>2</v>
      </c>
      <c r="G60" s="1">
        <v>1</v>
      </c>
      <c r="H60" s="1">
        <v>2</v>
      </c>
      <c r="I60" s="1">
        <v>8</v>
      </c>
      <c r="J60" s="1">
        <v>6</v>
      </c>
      <c r="K60" s="1">
        <v>3</v>
      </c>
      <c r="L60" s="1">
        <v>6</v>
      </c>
      <c r="M60" s="1">
        <v>1</v>
      </c>
      <c r="N60" s="1">
        <v>2</v>
      </c>
      <c r="O60" s="1">
        <v>2</v>
      </c>
      <c r="P60" s="14">
        <f t="shared" si="29"/>
        <v>40</v>
      </c>
      <c r="Q60" t="str">
        <f t="shared" si="3"/>
        <v>Фильтр воздушный  81-21134-SX8121134SX61212863612240</v>
      </c>
    </row>
    <row r="61" spans="2:17" x14ac:dyDescent="0.3">
      <c r="B61" s="5" t="s">
        <v>49</v>
      </c>
      <c r="C61" s="5">
        <v>1000100311</v>
      </c>
      <c r="D61" s="1">
        <v>24</v>
      </c>
      <c r="E61" s="1">
        <v>2</v>
      </c>
      <c r="F61" s="1">
        <v>2</v>
      </c>
      <c r="G61" s="1"/>
      <c r="H61" s="1"/>
      <c r="I61" s="1"/>
      <c r="J61" s="1"/>
      <c r="K61" s="1"/>
      <c r="L61" s="1"/>
      <c r="M61" s="1"/>
      <c r="N61" s="1"/>
      <c r="O61" s="1"/>
      <c r="P61" s="14">
        <f t="shared" ref="P61:P64" si="30">SUM(D61:O61)</f>
        <v>28</v>
      </c>
      <c r="Q61" t="str">
        <f t="shared" si="3"/>
        <v>Фильтр воздушный 10001003111000100311242228</v>
      </c>
    </row>
    <row r="62" spans="2:17" x14ac:dyDescent="0.3">
      <c r="B62" s="5" t="s">
        <v>35</v>
      </c>
      <c r="C62" s="5" t="s">
        <v>44</v>
      </c>
      <c r="D62" s="1">
        <v>2</v>
      </c>
      <c r="E62" s="1"/>
      <c r="F62" s="1"/>
      <c r="G62" s="1"/>
      <c r="H62" s="1"/>
      <c r="I62" s="1"/>
      <c r="J62" s="1"/>
      <c r="K62" s="1"/>
      <c r="L62" s="1"/>
      <c r="M62" s="1"/>
      <c r="N62" s="1">
        <v>2</v>
      </c>
      <c r="O62" s="1">
        <v>1</v>
      </c>
      <c r="P62" s="14">
        <f t="shared" si="30"/>
        <v>5</v>
      </c>
      <c r="Q62" t="str">
        <f t="shared" si="3"/>
        <v>Фильтр воздушный P827653/P82933200-000078972215</v>
      </c>
    </row>
    <row r="63" spans="2:17" x14ac:dyDescent="0.3">
      <c r="B63" s="5" t="s">
        <v>37</v>
      </c>
      <c r="C63" s="5" t="s">
        <v>46</v>
      </c>
      <c r="D63" s="1">
        <v>4</v>
      </c>
      <c r="E63" s="1"/>
      <c r="F63" s="1"/>
      <c r="G63" s="1"/>
      <c r="H63" s="1"/>
      <c r="I63" s="1"/>
      <c r="J63" s="1"/>
      <c r="K63" s="1">
        <v>2</v>
      </c>
      <c r="L63" s="1"/>
      <c r="M63" s="1">
        <v>2</v>
      </c>
      <c r="N63" s="1"/>
      <c r="O63" s="1">
        <v>2</v>
      </c>
      <c r="P63" s="14">
        <f t="shared" si="30"/>
        <v>10</v>
      </c>
      <c r="Q63" t="str">
        <f t="shared" si="3"/>
        <v>Фильтр воздушный внешний 1000100310 + внутренний 1000100311PU1433422210</v>
      </c>
    </row>
    <row r="64" spans="2:17" x14ac:dyDescent="0.3">
      <c r="B64" s="5" t="s">
        <v>37</v>
      </c>
      <c r="C64" s="5" t="s">
        <v>46</v>
      </c>
      <c r="D64" s="1">
        <v>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2</v>
      </c>
      <c r="P64" s="14">
        <f t="shared" si="30"/>
        <v>4</v>
      </c>
      <c r="Q64" t="str">
        <f t="shared" ref="Q64" si="31">_xlfn.CONCAT(B64,C64,D64,E64,F64,G64,H64,I64,J64,K64,L64,M64,N64,O64,P64)</f>
        <v>Фильтр воздушный внешний 1000100310 + внутренний 1000100311PU1433224</v>
      </c>
    </row>
    <row r="65" spans="2:17" x14ac:dyDescent="0.3">
      <c r="B65" s="5" t="s">
        <v>38</v>
      </c>
      <c r="C65" s="5" t="s">
        <v>29</v>
      </c>
      <c r="D65" s="1">
        <v>1</v>
      </c>
      <c r="E65" s="1"/>
      <c r="F65" s="1"/>
      <c r="G65" s="1"/>
      <c r="H65" s="1"/>
      <c r="I65" s="1"/>
      <c r="J65" s="1">
        <v>7</v>
      </c>
      <c r="K65" s="1">
        <v>9</v>
      </c>
      <c r="L65" s="1">
        <v>9</v>
      </c>
      <c r="M65" s="1">
        <v>5</v>
      </c>
      <c r="N65" s="1">
        <v>2</v>
      </c>
      <c r="O65" s="1">
        <v>2</v>
      </c>
      <c r="P65" s="14">
        <f t="shared" si="29"/>
        <v>35</v>
      </c>
      <c r="Q65" t="str">
        <f t="shared" ref="Q65:Q67" si="32">_xlfn.CONCAT(B65,C65,D65,E65,F65,G65,H65,I65,J65,K65,L65,M65,N65,O65,P65)</f>
        <v>Фильтр воздушный внешний DIFA 4382 + внутренний DIFA 4382-01DIFA 4382 + DIFA 4382-01179952235</v>
      </c>
    </row>
    <row r="66" spans="2:17" x14ac:dyDescent="0.3">
      <c r="B66" s="5" t="s">
        <v>38</v>
      </c>
      <c r="C66" s="5" t="s">
        <v>29</v>
      </c>
      <c r="D66" s="1">
        <v>101</v>
      </c>
      <c r="E66" s="1">
        <v>15</v>
      </c>
      <c r="F66" s="1">
        <v>30</v>
      </c>
      <c r="G66" s="1">
        <v>32</v>
      </c>
      <c r="H66" s="1">
        <v>54</v>
      </c>
      <c r="I66" s="1">
        <v>37</v>
      </c>
      <c r="J66" s="1">
        <v>67</v>
      </c>
      <c r="K66" s="1">
        <v>78</v>
      </c>
      <c r="L66" s="1">
        <v>78</v>
      </c>
      <c r="M66" s="1">
        <v>105</v>
      </c>
      <c r="N66" s="1">
        <v>84</v>
      </c>
      <c r="O66" s="1">
        <v>104</v>
      </c>
      <c r="P66" s="14">
        <f t="shared" si="29"/>
        <v>785</v>
      </c>
      <c r="Q66" t="str">
        <f t="shared" si="32"/>
        <v>Фильтр воздушный внешний DIFA 4382 + внутренний DIFA 4382-01DIFA 4382 + DIFA 4382-01101153032543767787810584104785</v>
      </c>
    </row>
    <row r="67" spans="2:17" x14ac:dyDescent="0.3">
      <c r="B67" s="5" t="s">
        <v>50</v>
      </c>
      <c r="C67" s="5" t="s">
        <v>52</v>
      </c>
      <c r="D67" s="1"/>
      <c r="E67" s="1"/>
      <c r="F67" s="1"/>
      <c r="G67" s="1"/>
      <c r="H67" s="1"/>
      <c r="I67" s="1"/>
      <c r="J67" s="1"/>
      <c r="K67" s="1"/>
      <c r="L67" s="1">
        <v>2</v>
      </c>
      <c r="M67" s="1">
        <v>2</v>
      </c>
      <c r="N67" s="1"/>
      <c r="O67" s="1"/>
      <c r="P67" s="14">
        <f t="shared" si="29"/>
        <v>4</v>
      </c>
      <c r="Q67" t="str">
        <f t="shared" si="32"/>
        <v>Фильтр воздушный внутренний 1000100311AP30970K224</v>
      </c>
    </row>
    <row r="68" spans="2:17" x14ac:dyDescent="0.3">
      <c r="B68" s="5" t="s">
        <v>39</v>
      </c>
      <c r="C68" s="5">
        <v>2555</v>
      </c>
      <c r="D68" s="1">
        <v>6</v>
      </c>
      <c r="E68" s="1"/>
      <c r="F68" s="1"/>
      <c r="G68" s="1"/>
      <c r="H68" s="1"/>
      <c r="I68" s="1"/>
      <c r="J68" s="1"/>
      <c r="K68" s="1">
        <v>1</v>
      </c>
      <c r="L68" s="1"/>
      <c r="M68" s="1"/>
      <c r="N68" s="1"/>
      <c r="O68" s="1"/>
      <c r="P68" s="14">
        <f t="shared" si="29"/>
        <v>7</v>
      </c>
      <c r="Q68" t="str">
        <f t="shared" si="3"/>
        <v>Фильтр воздушный комплект AF2555+AF254842555617</v>
      </c>
    </row>
    <row r="69" spans="2:17" x14ac:dyDescent="0.3">
      <c r="B69" s="5" t="s">
        <v>16</v>
      </c>
      <c r="C69" s="5"/>
      <c r="D69" s="1">
        <f t="shared" ref="D69:O69" si="33">SUM(D60:D68)</f>
        <v>146</v>
      </c>
      <c r="E69" s="1">
        <f t="shared" si="33"/>
        <v>18</v>
      </c>
      <c r="F69" s="1">
        <f t="shared" si="33"/>
        <v>34</v>
      </c>
      <c r="G69" s="1">
        <f t="shared" si="33"/>
        <v>33</v>
      </c>
      <c r="H69" s="1">
        <f t="shared" si="33"/>
        <v>56</v>
      </c>
      <c r="I69" s="1">
        <f t="shared" si="33"/>
        <v>45</v>
      </c>
      <c r="J69" s="1">
        <f t="shared" si="33"/>
        <v>80</v>
      </c>
      <c r="K69" s="1">
        <f t="shared" si="33"/>
        <v>93</v>
      </c>
      <c r="L69" s="1">
        <f t="shared" si="33"/>
        <v>95</v>
      </c>
      <c r="M69" s="1">
        <f t="shared" si="33"/>
        <v>115</v>
      </c>
      <c r="N69" s="1">
        <f t="shared" si="33"/>
        <v>90</v>
      </c>
      <c r="O69" s="1">
        <f t="shared" si="33"/>
        <v>113</v>
      </c>
      <c r="P69" s="14">
        <f t="shared" ref="P69" si="34">SUM(D69:O69)</f>
        <v>918</v>
      </c>
      <c r="Q69" t="str">
        <f t="shared" si="3"/>
        <v>Итог СПИСАНИЕ146183433564580939511590113918</v>
      </c>
    </row>
    <row r="70" spans="2:17" x14ac:dyDescent="0.3">
      <c r="B70" s="6" t="s">
        <v>14</v>
      </c>
      <c r="C70" s="6"/>
      <c r="D70" s="2">
        <f t="shared" ref="D70:P70" si="35">D69+D58</f>
        <v>231</v>
      </c>
      <c r="E70" s="2">
        <f t="shared" si="35"/>
        <v>86</v>
      </c>
      <c r="F70" s="2">
        <f t="shared" si="35"/>
        <v>146</v>
      </c>
      <c r="G70" s="2">
        <f t="shared" si="35"/>
        <v>132</v>
      </c>
      <c r="H70" s="2">
        <f t="shared" si="35"/>
        <v>111</v>
      </c>
      <c r="I70" s="2">
        <f t="shared" si="35"/>
        <v>156</v>
      </c>
      <c r="J70" s="2">
        <f t="shared" si="35"/>
        <v>178</v>
      </c>
      <c r="K70" s="2">
        <f t="shared" si="35"/>
        <v>170</v>
      </c>
      <c r="L70" s="2">
        <f t="shared" si="35"/>
        <v>204</v>
      </c>
      <c r="M70" s="2">
        <f t="shared" si="35"/>
        <v>212</v>
      </c>
      <c r="N70" s="2">
        <f t="shared" si="35"/>
        <v>190</v>
      </c>
      <c r="O70" s="2">
        <f t="shared" si="35"/>
        <v>208</v>
      </c>
      <c r="P70" s="15">
        <f t="shared" si="35"/>
        <v>2024</v>
      </c>
      <c r="Q70" t="str">
        <f t="shared" si="3"/>
        <v>Общий итог231861461321111561781702042121902082024</v>
      </c>
    </row>
    <row r="71" spans="2:17" x14ac:dyDescent="0.3">
      <c r="Q71" t="str">
        <f t="shared" si="3"/>
        <v/>
      </c>
    </row>
    <row r="72" spans="2:17" x14ac:dyDescent="0.3">
      <c r="Q72" t="str">
        <f t="shared" si="3"/>
        <v/>
      </c>
    </row>
    <row r="73" spans="2:17" x14ac:dyDescent="0.3">
      <c r="B73" s="7" t="s">
        <v>53</v>
      </c>
      <c r="Q73" t="str">
        <f t="shared" si="3"/>
        <v>1009806733</v>
      </c>
    </row>
    <row r="74" spans="2:17" x14ac:dyDescent="0.3">
      <c r="B74" s="11" t="s">
        <v>17</v>
      </c>
      <c r="C74" s="11" t="s">
        <v>0</v>
      </c>
      <c r="D74" s="12" t="s">
        <v>2</v>
      </c>
      <c r="E74" s="12" t="s">
        <v>3</v>
      </c>
      <c r="F74" s="12" t="s">
        <v>13</v>
      </c>
      <c r="G74" s="12" t="s">
        <v>4</v>
      </c>
      <c r="H74" s="12" t="s">
        <v>5</v>
      </c>
      <c r="I74" s="12" t="s">
        <v>6</v>
      </c>
      <c r="J74" s="12" t="s">
        <v>7</v>
      </c>
      <c r="K74" s="12" t="s">
        <v>8</v>
      </c>
      <c r="L74" s="12" t="s">
        <v>9</v>
      </c>
      <c r="M74" s="12" t="s">
        <v>10</v>
      </c>
      <c r="N74" s="12" t="s">
        <v>11</v>
      </c>
      <c r="O74" s="12" t="s">
        <v>12</v>
      </c>
      <c r="P74" s="14" t="s">
        <v>1</v>
      </c>
      <c r="Q74" t="str">
        <f t="shared" si="3"/>
        <v>НоменклатураАртикулЯнварь  Февраль  МартАпрель  Май  Июнь  Июль  Август  Сентябрь  Октябрь  Ноябрь  Декабрь  Итог</v>
      </c>
    </row>
    <row r="75" spans="2:17" x14ac:dyDescent="0.3">
      <c r="B75" s="5" t="s">
        <v>60</v>
      </c>
      <c r="C75" s="5">
        <v>1001740614</v>
      </c>
      <c r="D75" s="1"/>
      <c r="E75" s="1"/>
      <c r="F75" s="1"/>
      <c r="G75" s="1"/>
      <c r="H75" s="1">
        <v>3</v>
      </c>
      <c r="I75" s="1"/>
      <c r="J75" s="1">
        <v>1</v>
      </c>
      <c r="K75" s="1"/>
      <c r="L75" s="1"/>
      <c r="M75" s="1">
        <v>1</v>
      </c>
      <c r="N75" s="1">
        <v>1</v>
      </c>
      <c r="O75" s="1">
        <v>1</v>
      </c>
      <c r="P75" s="14">
        <f t="shared" ref="P75:P86" si="36">SUM(D75:O75)</f>
        <v>7</v>
      </c>
      <c r="Q75" t="str">
        <f t="shared" si="3"/>
        <v>Фильтр масляный  Weichai  10017406141001740614311117</v>
      </c>
    </row>
    <row r="76" spans="2:17" x14ac:dyDescent="0.3">
      <c r="B76" s="5" t="s">
        <v>60</v>
      </c>
      <c r="C76" s="5">
        <v>1001740614</v>
      </c>
      <c r="D76" s="1"/>
      <c r="E76" s="1">
        <v>26</v>
      </c>
      <c r="F76" s="1">
        <v>21</v>
      </c>
      <c r="G76" s="1">
        <v>34</v>
      </c>
      <c r="H76" s="1">
        <v>1</v>
      </c>
      <c r="I76" s="1">
        <v>1</v>
      </c>
      <c r="J76" s="1"/>
      <c r="K76" s="1">
        <v>1</v>
      </c>
      <c r="L76" s="1">
        <v>1</v>
      </c>
      <c r="M76" s="1"/>
      <c r="N76" s="1">
        <v>1</v>
      </c>
      <c r="O76" s="1"/>
      <c r="P76" s="14">
        <f t="shared" si="36"/>
        <v>86</v>
      </c>
      <c r="Q76" t="str">
        <f t="shared" si="3"/>
        <v>Фильтр масляный  Weichai  100174061410017406142621341111186</v>
      </c>
    </row>
    <row r="77" spans="2:17" x14ac:dyDescent="0.3">
      <c r="B77" s="5" t="s">
        <v>60</v>
      </c>
      <c r="C77" s="5" t="s">
        <v>54</v>
      </c>
      <c r="D77" s="1">
        <v>11</v>
      </c>
      <c r="E77" s="1">
        <v>5</v>
      </c>
      <c r="F77" s="1">
        <v>13</v>
      </c>
      <c r="G77" s="1">
        <v>23</v>
      </c>
      <c r="H77" s="1">
        <v>11</v>
      </c>
      <c r="I77" s="1">
        <v>2</v>
      </c>
      <c r="J77" s="1">
        <v>1</v>
      </c>
      <c r="K77" s="1">
        <v>1</v>
      </c>
      <c r="L77" s="1"/>
      <c r="M77" s="1"/>
      <c r="N77" s="1"/>
      <c r="O77" s="1">
        <v>1</v>
      </c>
      <c r="P77" s="14">
        <f t="shared" si="36"/>
        <v>68</v>
      </c>
      <c r="Q77" t="str">
        <f t="shared" si="3"/>
        <v>Фильтр масляный  Weichai  1001740614CJ-6165X115132311211168</v>
      </c>
    </row>
    <row r="78" spans="2:17" x14ac:dyDescent="0.3">
      <c r="B78" s="5" t="s">
        <v>60</v>
      </c>
      <c r="C78" s="5">
        <v>1001740614</v>
      </c>
      <c r="D78" s="1"/>
      <c r="E78" s="1"/>
      <c r="F78" s="1"/>
      <c r="G78" s="1"/>
      <c r="H78" s="1">
        <v>14</v>
      </c>
      <c r="I78" s="1">
        <v>3</v>
      </c>
      <c r="J78" s="1"/>
      <c r="K78" s="1"/>
      <c r="L78" s="1"/>
      <c r="M78" s="1">
        <v>1</v>
      </c>
      <c r="N78" s="1"/>
      <c r="O78" s="1"/>
      <c r="P78" s="14">
        <f t="shared" si="36"/>
        <v>18</v>
      </c>
      <c r="Q78" t="str">
        <f t="shared" si="3"/>
        <v>Фильтр масляный  Weichai  10017406141001740614143118</v>
      </c>
    </row>
    <row r="79" spans="2:17" x14ac:dyDescent="0.3">
      <c r="B79" s="5" t="s">
        <v>60</v>
      </c>
      <c r="C79" s="5">
        <v>1001740614</v>
      </c>
      <c r="D79" s="1"/>
      <c r="E79" s="1"/>
      <c r="F79" s="1"/>
      <c r="G79" s="1"/>
      <c r="H79" s="1">
        <v>17</v>
      </c>
      <c r="I79" s="1"/>
      <c r="J79" s="1">
        <v>1</v>
      </c>
      <c r="K79" s="1"/>
      <c r="L79" s="1"/>
      <c r="M79" s="1"/>
      <c r="N79" s="1"/>
      <c r="O79" s="1"/>
      <c r="P79" s="14">
        <f t="shared" si="36"/>
        <v>18</v>
      </c>
      <c r="Q79" t="str">
        <f t="shared" si="3"/>
        <v>Фильтр масляный  Weichai  1001740614100174061417118</v>
      </c>
    </row>
    <row r="80" spans="2:17" x14ac:dyDescent="0.3">
      <c r="B80" s="5" t="s">
        <v>61</v>
      </c>
      <c r="C80" s="5">
        <v>1001740614</v>
      </c>
      <c r="D80" s="1"/>
      <c r="E80" s="1"/>
      <c r="F80" s="1"/>
      <c r="G80" s="1"/>
      <c r="H80" s="1">
        <v>1</v>
      </c>
      <c r="I80" s="1">
        <v>1</v>
      </c>
      <c r="J80" s="1"/>
      <c r="K80" s="1">
        <v>4</v>
      </c>
      <c r="L80" s="1">
        <v>10</v>
      </c>
      <c r="M80" s="1">
        <v>6</v>
      </c>
      <c r="N80" s="1">
        <v>11</v>
      </c>
      <c r="O80" s="1">
        <v>29</v>
      </c>
      <c r="P80" s="14">
        <f t="shared" si="36"/>
        <v>62</v>
      </c>
      <c r="Q80" t="str">
        <f t="shared" ref="Q80" si="37">_xlfn.CONCAT(B80,C80,D80,E80,F80,G80,H80,I80,J80,K80,L80,M80,N80,O80,P80)</f>
        <v>Фильтр масляный 10098067331001740614114106112962</v>
      </c>
    </row>
    <row r="81" spans="2:17" x14ac:dyDescent="0.3">
      <c r="B81" s="5" t="s">
        <v>61</v>
      </c>
      <c r="C81" s="5">
        <v>1009806733</v>
      </c>
      <c r="D81" s="1">
        <v>4</v>
      </c>
      <c r="E81" s="1">
        <v>7</v>
      </c>
      <c r="F81" s="1">
        <v>3</v>
      </c>
      <c r="G81" s="1"/>
      <c r="H81" s="1"/>
      <c r="I81" s="1"/>
      <c r="J81" s="1"/>
      <c r="K81" s="1"/>
      <c r="L81" s="1"/>
      <c r="M81" s="1"/>
      <c r="N81" s="1"/>
      <c r="O81" s="1"/>
      <c r="P81" s="14">
        <f t="shared" si="36"/>
        <v>14</v>
      </c>
      <c r="Q81" t="str">
        <f t="shared" ref="Q81:Q84" si="38">_xlfn.CONCAT(B81,C81,D81,E81,F81,G81,H81,I81,J81,K81,L81,M81,N81,O81,P81)</f>
        <v>Фильтр масляный 1009806733100980673347314</v>
      </c>
    </row>
    <row r="82" spans="2:17" x14ac:dyDescent="0.3">
      <c r="B82" s="5" t="s">
        <v>62</v>
      </c>
      <c r="C82" s="5" t="s">
        <v>55</v>
      </c>
      <c r="D82" s="1"/>
      <c r="E82" s="1"/>
      <c r="F82" s="1"/>
      <c r="G82" s="1"/>
      <c r="H82" s="1"/>
      <c r="I82" s="1"/>
      <c r="J82" s="1">
        <v>12</v>
      </c>
      <c r="K82" s="1">
        <v>17</v>
      </c>
      <c r="L82" s="1">
        <v>21</v>
      </c>
      <c r="M82" s="1">
        <v>4</v>
      </c>
      <c r="N82" s="1">
        <v>6</v>
      </c>
      <c r="O82" s="1"/>
      <c r="P82" s="14">
        <f t="shared" si="36"/>
        <v>60</v>
      </c>
      <c r="Q82" t="str">
        <f t="shared" si="38"/>
        <v>Фильтр масляный C-1812C-18121217214660</v>
      </c>
    </row>
    <row r="83" spans="2:17" x14ac:dyDescent="0.3">
      <c r="B83" s="5" t="s">
        <v>63</v>
      </c>
      <c r="C83" s="5" t="s">
        <v>56</v>
      </c>
      <c r="D83" s="1"/>
      <c r="E83" s="1"/>
      <c r="F83" s="1"/>
      <c r="G83" s="1"/>
      <c r="H83" s="1"/>
      <c r="I83" s="1"/>
      <c r="J83" s="1"/>
      <c r="K83" s="1"/>
      <c r="L83" s="1">
        <v>1</v>
      </c>
      <c r="M83" s="1"/>
      <c r="N83" s="1"/>
      <c r="O83" s="1"/>
      <c r="P83" s="14">
        <f t="shared" si="36"/>
        <v>1</v>
      </c>
      <c r="Q83" t="str">
        <f t="shared" si="38"/>
        <v>Фильтр масляный C-5606C560611</v>
      </c>
    </row>
    <row r="84" spans="2:17" x14ac:dyDescent="0.3">
      <c r="B84" s="5" t="s">
        <v>64</v>
      </c>
      <c r="C84" s="5" t="s">
        <v>57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4">
        <f t="shared" si="36"/>
        <v>0</v>
      </c>
      <c r="Q84" t="str">
        <f t="shared" si="38"/>
        <v>Фильтр масляный C1812C18120</v>
      </c>
    </row>
    <row r="85" spans="2:17" x14ac:dyDescent="0.3">
      <c r="B85" s="5" t="s">
        <v>66</v>
      </c>
      <c r="C85" s="5" t="s">
        <v>58</v>
      </c>
      <c r="D85" s="1">
        <v>59</v>
      </c>
      <c r="E85" s="1">
        <v>9</v>
      </c>
      <c r="F85" s="1">
        <v>1</v>
      </c>
      <c r="G85" s="1"/>
      <c r="H85" s="1"/>
      <c r="I85" s="1"/>
      <c r="J85" s="1"/>
      <c r="K85" s="1"/>
      <c r="L85" s="1"/>
      <c r="M85" s="1"/>
      <c r="N85" s="1"/>
      <c r="O85" s="1"/>
      <c r="P85" s="14">
        <f t="shared" si="36"/>
        <v>69</v>
      </c>
      <c r="Q85" t="str">
        <f t="shared" si="3"/>
        <v>Фильтр масляный LS32571LS32571599169</v>
      </c>
    </row>
    <row r="86" spans="2:17" x14ac:dyDescent="0.3">
      <c r="B86" s="5" t="s">
        <v>67</v>
      </c>
      <c r="C86" s="5" t="s">
        <v>59</v>
      </c>
      <c r="D86" s="1"/>
      <c r="E86" s="1"/>
      <c r="F86" s="1">
        <v>11</v>
      </c>
      <c r="G86" s="1">
        <v>10</v>
      </c>
      <c r="H86" s="1">
        <v>8</v>
      </c>
      <c r="I86" s="1">
        <v>34</v>
      </c>
      <c r="J86" s="1">
        <v>43</v>
      </c>
      <c r="K86" s="1">
        <v>15</v>
      </c>
      <c r="L86" s="1">
        <v>5</v>
      </c>
      <c r="M86" s="1">
        <v>14</v>
      </c>
      <c r="N86" s="1"/>
      <c r="O86" s="1"/>
      <c r="P86" s="14">
        <f t="shared" si="36"/>
        <v>140</v>
      </c>
      <c r="Q86" t="str">
        <f t="shared" si="3"/>
        <v>Фильтр масляный ST10711ST1071111108344315514140</v>
      </c>
    </row>
    <row r="87" spans="2:17" x14ac:dyDescent="0.3">
      <c r="B87" s="5" t="s">
        <v>15</v>
      </c>
      <c r="C87" s="5"/>
      <c r="D87" s="1">
        <f t="shared" ref="D87:O87" si="39">SUM(D75:D86)</f>
        <v>74</v>
      </c>
      <c r="E87" s="1">
        <f t="shared" si="39"/>
        <v>47</v>
      </c>
      <c r="F87" s="1">
        <f t="shared" si="39"/>
        <v>49</v>
      </c>
      <c r="G87" s="1">
        <f t="shared" si="39"/>
        <v>67</v>
      </c>
      <c r="H87" s="1">
        <f t="shared" si="39"/>
        <v>55</v>
      </c>
      <c r="I87" s="1">
        <f t="shared" si="39"/>
        <v>41</v>
      </c>
      <c r="J87" s="1">
        <f t="shared" si="39"/>
        <v>58</v>
      </c>
      <c r="K87" s="1">
        <f t="shared" si="39"/>
        <v>38</v>
      </c>
      <c r="L87" s="1">
        <f t="shared" si="39"/>
        <v>38</v>
      </c>
      <c r="M87" s="1">
        <f t="shared" si="39"/>
        <v>26</v>
      </c>
      <c r="N87" s="1">
        <f t="shared" si="39"/>
        <v>19</v>
      </c>
      <c r="O87" s="1">
        <f t="shared" si="39"/>
        <v>31</v>
      </c>
      <c r="P87" s="14">
        <f t="shared" ref="P87" si="40">SUM(D87:O87)</f>
        <v>543</v>
      </c>
      <c r="Q87" t="str">
        <f t="shared" si="3"/>
        <v>Итог ПРОДАЖА744749675541583838261931543</v>
      </c>
    </row>
    <row r="88" spans="2:17" x14ac:dyDescent="0.3">
      <c r="B88" s="11" t="s">
        <v>17</v>
      </c>
      <c r="C88" s="11" t="s">
        <v>0</v>
      </c>
      <c r="D88" s="13" t="s">
        <v>2</v>
      </c>
      <c r="E88" s="13" t="s">
        <v>3</v>
      </c>
      <c r="F88" s="13" t="s">
        <v>13</v>
      </c>
      <c r="G88" s="13" t="s">
        <v>4</v>
      </c>
      <c r="H88" s="13" t="s">
        <v>5</v>
      </c>
      <c r="I88" s="13" t="s">
        <v>6</v>
      </c>
      <c r="J88" s="13" t="s">
        <v>7</v>
      </c>
      <c r="K88" s="13" t="s">
        <v>8</v>
      </c>
      <c r="L88" s="13" t="s">
        <v>9</v>
      </c>
      <c r="M88" s="13" t="s">
        <v>10</v>
      </c>
      <c r="N88" s="13" t="s">
        <v>11</v>
      </c>
      <c r="O88" s="13" t="s">
        <v>12</v>
      </c>
      <c r="P88" s="12"/>
      <c r="Q88" t="str">
        <f t="shared" si="3"/>
        <v xml:space="preserve">НоменклатураАртикулЯнварь  Февраль  МартАпрель  Май  Июнь  Июль  Август  Сентябрь  Октябрь  Ноябрь  Декабрь  </v>
      </c>
    </row>
    <row r="89" spans="2:17" x14ac:dyDescent="0.3">
      <c r="B89" s="5" t="s">
        <v>60</v>
      </c>
      <c r="C89" s="10">
        <v>1001740614</v>
      </c>
      <c r="D89" s="1"/>
      <c r="E89" s="1"/>
      <c r="F89" s="1"/>
      <c r="G89" s="1"/>
      <c r="H89" s="1"/>
      <c r="I89" s="1"/>
      <c r="J89" s="1">
        <v>4</v>
      </c>
      <c r="K89" s="1">
        <v>3</v>
      </c>
      <c r="L89" s="1">
        <v>4</v>
      </c>
      <c r="M89" s="1">
        <v>7</v>
      </c>
      <c r="N89" s="1">
        <v>1</v>
      </c>
      <c r="O89" s="1">
        <v>8</v>
      </c>
      <c r="P89" s="14">
        <f>SUM(D89:O89)</f>
        <v>27</v>
      </c>
      <c r="Q89" t="str">
        <f t="shared" si="3"/>
        <v>Фильтр масляный  Weichai  1001740614100174061443471827</v>
      </c>
    </row>
    <row r="90" spans="2:17" x14ac:dyDescent="0.3">
      <c r="B90" s="5" t="s">
        <v>60</v>
      </c>
      <c r="C90" s="5">
        <v>1001740614</v>
      </c>
      <c r="D90" s="1">
        <v>5</v>
      </c>
      <c r="E90" s="1">
        <v>7</v>
      </c>
      <c r="F90" s="1">
        <v>8</v>
      </c>
      <c r="G90" s="1">
        <v>10</v>
      </c>
      <c r="H90" s="1">
        <v>8</v>
      </c>
      <c r="I90" s="1">
        <v>5</v>
      </c>
      <c r="J90" s="1">
        <v>11</v>
      </c>
      <c r="K90" s="1">
        <v>3</v>
      </c>
      <c r="L90" s="1">
        <v>3</v>
      </c>
      <c r="M90" s="1"/>
      <c r="N90" s="1">
        <v>5</v>
      </c>
      <c r="O90" s="1">
        <v>3</v>
      </c>
      <c r="P90" s="14">
        <f t="shared" ref="P90" si="41">SUM(D90:O90)</f>
        <v>68</v>
      </c>
      <c r="Q90" t="str">
        <f t="shared" si="3"/>
        <v>Фильтр масляный  Weichai  10017406141001740614578108511335368</v>
      </c>
    </row>
    <row r="91" spans="2:17" x14ac:dyDescent="0.3">
      <c r="B91" s="5" t="s">
        <v>60</v>
      </c>
      <c r="C91" s="5">
        <v>1001740614</v>
      </c>
      <c r="D91" s="1">
        <v>6</v>
      </c>
      <c r="E91" s="1">
        <v>6</v>
      </c>
      <c r="F91" s="1">
        <v>6</v>
      </c>
      <c r="G91" s="1">
        <v>12</v>
      </c>
      <c r="H91" s="1">
        <v>13</v>
      </c>
      <c r="I91" s="1">
        <v>4</v>
      </c>
      <c r="J91" s="1"/>
      <c r="K91" s="1">
        <v>1</v>
      </c>
      <c r="L91" s="1">
        <v>3</v>
      </c>
      <c r="M91" s="1"/>
      <c r="N91" s="1"/>
      <c r="O91" s="1"/>
      <c r="P91" s="14">
        <f t="shared" ref="P91:P98" si="42">SUM(D91:O91)</f>
        <v>51</v>
      </c>
      <c r="Q91" t="str">
        <f t="shared" ref="Q91:Q98" si="43">_xlfn.CONCAT(B91,C91,D91,E91,F91,G91,H91,I91,J91,K91,L91,M91,N91,O91,P91)</f>
        <v>Фильтр масляный  Weichai  10017406141001740614666121341351</v>
      </c>
    </row>
    <row r="92" spans="2:17" x14ac:dyDescent="0.3">
      <c r="B92" s="5" t="s">
        <v>60</v>
      </c>
      <c r="C92" s="5" t="s">
        <v>54</v>
      </c>
      <c r="D92" s="1">
        <v>1</v>
      </c>
      <c r="E92" s="1"/>
      <c r="F92" s="1"/>
      <c r="G92" s="1"/>
      <c r="H92" s="1"/>
      <c r="I92" s="1"/>
      <c r="J92" s="1">
        <v>1</v>
      </c>
      <c r="K92" s="1"/>
      <c r="L92" s="1">
        <v>1</v>
      </c>
      <c r="M92" s="1"/>
      <c r="N92" s="1">
        <v>4</v>
      </c>
      <c r="O92" s="1">
        <v>4</v>
      </c>
      <c r="P92" s="14">
        <f t="shared" si="42"/>
        <v>11</v>
      </c>
      <c r="Q92" t="str">
        <f t="shared" si="43"/>
        <v>Фильтр масляный  Weichai  1001740614CJ-6165X1114411</v>
      </c>
    </row>
    <row r="93" spans="2:17" x14ac:dyDescent="0.3">
      <c r="B93" s="5" t="s">
        <v>60</v>
      </c>
      <c r="C93" s="5">
        <v>1001740614</v>
      </c>
      <c r="D93" s="1">
        <v>9</v>
      </c>
      <c r="E93" s="1"/>
      <c r="F93" s="1">
        <v>6</v>
      </c>
      <c r="G93" s="1">
        <v>3</v>
      </c>
      <c r="H93" s="1">
        <v>9</v>
      </c>
      <c r="I93" s="1">
        <v>10</v>
      </c>
      <c r="J93" s="1">
        <v>17</v>
      </c>
      <c r="K93" s="1">
        <v>11</v>
      </c>
      <c r="L93" s="1">
        <v>9</v>
      </c>
      <c r="M93" s="1">
        <v>7</v>
      </c>
      <c r="N93" s="1">
        <v>9</v>
      </c>
      <c r="O93" s="1">
        <v>6</v>
      </c>
      <c r="P93" s="14">
        <f t="shared" si="42"/>
        <v>96</v>
      </c>
      <c r="Q93" t="str">
        <f t="shared" si="43"/>
        <v>Фильтр масляный  Weichai  100174061410017406149639101711979696</v>
      </c>
    </row>
    <row r="94" spans="2:17" x14ac:dyDescent="0.3">
      <c r="B94" s="5" t="s">
        <v>61</v>
      </c>
      <c r="C94" s="5">
        <v>1001740614</v>
      </c>
      <c r="D94" s="1">
        <v>30</v>
      </c>
      <c r="E94" s="1"/>
      <c r="F94" s="1"/>
      <c r="G94" s="1"/>
      <c r="H94" s="1"/>
      <c r="I94" s="1">
        <v>2</v>
      </c>
      <c r="J94" s="1"/>
      <c r="K94" s="1">
        <v>22</v>
      </c>
      <c r="L94" s="1">
        <v>25</v>
      </c>
      <c r="M94" s="1">
        <v>41</v>
      </c>
      <c r="N94" s="1">
        <v>61</v>
      </c>
      <c r="O94" s="1">
        <v>67</v>
      </c>
      <c r="P94" s="14">
        <f t="shared" si="42"/>
        <v>248</v>
      </c>
      <c r="Q94" t="str">
        <f t="shared" si="43"/>
        <v>Фильтр масляный 100980673310017406143022225416167248</v>
      </c>
    </row>
    <row r="95" spans="2:17" x14ac:dyDescent="0.3">
      <c r="B95" s="5" t="s">
        <v>62</v>
      </c>
      <c r="C95" s="5" t="s">
        <v>55</v>
      </c>
      <c r="D95" s="1">
        <v>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4">
        <f t="shared" si="42"/>
        <v>1</v>
      </c>
      <c r="Q95" t="str">
        <f t="shared" si="43"/>
        <v>Фильтр масляный C-1812C-181211</v>
      </c>
    </row>
    <row r="96" spans="2:17" x14ac:dyDescent="0.3">
      <c r="B96" s="5" t="s">
        <v>62</v>
      </c>
      <c r="C96" s="5" t="s">
        <v>55</v>
      </c>
      <c r="D96" s="1"/>
      <c r="E96" s="1"/>
      <c r="F96" s="1"/>
      <c r="G96" s="1"/>
      <c r="H96" s="1"/>
      <c r="I96" s="1"/>
      <c r="J96" s="1"/>
      <c r="K96" s="1">
        <v>7</v>
      </c>
      <c r="L96" s="1">
        <v>2</v>
      </c>
      <c r="M96" s="1">
        <v>12</v>
      </c>
      <c r="N96" s="1">
        <v>9</v>
      </c>
      <c r="O96" s="1"/>
      <c r="P96" s="14">
        <f t="shared" si="42"/>
        <v>30</v>
      </c>
      <c r="Q96" t="str">
        <f t="shared" si="43"/>
        <v>Фильтр масляный C-1812C-18127212930</v>
      </c>
    </row>
    <row r="97" spans="2:17" x14ac:dyDescent="0.3">
      <c r="B97" s="5" t="s">
        <v>63</v>
      </c>
      <c r="C97" s="5" t="s">
        <v>56</v>
      </c>
      <c r="D97" s="1"/>
      <c r="E97" s="1"/>
      <c r="F97" s="1"/>
      <c r="G97" s="1"/>
      <c r="H97" s="1"/>
      <c r="I97" s="1"/>
      <c r="J97" s="1"/>
      <c r="K97" s="1">
        <v>6</v>
      </c>
      <c r="L97" s="1">
        <v>5</v>
      </c>
      <c r="M97" s="1">
        <v>2</v>
      </c>
      <c r="N97" s="1">
        <v>4</v>
      </c>
      <c r="O97" s="1">
        <v>15</v>
      </c>
      <c r="P97" s="14">
        <f t="shared" si="42"/>
        <v>32</v>
      </c>
      <c r="Q97" t="str">
        <f t="shared" si="43"/>
        <v>Фильтр масляный C-5606C560665241532</v>
      </c>
    </row>
    <row r="98" spans="2:17" x14ac:dyDescent="0.3">
      <c r="B98" s="5" t="s">
        <v>63</v>
      </c>
      <c r="C98" s="5" t="s">
        <v>57</v>
      </c>
      <c r="D98" s="1">
        <v>1</v>
      </c>
      <c r="E98" s="1"/>
      <c r="F98" s="1"/>
      <c r="G98" s="1"/>
      <c r="H98" s="1"/>
      <c r="I98" s="1">
        <v>2</v>
      </c>
      <c r="J98" s="1"/>
      <c r="K98" s="1">
        <v>3</v>
      </c>
      <c r="L98" s="1">
        <v>4</v>
      </c>
      <c r="M98" s="1">
        <v>6</v>
      </c>
      <c r="N98" s="1">
        <v>2</v>
      </c>
      <c r="O98" s="1">
        <v>2</v>
      </c>
      <c r="P98" s="14">
        <f t="shared" si="42"/>
        <v>20</v>
      </c>
      <c r="Q98" t="str">
        <f t="shared" si="43"/>
        <v>Фильтр масляный C-5606C1812123462220</v>
      </c>
    </row>
    <row r="99" spans="2:17" x14ac:dyDescent="0.3">
      <c r="B99" s="5" t="s">
        <v>64</v>
      </c>
      <c r="C99" s="5" t="s">
        <v>57</v>
      </c>
      <c r="D99" s="1">
        <v>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1</v>
      </c>
      <c r="P99" s="14">
        <f t="shared" ref="P99:P102" si="44">SUM(D99:O99)</f>
        <v>2</v>
      </c>
      <c r="Q99" t="str">
        <f t="shared" si="3"/>
        <v>Фильтр масляный C1812C1812112</v>
      </c>
    </row>
    <row r="100" spans="2:17" x14ac:dyDescent="0.3">
      <c r="B100" s="5" t="s">
        <v>65</v>
      </c>
      <c r="C100" s="5" t="s">
        <v>68</v>
      </c>
      <c r="D100" s="1"/>
      <c r="E100" s="1">
        <v>2</v>
      </c>
      <c r="F100" s="1"/>
      <c r="G100" s="1">
        <v>1</v>
      </c>
      <c r="H100" s="1"/>
      <c r="I100" s="1"/>
      <c r="J100" s="1"/>
      <c r="K100" s="1"/>
      <c r="L100" s="1"/>
      <c r="M100" s="1"/>
      <c r="N100" s="1"/>
      <c r="O100" s="1"/>
      <c r="P100" s="14">
        <f t="shared" si="44"/>
        <v>3</v>
      </c>
      <c r="Q100" t="str">
        <f t="shared" si="3"/>
        <v>Фильтр масляный CTT05033P10CCTT05033P10C213</v>
      </c>
    </row>
    <row r="101" spans="2:17" x14ac:dyDescent="0.3">
      <c r="B101" s="5" t="s">
        <v>66</v>
      </c>
      <c r="C101" s="5" t="s">
        <v>58</v>
      </c>
      <c r="D101" s="1">
        <v>28</v>
      </c>
      <c r="E101" s="1">
        <v>12</v>
      </c>
      <c r="F101" s="1">
        <v>4</v>
      </c>
      <c r="G101" s="1">
        <v>12</v>
      </c>
      <c r="H101" s="1">
        <v>14</v>
      </c>
      <c r="I101" s="1">
        <v>7</v>
      </c>
      <c r="J101" s="1">
        <v>2</v>
      </c>
      <c r="K101" s="1">
        <v>6</v>
      </c>
      <c r="L101" s="1">
        <v>5</v>
      </c>
      <c r="M101" s="1">
        <v>2</v>
      </c>
      <c r="N101" s="1">
        <v>1</v>
      </c>
      <c r="O101" s="1"/>
      <c r="P101" s="14">
        <f t="shared" si="44"/>
        <v>93</v>
      </c>
      <c r="Q101" t="str">
        <f t="shared" si="3"/>
        <v>Фильтр масляный LS32571LS3257128124121472652193</v>
      </c>
    </row>
    <row r="102" spans="2:17" x14ac:dyDescent="0.3">
      <c r="B102" s="5" t="s">
        <v>67</v>
      </c>
      <c r="C102" s="5" t="s">
        <v>59</v>
      </c>
      <c r="D102" s="1">
        <v>6</v>
      </c>
      <c r="E102" s="1"/>
      <c r="F102" s="1"/>
      <c r="G102" s="1"/>
      <c r="H102" s="1"/>
      <c r="I102" s="1">
        <v>1</v>
      </c>
      <c r="J102" s="1">
        <v>9</v>
      </c>
      <c r="K102" s="1">
        <v>11</v>
      </c>
      <c r="L102" s="1">
        <v>10</v>
      </c>
      <c r="M102" s="1">
        <v>12</v>
      </c>
      <c r="N102" s="1">
        <v>4</v>
      </c>
      <c r="O102" s="1">
        <v>1</v>
      </c>
      <c r="P102" s="14">
        <f t="shared" si="44"/>
        <v>54</v>
      </c>
      <c r="Q102" t="str">
        <f t="shared" si="3"/>
        <v>Фильтр масляный ST10711ST107116191110124154</v>
      </c>
    </row>
    <row r="103" spans="2:17" x14ac:dyDescent="0.3">
      <c r="B103" s="5" t="s">
        <v>16</v>
      </c>
      <c r="C103" s="5"/>
      <c r="D103" s="1">
        <f t="shared" ref="D103:O103" si="45">SUM(D89:D102)</f>
        <v>88</v>
      </c>
      <c r="E103" s="1">
        <f t="shared" si="45"/>
        <v>27</v>
      </c>
      <c r="F103" s="1">
        <f t="shared" si="45"/>
        <v>24</v>
      </c>
      <c r="G103" s="1">
        <f t="shared" si="45"/>
        <v>38</v>
      </c>
      <c r="H103" s="1">
        <f t="shared" si="45"/>
        <v>44</v>
      </c>
      <c r="I103" s="1">
        <f t="shared" si="45"/>
        <v>31</v>
      </c>
      <c r="J103" s="1">
        <f t="shared" si="45"/>
        <v>44</v>
      </c>
      <c r="K103" s="1">
        <f t="shared" si="45"/>
        <v>73</v>
      </c>
      <c r="L103" s="1">
        <f t="shared" si="45"/>
        <v>71</v>
      </c>
      <c r="M103" s="1">
        <f t="shared" si="45"/>
        <v>89</v>
      </c>
      <c r="N103" s="1">
        <f t="shared" si="45"/>
        <v>100</v>
      </c>
      <c r="O103" s="1">
        <f t="shared" si="45"/>
        <v>107</v>
      </c>
      <c r="P103" s="14">
        <f t="shared" ref="P103" si="46">SUM(D103:O103)</f>
        <v>736</v>
      </c>
      <c r="Q103" t="str">
        <f t="shared" ref="Q103:Q201" si="47">_xlfn.CONCAT(B103,C103,D103,E103,F103,G103,H103,I103,J103,K103,L103,M103,N103,O103,P103)</f>
        <v>Итог СПИСАНИЕ88272438443144737189100107736</v>
      </c>
    </row>
    <row r="104" spans="2:17" x14ac:dyDescent="0.3">
      <c r="B104" s="6" t="s">
        <v>14</v>
      </c>
      <c r="C104" s="6"/>
      <c r="D104" s="2">
        <f t="shared" ref="D104:P104" si="48">D103+D87</f>
        <v>162</v>
      </c>
      <c r="E104" s="2">
        <f t="shared" si="48"/>
        <v>74</v>
      </c>
      <c r="F104" s="2">
        <f t="shared" si="48"/>
        <v>73</v>
      </c>
      <c r="G104" s="2">
        <f t="shared" si="48"/>
        <v>105</v>
      </c>
      <c r="H104" s="2">
        <f t="shared" si="48"/>
        <v>99</v>
      </c>
      <c r="I104" s="2">
        <f t="shared" si="48"/>
        <v>72</v>
      </c>
      <c r="J104" s="2">
        <f t="shared" si="48"/>
        <v>102</v>
      </c>
      <c r="K104" s="2">
        <f t="shared" si="48"/>
        <v>111</v>
      </c>
      <c r="L104" s="2">
        <f t="shared" si="48"/>
        <v>109</v>
      </c>
      <c r="M104" s="2">
        <f t="shared" si="48"/>
        <v>115</v>
      </c>
      <c r="N104" s="2">
        <f t="shared" si="48"/>
        <v>119</v>
      </c>
      <c r="O104" s="2">
        <f t="shared" si="48"/>
        <v>138</v>
      </c>
      <c r="P104" s="15">
        <f t="shared" si="48"/>
        <v>1279</v>
      </c>
      <c r="Q104" t="str">
        <f t="shared" si="47"/>
        <v>Общий итог162747310599721021111091151191381279</v>
      </c>
    </row>
    <row r="105" spans="2:17" x14ac:dyDescent="0.3">
      <c r="Q105" t="str">
        <f t="shared" si="47"/>
        <v/>
      </c>
    </row>
    <row r="106" spans="2:17" x14ac:dyDescent="0.3">
      <c r="Q106" t="str">
        <f t="shared" si="47"/>
        <v/>
      </c>
    </row>
    <row r="107" spans="2:17" x14ac:dyDescent="0.3">
      <c r="B107" s="7" t="s">
        <v>71</v>
      </c>
      <c r="Q107" t="str">
        <f t="shared" si="47"/>
        <v>1009806734</v>
      </c>
    </row>
    <row r="108" spans="2:17" x14ac:dyDescent="0.3">
      <c r="B108" s="11" t="s">
        <v>17</v>
      </c>
      <c r="C108" s="11" t="s">
        <v>0</v>
      </c>
      <c r="D108" s="12" t="s">
        <v>2</v>
      </c>
      <c r="E108" s="12" t="s">
        <v>3</v>
      </c>
      <c r="F108" s="12" t="s">
        <v>13</v>
      </c>
      <c r="G108" s="12" t="s">
        <v>4</v>
      </c>
      <c r="H108" s="12" t="s">
        <v>5</v>
      </c>
      <c r="I108" s="12" t="s">
        <v>6</v>
      </c>
      <c r="J108" s="12" t="s">
        <v>7</v>
      </c>
      <c r="K108" s="12" t="s">
        <v>8</v>
      </c>
      <c r="L108" s="12" t="s">
        <v>9</v>
      </c>
      <c r="M108" s="12" t="s">
        <v>10</v>
      </c>
      <c r="N108" s="12" t="s">
        <v>11</v>
      </c>
      <c r="O108" s="12" t="s">
        <v>12</v>
      </c>
      <c r="P108" s="14" t="s">
        <v>1</v>
      </c>
      <c r="Q108" t="str">
        <f t="shared" si="47"/>
        <v>НоменклатураАртикулЯнварь  Февраль  МартАпрель  Май  Июнь  Июль  Август  Сентябрь  Октябрь  Ноябрь  Декабрь  Итог</v>
      </c>
    </row>
    <row r="109" spans="2:17" x14ac:dyDescent="0.3">
      <c r="B109" s="5" t="s">
        <v>72</v>
      </c>
      <c r="C109" s="5" t="s">
        <v>69</v>
      </c>
      <c r="D109" s="1"/>
      <c r="E109" s="1"/>
      <c r="F109" s="1"/>
      <c r="G109" s="1"/>
      <c r="H109" s="1"/>
      <c r="I109" s="1">
        <v>3</v>
      </c>
      <c r="J109" s="1"/>
      <c r="K109" s="1">
        <v>5</v>
      </c>
      <c r="L109" s="1">
        <v>1</v>
      </c>
      <c r="M109" s="1">
        <v>1</v>
      </c>
      <c r="N109" s="1">
        <v>5</v>
      </c>
      <c r="O109" s="1">
        <v>44</v>
      </c>
      <c r="P109" s="14">
        <f t="shared" ref="P109:P115" si="49">SUM(D109:O109)</f>
        <v>59</v>
      </c>
      <c r="Q109" t="str">
        <f t="shared" si="47"/>
        <v>Фильтр топливный  DIFA 6153DIFA 6153351154459</v>
      </c>
    </row>
    <row r="110" spans="2:17" x14ac:dyDescent="0.3">
      <c r="B110" s="5" t="s">
        <v>73</v>
      </c>
      <c r="C110" s="5" t="s">
        <v>70</v>
      </c>
      <c r="D110" s="1">
        <v>73</v>
      </c>
      <c r="E110" s="1">
        <v>31</v>
      </c>
      <c r="F110" s="1">
        <v>46</v>
      </c>
      <c r="G110" s="1">
        <v>44</v>
      </c>
      <c r="H110" s="1">
        <v>34</v>
      </c>
      <c r="I110" s="1">
        <v>13</v>
      </c>
      <c r="J110" s="1">
        <v>40</v>
      </c>
      <c r="K110" s="1">
        <v>39</v>
      </c>
      <c r="L110" s="1">
        <v>23</v>
      </c>
      <c r="M110" s="1">
        <v>9</v>
      </c>
      <c r="N110" s="1">
        <v>46</v>
      </c>
      <c r="O110" s="1">
        <v>13</v>
      </c>
      <c r="P110" s="14">
        <f t="shared" si="49"/>
        <v>411</v>
      </c>
      <c r="Q110" t="str">
        <f t="shared" si="47"/>
        <v>Фильтр топливный  Weichai  1000002416100000241673314644341340392394613411</v>
      </c>
    </row>
    <row r="111" spans="2:17" x14ac:dyDescent="0.3">
      <c r="B111" s="5" t="s">
        <v>73</v>
      </c>
      <c r="C111" s="5" t="s">
        <v>70</v>
      </c>
      <c r="D111" s="1"/>
      <c r="E111" s="1"/>
      <c r="F111" s="1"/>
      <c r="G111" s="1"/>
      <c r="H111" s="1"/>
      <c r="I111" s="1"/>
      <c r="J111" s="1"/>
      <c r="K111" s="1"/>
      <c r="L111" s="1"/>
      <c r="M111" s="1">
        <v>1</v>
      </c>
      <c r="N111" s="1"/>
      <c r="O111" s="1">
        <v>1</v>
      </c>
      <c r="P111" s="14">
        <f t="shared" si="49"/>
        <v>2</v>
      </c>
      <c r="Q111" t="str">
        <f t="shared" si="47"/>
        <v>Фильтр топливный  Weichai  10000024161000002416112</v>
      </c>
    </row>
    <row r="112" spans="2:17" x14ac:dyDescent="0.3">
      <c r="B112" s="5" t="s">
        <v>73</v>
      </c>
      <c r="C112" s="5" t="s">
        <v>70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>
        <v>3</v>
      </c>
      <c r="O112" s="1"/>
      <c r="P112" s="14">
        <f t="shared" si="49"/>
        <v>3</v>
      </c>
      <c r="Q112" t="str">
        <f t="shared" si="47"/>
        <v>Фильтр топливный  Weichai  1000002416100000241633</v>
      </c>
    </row>
    <row r="113" spans="2:17" x14ac:dyDescent="0.3">
      <c r="B113" s="5" t="s">
        <v>73</v>
      </c>
      <c r="C113" s="5" t="s">
        <v>70</v>
      </c>
      <c r="D113" s="1"/>
      <c r="E113" s="1"/>
      <c r="F113" s="1"/>
      <c r="G113" s="1"/>
      <c r="H113" s="1">
        <v>4</v>
      </c>
      <c r="I113" s="1">
        <v>1</v>
      </c>
      <c r="J113" s="1">
        <v>1</v>
      </c>
      <c r="K113" s="1"/>
      <c r="L113" s="1"/>
      <c r="M113" s="1"/>
      <c r="N113" s="1"/>
      <c r="O113" s="1"/>
      <c r="P113" s="14">
        <f t="shared" si="49"/>
        <v>6</v>
      </c>
      <c r="Q113" t="str">
        <f t="shared" si="47"/>
        <v>Фильтр топливный  Weichai  100000241610000024164116</v>
      </c>
    </row>
    <row r="114" spans="2:17" x14ac:dyDescent="0.3">
      <c r="B114" s="5" t="s">
        <v>74</v>
      </c>
      <c r="C114" s="5">
        <v>1009806734</v>
      </c>
      <c r="D114" s="1">
        <v>2</v>
      </c>
      <c r="E114" s="1">
        <v>2</v>
      </c>
      <c r="F114" s="1">
        <v>11</v>
      </c>
      <c r="G114" s="1">
        <v>13</v>
      </c>
      <c r="H114" s="1">
        <v>3</v>
      </c>
      <c r="I114" s="1">
        <v>25</v>
      </c>
      <c r="J114" s="1">
        <v>1</v>
      </c>
      <c r="K114" s="1">
        <v>3</v>
      </c>
      <c r="L114" s="1">
        <v>7</v>
      </c>
      <c r="M114" s="1">
        <v>13</v>
      </c>
      <c r="N114" s="1">
        <v>1</v>
      </c>
      <c r="O114" s="1">
        <v>2</v>
      </c>
      <c r="P114" s="14">
        <f t="shared" si="49"/>
        <v>83</v>
      </c>
      <c r="Q114" t="str">
        <f t="shared" si="47"/>
        <v>Фильтр топливный 10098067341009806734221113325137131283</v>
      </c>
    </row>
    <row r="115" spans="2:17" x14ac:dyDescent="0.3">
      <c r="B115" s="5" t="s">
        <v>74</v>
      </c>
      <c r="C115" s="5">
        <v>1009806734</v>
      </c>
      <c r="D115" s="1"/>
      <c r="E115" s="1">
        <v>6</v>
      </c>
      <c r="F115" s="1">
        <v>1</v>
      </c>
      <c r="G115" s="1">
        <v>1</v>
      </c>
      <c r="H115" s="1"/>
      <c r="I115" s="1">
        <v>1</v>
      </c>
      <c r="J115" s="1"/>
      <c r="K115" s="1"/>
      <c r="L115" s="1"/>
      <c r="M115" s="1"/>
      <c r="N115" s="1"/>
      <c r="O115" s="1"/>
      <c r="P115" s="14">
        <f t="shared" si="49"/>
        <v>9</v>
      </c>
      <c r="Q115" t="str">
        <f t="shared" si="47"/>
        <v>Фильтр топливный 1009806734100980673461119</v>
      </c>
    </row>
    <row r="116" spans="2:17" x14ac:dyDescent="0.3">
      <c r="B116" s="5" t="s">
        <v>15</v>
      </c>
      <c r="C116" s="5"/>
      <c r="D116" s="1">
        <f t="shared" ref="D116:O116" si="50">SUM(D109:D115)</f>
        <v>75</v>
      </c>
      <c r="E116" s="1">
        <f t="shared" si="50"/>
        <v>39</v>
      </c>
      <c r="F116" s="1">
        <f t="shared" si="50"/>
        <v>58</v>
      </c>
      <c r="G116" s="1">
        <f t="shared" si="50"/>
        <v>58</v>
      </c>
      <c r="H116" s="1">
        <f t="shared" si="50"/>
        <v>41</v>
      </c>
      <c r="I116" s="1">
        <f t="shared" si="50"/>
        <v>43</v>
      </c>
      <c r="J116" s="1">
        <f t="shared" si="50"/>
        <v>42</v>
      </c>
      <c r="K116" s="1">
        <f t="shared" si="50"/>
        <v>47</v>
      </c>
      <c r="L116" s="1">
        <f t="shared" si="50"/>
        <v>31</v>
      </c>
      <c r="M116" s="1">
        <f t="shared" si="50"/>
        <v>24</v>
      </c>
      <c r="N116" s="1">
        <f t="shared" si="50"/>
        <v>55</v>
      </c>
      <c r="O116" s="1">
        <f t="shared" si="50"/>
        <v>60</v>
      </c>
      <c r="P116" s="14">
        <f t="shared" ref="P116" si="51">SUM(D116:O116)</f>
        <v>573</v>
      </c>
      <c r="Q116" t="str">
        <f t="shared" si="47"/>
        <v>Итог ПРОДАЖА753958584143424731245560573</v>
      </c>
    </row>
    <row r="117" spans="2:17" x14ac:dyDescent="0.3">
      <c r="B117" s="11" t="s">
        <v>17</v>
      </c>
      <c r="C117" s="11" t="s">
        <v>0</v>
      </c>
      <c r="D117" s="13" t="s">
        <v>2</v>
      </c>
      <c r="E117" s="13" t="s">
        <v>3</v>
      </c>
      <c r="F117" s="13" t="s">
        <v>13</v>
      </c>
      <c r="G117" s="13" t="s">
        <v>4</v>
      </c>
      <c r="H117" s="13" t="s">
        <v>5</v>
      </c>
      <c r="I117" s="13" t="s">
        <v>6</v>
      </c>
      <c r="J117" s="13" t="s">
        <v>7</v>
      </c>
      <c r="K117" s="13" t="s">
        <v>8</v>
      </c>
      <c r="L117" s="13" t="s">
        <v>9</v>
      </c>
      <c r="M117" s="13" t="s">
        <v>10</v>
      </c>
      <c r="N117" s="13" t="s">
        <v>11</v>
      </c>
      <c r="O117" s="13" t="s">
        <v>12</v>
      </c>
      <c r="P117" s="12"/>
      <c r="Q117" t="str">
        <f t="shared" si="47"/>
        <v xml:space="preserve">НоменклатураАртикулЯнварь  Февраль  МартАпрель  Май  Июнь  Июль  Август  Сентябрь  Октябрь  Ноябрь  Декабрь  </v>
      </c>
    </row>
    <row r="118" spans="2:17" x14ac:dyDescent="0.3">
      <c r="B118" s="5" t="s">
        <v>72</v>
      </c>
      <c r="C118" s="10" t="s">
        <v>69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>
        <v>1</v>
      </c>
      <c r="O118" s="1">
        <v>1</v>
      </c>
      <c r="P118" s="14">
        <f>SUM(D118:O118)</f>
        <v>2</v>
      </c>
      <c r="Q118" t="str">
        <f t="shared" si="47"/>
        <v>Фильтр топливный  DIFA 6153DIFA 6153112</v>
      </c>
    </row>
    <row r="119" spans="2:17" x14ac:dyDescent="0.3">
      <c r="B119" s="5" t="s">
        <v>73</v>
      </c>
      <c r="C119" s="5" t="s">
        <v>70</v>
      </c>
      <c r="D119" s="1"/>
      <c r="E119" s="1"/>
      <c r="F119" s="1"/>
      <c r="G119" s="1"/>
      <c r="H119" s="1"/>
      <c r="I119" s="1"/>
      <c r="J119" s="1">
        <v>3</v>
      </c>
      <c r="K119" s="1"/>
      <c r="L119" s="1">
        <v>3</v>
      </c>
      <c r="M119" s="1">
        <v>1</v>
      </c>
      <c r="N119" s="1">
        <v>10</v>
      </c>
      <c r="O119" s="1">
        <v>4</v>
      </c>
      <c r="P119" s="14">
        <f t="shared" ref="P119" si="52">SUM(D119:O119)</f>
        <v>21</v>
      </c>
      <c r="Q119" t="str">
        <f t="shared" si="47"/>
        <v>Фильтр топливный  Weichai  1000002416100000241633110421</v>
      </c>
    </row>
    <row r="120" spans="2:17" x14ac:dyDescent="0.3">
      <c r="B120" s="5" t="s">
        <v>73</v>
      </c>
      <c r="C120" s="5" t="s">
        <v>70</v>
      </c>
      <c r="D120" s="1"/>
      <c r="E120" s="1"/>
      <c r="F120" s="1"/>
      <c r="G120" s="1">
        <v>4</v>
      </c>
      <c r="H120" s="1"/>
      <c r="I120" s="1"/>
      <c r="J120" s="1"/>
      <c r="K120" s="1">
        <v>2</v>
      </c>
      <c r="L120" s="1"/>
      <c r="M120" s="1"/>
      <c r="N120" s="1"/>
      <c r="O120" s="1">
        <v>1</v>
      </c>
      <c r="P120" s="14">
        <f t="shared" ref="P120:P127" si="53">SUM(D120:O120)</f>
        <v>7</v>
      </c>
      <c r="Q120" t="str">
        <f t="shared" si="47"/>
        <v>Фильтр топливный  Weichai  100000241610000024164217</v>
      </c>
    </row>
    <row r="121" spans="2:17" x14ac:dyDescent="0.3">
      <c r="B121" s="5" t="s">
        <v>73</v>
      </c>
      <c r="C121" s="5" t="s">
        <v>70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4</v>
      </c>
      <c r="P121" s="14">
        <f t="shared" si="53"/>
        <v>4</v>
      </c>
      <c r="Q121" t="str">
        <f t="shared" si="47"/>
        <v>Фильтр топливный  Weichai  1000002416100000241644</v>
      </c>
    </row>
    <row r="122" spans="2:17" x14ac:dyDescent="0.3">
      <c r="B122" s="5" t="s">
        <v>73</v>
      </c>
      <c r="C122" s="5" t="s">
        <v>70</v>
      </c>
      <c r="D122" s="1">
        <v>9</v>
      </c>
      <c r="E122" s="1">
        <v>11</v>
      </c>
      <c r="F122" s="1">
        <v>13</v>
      </c>
      <c r="G122" s="1">
        <v>19</v>
      </c>
      <c r="H122" s="1">
        <v>37</v>
      </c>
      <c r="I122" s="1">
        <v>23</v>
      </c>
      <c r="J122" s="1">
        <v>35</v>
      </c>
      <c r="K122" s="1">
        <v>53</v>
      </c>
      <c r="L122" s="1">
        <v>19</v>
      </c>
      <c r="M122" s="1">
        <v>28</v>
      </c>
      <c r="N122" s="1">
        <v>26</v>
      </c>
      <c r="O122" s="1">
        <v>22</v>
      </c>
      <c r="P122" s="14">
        <f t="shared" si="53"/>
        <v>295</v>
      </c>
      <c r="Q122" t="str">
        <f t="shared" si="47"/>
        <v>Фильтр топливный  Weichai  1000002416100000241691113193723355319282622295</v>
      </c>
    </row>
    <row r="123" spans="2:17" x14ac:dyDescent="0.3">
      <c r="B123" s="5" t="s">
        <v>73</v>
      </c>
      <c r="C123" s="5" t="s">
        <v>70</v>
      </c>
      <c r="D123" s="1"/>
      <c r="E123" s="1"/>
      <c r="F123" s="1"/>
      <c r="G123" s="1"/>
      <c r="H123" s="1"/>
      <c r="I123" s="1"/>
      <c r="J123" s="1"/>
      <c r="K123" s="1"/>
      <c r="L123" s="1"/>
      <c r="M123" s="1">
        <v>1</v>
      </c>
      <c r="N123" s="1"/>
      <c r="O123" s="1">
        <v>1</v>
      </c>
      <c r="P123" s="14">
        <f t="shared" si="53"/>
        <v>2</v>
      </c>
      <c r="Q123" t="str">
        <f t="shared" si="47"/>
        <v>Фильтр топливный  Weichai  10000024161000002416112</v>
      </c>
    </row>
    <row r="124" spans="2:17" x14ac:dyDescent="0.3">
      <c r="B124" s="5" t="s">
        <v>73</v>
      </c>
      <c r="C124" s="5" t="s">
        <v>70</v>
      </c>
      <c r="D124" s="1">
        <v>11</v>
      </c>
      <c r="E124" s="1">
        <v>9</v>
      </c>
      <c r="F124" s="1">
        <v>6</v>
      </c>
      <c r="G124" s="1">
        <v>3</v>
      </c>
      <c r="H124" s="1">
        <v>1</v>
      </c>
      <c r="I124" s="1"/>
      <c r="J124" s="1"/>
      <c r="K124" s="1">
        <v>3</v>
      </c>
      <c r="L124" s="1">
        <v>1</v>
      </c>
      <c r="M124" s="1">
        <v>2</v>
      </c>
      <c r="N124" s="1">
        <v>2</v>
      </c>
      <c r="O124" s="1"/>
      <c r="P124" s="14">
        <f t="shared" si="53"/>
        <v>38</v>
      </c>
      <c r="Q124" t="str">
        <f t="shared" si="47"/>
        <v>Фильтр топливный  Weichai  10000024161000002416119631312238</v>
      </c>
    </row>
    <row r="125" spans="2:17" x14ac:dyDescent="0.3">
      <c r="B125" s="5" t="s">
        <v>73</v>
      </c>
      <c r="C125" s="5" t="s">
        <v>70</v>
      </c>
      <c r="D125" s="1"/>
      <c r="E125" s="1"/>
      <c r="F125" s="1"/>
      <c r="G125" s="1"/>
      <c r="H125" s="1"/>
      <c r="I125" s="1"/>
      <c r="J125" s="1"/>
      <c r="K125" s="1"/>
      <c r="L125" s="1"/>
      <c r="M125" s="1">
        <v>3</v>
      </c>
      <c r="N125" s="1"/>
      <c r="O125" s="1">
        <v>5</v>
      </c>
      <c r="P125" s="14">
        <f t="shared" si="53"/>
        <v>8</v>
      </c>
      <c r="Q125" t="str">
        <f t="shared" si="47"/>
        <v>Фильтр топливный  Weichai  10000024161000002416358</v>
      </c>
    </row>
    <row r="126" spans="2:17" x14ac:dyDescent="0.3">
      <c r="B126" s="5" t="s">
        <v>74</v>
      </c>
      <c r="C126" s="5">
        <v>1009806734</v>
      </c>
      <c r="D126" s="1">
        <v>1</v>
      </c>
      <c r="E126" s="1">
        <v>10</v>
      </c>
      <c r="F126" s="1">
        <v>6</v>
      </c>
      <c r="G126" s="1">
        <v>21</v>
      </c>
      <c r="H126" s="1">
        <v>12</v>
      </c>
      <c r="I126" s="1">
        <v>17</v>
      </c>
      <c r="J126" s="1">
        <v>14</v>
      </c>
      <c r="K126" s="1">
        <v>19</v>
      </c>
      <c r="L126" s="1">
        <v>36</v>
      </c>
      <c r="M126" s="1">
        <v>70</v>
      </c>
      <c r="N126" s="1">
        <v>37</v>
      </c>
      <c r="O126" s="1">
        <v>41</v>
      </c>
      <c r="P126" s="14">
        <f t="shared" si="53"/>
        <v>284</v>
      </c>
      <c r="Q126" t="str">
        <f t="shared" si="47"/>
        <v>Фильтр топливный 100980673410098067341106211217141936703741284</v>
      </c>
    </row>
    <row r="127" spans="2:17" x14ac:dyDescent="0.3">
      <c r="B127" s="5" t="s">
        <v>75</v>
      </c>
      <c r="C127" s="5" t="s">
        <v>76</v>
      </c>
      <c r="D127" s="1"/>
      <c r="E127" s="1"/>
      <c r="F127" s="1">
        <v>3</v>
      </c>
      <c r="G127" s="1">
        <v>1</v>
      </c>
      <c r="H127" s="1">
        <v>6</v>
      </c>
      <c r="I127" s="1">
        <v>2</v>
      </c>
      <c r="J127" s="1"/>
      <c r="K127" s="1">
        <v>1</v>
      </c>
      <c r="L127" s="1">
        <v>3</v>
      </c>
      <c r="M127" s="1">
        <v>3</v>
      </c>
      <c r="N127" s="1"/>
      <c r="O127" s="1">
        <v>1</v>
      </c>
      <c r="P127" s="14">
        <f t="shared" si="53"/>
        <v>20</v>
      </c>
      <c r="Q127" t="str">
        <f t="shared" si="47"/>
        <v>Фильтрующий элемент очистки топливаDIFA61533162133120</v>
      </c>
    </row>
    <row r="128" spans="2:17" x14ac:dyDescent="0.3">
      <c r="B128" s="5" t="s">
        <v>16</v>
      </c>
      <c r="C128" s="5"/>
      <c r="D128" s="1">
        <f t="shared" ref="D128:O128" si="54">SUM(D118:D127)</f>
        <v>21</v>
      </c>
      <c r="E128" s="1">
        <f t="shared" si="54"/>
        <v>30</v>
      </c>
      <c r="F128" s="1">
        <f t="shared" si="54"/>
        <v>28</v>
      </c>
      <c r="G128" s="1">
        <f t="shared" si="54"/>
        <v>48</v>
      </c>
      <c r="H128" s="1">
        <f t="shared" si="54"/>
        <v>56</v>
      </c>
      <c r="I128" s="1">
        <f t="shared" si="54"/>
        <v>42</v>
      </c>
      <c r="J128" s="1">
        <f t="shared" si="54"/>
        <v>52</v>
      </c>
      <c r="K128" s="1">
        <f t="shared" si="54"/>
        <v>78</v>
      </c>
      <c r="L128" s="1">
        <f t="shared" si="54"/>
        <v>62</v>
      </c>
      <c r="M128" s="1">
        <f t="shared" si="54"/>
        <v>108</v>
      </c>
      <c r="N128" s="1">
        <f t="shared" si="54"/>
        <v>76</v>
      </c>
      <c r="O128" s="1">
        <f t="shared" si="54"/>
        <v>80</v>
      </c>
      <c r="P128" s="14">
        <f t="shared" ref="P128" si="55">SUM(D128:O128)</f>
        <v>681</v>
      </c>
      <c r="Q128" t="str">
        <f t="shared" ref="Q128:Q151" si="56">_xlfn.CONCAT(B128,C128,D128,E128,F128,G128,H128,I128,J128,K128,L128,M128,N128,O128,P128)</f>
        <v>Итог СПИСАНИЕ2130284856425278621087680681</v>
      </c>
    </row>
    <row r="129" spans="2:17" x14ac:dyDescent="0.3">
      <c r="B129" s="6" t="s">
        <v>14</v>
      </c>
      <c r="C129" s="6"/>
      <c r="D129" s="2">
        <f t="shared" ref="D129:P129" si="57">D128+D116</f>
        <v>96</v>
      </c>
      <c r="E129" s="2">
        <f t="shared" si="57"/>
        <v>69</v>
      </c>
      <c r="F129" s="2">
        <f t="shared" si="57"/>
        <v>86</v>
      </c>
      <c r="G129" s="2">
        <f t="shared" si="57"/>
        <v>106</v>
      </c>
      <c r="H129" s="2">
        <f t="shared" si="57"/>
        <v>97</v>
      </c>
      <c r="I129" s="2">
        <f t="shared" si="57"/>
        <v>85</v>
      </c>
      <c r="J129" s="2">
        <f t="shared" si="57"/>
        <v>94</v>
      </c>
      <c r="K129" s="2">
        <f t="shared" si="57"/>
        <v>125</v>
      </c>
      <c r="L129" s="2">
        <f t="shared" si="57"/>
        <v>93</v>
      </c>
      <c r="M129" s="2">
        <f t="shared" si="57"/>
        <v>132</v>
      </c>
      <c r="N129" s="2">
        <f t="shared" si="57"/>
        <v>131</v>
      </c>
      <c r="O129" s="2">
        <f t="shared" si="57"/>
        <v>140</v>
      </c>
      <c r="P129" s="15">
        <f t="shared" si="57"/>
        <v>1254</v>
      </c>
      <c r="Q129" t="str">
        <f t="shared" si="56"/>
        <v>Общий итог966986106978594125931321311401254</v>
      </c>
    </row>
    <row r="130" spans="2:17" x14ac:dyDescent="0.3">
      <c r="Q130" t="str">
        <f t="shared" si="56"/>
        <v/>
      </c>
    </row>
    <row r="131" spans="2:17" x14ac:dyDescent="0.3">
      <c r="Q131" t="str">
        <f t="shared" si="56"/>
        <v/>
      </c>
    </row>
    <row r="132" spans="2:17" x14ac:dyDescent="0.3">
      <c r="B132" s="7" t="s">
        <v>77</v>
      </c>
      <c r="Q132" t="str">
        <f t="shared" si="56"/>
        <v>1010601542</v>
      </c>
    </row>
    <row r="133" spans="2:17" x14ac:dyDescent="0.3">
      <c r="B133" s="11" t="s">
        <v>17</v>
      </c>
      <c r="C133" s="11" t="s">
        <v>0</v>
      </c>
      <c r="D133" s="12" t="s">
        <v>2</v>
      </c>
      <c r="E133" s="12" t="s">
        <v>3</v>
      </c>
      <c r="F133" s="12" t="s">
        <v>13</v>
      </c>
      <c r="G133" s="12" t="s">
        <v>4</v>
      </c>
      <c r="H133" s="12" t="s">
        <v>5</v>
      </c>
      <c r="I133" s="12" t="s">
        <v>6</v>
      </c>
      <c r="J133" s="12" t="s">
        <v>7</v>
      </c>
      <c r="K133" s="12" t="s">
        <v>8</v>
      </c>
      <c r="L133" s="12" t="s">
        <v>9</v>
      </c>
      <c r="M133" s="12" t="s">
        <v>10</v>
      </c>
      <c r="N133" s="12" t="s">
        <v>11</v>
      </c>
      <c r="O133" s="12" t="s">
        <v>12</v>
      </c>
      <c r="P133" s="14" t="s">
        <v>1</v>
      </c>
      <c r="Q133" t="str">
        <f t="shared" si="56"/>
        <v>НоменклатураАртикулЯнварь  Февраль  МартАпрель  Май  Июнь  Июль  Август  Сентябрь  Октябрь  Ноябрь  Декабрь  Итог</v>
      </c>
    </row>
    <row r="134" spans="2:17" x14ac:dyDescent="0.3">
      <c r="B134" s="5" t="s">
        <v>80</v>
      </c>
      <c r="C134" s="5" t="s">
        <v>78</v>
      </c>
      <c r="D134" s="1"/>
      <c r="E134" s="1"/>
      <c r="F134" s="1"/>
      <c r="G134" s="1"/>
      <c r="H134" s="1"/>
      <c r="I134" s="1"/>
      <c r="J134" s="1"/>
      <c r="K134" s="1">
        <v>20</v>
      </c>
      <c r="L134" s="1">
        <v>8</v>
      </c>
      <c r="M134" s="1">
        <v>35</v>
      </c>
      <c r="N134" s="1">
        <v>2</v>
      </c>
      <c r="O134" s="1">
        <v>3</v>
      </c>
      <c r="P134" s="14">
        <f t="shared" ref="P134:P140" si="58">SUM(D134:O134)</f>
        <v>68</v>
      </c>
      <c r="Q134" t="str">
        <f t="shared" si="56"/>
        <v>Фильтр топливный 1010601542Z20140023208352368</v>
      </c>
    </row>
    <row r="135" spans="2:17" x14ac:dyDescent="0.3">
      <c r="B135" s="5" t="s">
        <v>80</v>
      </c>
      <c r="C135" s="5" t="s">
        <v>78</v>
      </c>
      <c r="D135" s="1">
        <v>5</v>
      </c>
      <c r="E135" s="1">
        <v>3</v>
      </c>
      <c r="F135" s="1">
        <v>2</v>
      </c>
      <c r="G135" s="1">
        <v>1</v>
      </c>
      <c r="H135" s="1">
        <v>1</v>
      </c>
      <c r="I135" s="1"/>
      <c r="J135" s="1"/>
      <c r="K135" s="1">
        <v>2</v>
      </c>
      <c r="L135" s="1">
        <v>1</v>
      </c>
      <c r="M135" s="1"/>
      <c r="N135" s="1"/>
      <c r="O135" s="1"/>
      <c r="P135" s="14">
        <f t="shared" si="58"/>
        <v>15</v>
      </c>
      <c r="Q135" t="str">
        <f t="shared" si="56"/>
        <v>Фильтр топливный 1010601542Z20140023532112115</v>
      </c>
    </row>
    <row r="136" spans="2:17" x14ac:dyDescent="0.3">
      <c r="B136" s="5" t="s">
        <v>81</v>
      </c>
      <c r="C136" s="5">
        <v>24095328101</v>
      </c>
      <c r="D136" s="1"/>
      <c r="E136" s="1">
        <v>1</v>
      </c>
      <c r="F136" s="1">
        <v>11</v>
      </c>
      <c r="G136" s="1"/>
      <c r="H136" s="1"/>
      <c r="I136" s="1"/>
      <c r="J136" s="1"/>
      <c r="K136" s="1"/>
      <c r="L136" s="1"/>
      <c r="M136" s="1">
        <v>1</v>
      </c>
      <c r="N136" s="1"/>
      <c r="O136" s="1"/>
      <c r="P136" s="14">
        <f t="shared" si="58"/>
        <v>13</v>
      </c>
      <c r="Q136" t="str">
        <f t="shared" si="56"/>
        <v>Фильтр топливный 2409532810124095328101111113</v>
      </c>
    </row>
    <row r="137" spans="2:17" x14ac:dyDescent="0.3">
      <c r="B137" s="5" t="s">
        <v>84</v>
      </c>
      <c r="C137" s="5" t="s">
        <v>79</v>
      </c>
      <c r="D137" s="1"/>
      <c r="E137" s="1"/>
      <c r="F137" s="1"/>
      <c r="G137" s="1"/>
      <c r="H137" s="1"/>
      <c r="I137" s="1">
        <v>51</v>
      </c>
      <c r="J137" s="1">
        <v>19</v>
      </c>
      <c r="K137" s="1"/>
      <c r="L137" s="1"/>
      <c r="M137" s="1"/>
      <c r="N137" s="1"/>
      <c r="O137" s="1"/>
      <c r="P137" s="14">
        <f t="shared" si="58"/>
        <v>70</v>
      </c>
      <c r="Q137" t="str">
        <f t="shared" si="56"/>
        <v>Фильтр топливный ST20160ST20160511970</v>
      </c>
    </row>
    <row r="138" spans="2:17" x14ac:dyDescent="0.3">
      <c r="B138" s="5" t="s">
        <v>84</v>
      </c>
      <c r="C138" s="5" t="s">
        <v>79</v>
      </c>
      <c r="D138" s="1"/>
      <c r="E138" s="1">
        <v>6</v>
      </c>
      <c r="F138" s="1">
        <v>23</v>
      </c>
      <c r="G138" s="1">
        <v>41</v>
      </c>
      <c r="H138" s="1">
        <v>1</v>
      </c>
      <c r="I138" s="1">
        <v>5</v>
      </c>
      <c r="J138" s="1">
        <v>11</v>
      </c>
      <c r="K138" s="1">
        <v>2</v>
      </c>
      <c r="L138" s="1"/>
      <c r="M138" s="1">
        <v>1</v>
      </c>
      <c r="N138" s="1">
        <v>3</v>
      </c>
      <c r="O138" s="1"/>
      <c r="P138" s="14">
        <f t="shared" si="58"/>
        <v>93</v>
      </c>
      <c r="Q138" t="str">
        <f t="shared" si="56"/>
        <v>Фильтр топливный ST20160ST2016062341151121393</v>
      </c>
    </row>
    <row r="139" spans="2:17" x14ac:dyDescent="0.3">
      <c r="B139" s="5" t="s">
        <v>85</v>
      </c>
      <c r="C139" s="5" t="s">
        <v>78</v>
      </c>
      <c r="D139" s="1">
        <v>1</v>
      </c>
      <c r="E139" s="1">
        <v>31</v>
      </c>
      <c r="F139" s="1">
        <v>51</v>
      </c>
      <c r="G139" s="1">
        <v>3</v>
      </c>
      <c r="H139" s="1">
        <v>5</v>
      </c>
      <c r="I139" s="1">
        <v>4</v>
      </c>
      <c r="J139" s="1">
        <v>8</v>
      </c>
      <c r="K139" s="1">
        <v>5</v>
      </c>
      <c r="L139" s="1">
        <v>9</v>
      </c>
      <c r="M139" s="1"/>
      <c r="N139" s="1">
        <v>4</v>
      </c>
      <c r="O139" s="1">
        <v>2</v>
      </c>
      <c r="P139" s="14">
        <f t="shared" si="58"/>
        <v>123</v>
      </c>
      <c r="Q139" t="str">
        <f t="shared" si="56"/>
        <v>Фильтр топливный Z20140023Z201400231315135485942123</v>
      </c>
    </row>
    <row r="140" spans="2:17" x14ac:dyDescent="0.3">
      <c r="B140" s="5" t="s">
        <v>15</v>
      </c>
      <c r="C140" s="5"/>
      <c r="D140" s="1">
        <f t="shared" ref="D140:O140" si="59">SUM(D134:D139)</f>
        <v>6</v>
      </c>
      <c r="E140" s="1">
        <f t="shared" si="59"/>
        <v>41</v>
      </c>
      <c r="F140" s="1">
        <f t="shared" si="59"/>
        <v>87</v>
      </c>
      <c r="G140" s="1">
        <f t="shared" si="59"/>
        <v>45</v>
      </c>
      <c r="H140" s="1">
        <f t="shared" si="59"/>
        <v>7</v>
      </c>
      <c r="I140" s="1">
        <f t="shared" si="59"/>
        <v>60</v>
      </c>
      <c r="J140" s="1">
        <f t="shared" si="59"/>
        <v>38</v>
      </c>
      <c r="K140" s="1">
        <f t="shared" si="59"/>
        <v>29</v>
      </c>
      <c r="L140" s="1">
        <f t="shared" si="59"/>
        <v>18</v>
      </c>
      <c r="M140" s="1">
        <f t="shared" si="59"/>
        <v>37</v>
      </c>
      <c r="N140" s="1">
        <f t="shared" si="59"/>
        <v>9</v>
      </c>
      <c r="O140" s="1">
        <f t="shared" si="59"/>
        <v>5</v>
      </c>
      <c r="P140" s="14">
        <f t="shared" si="58"/>
        <v>382</v>
      </c>
      <c r="Q140" t="str">
        <f t="shared" si="56"/>
        <v>Итог ПРОДАЖА64187457603829183795382</v>
      </c>
    </row>
    <row r="141" spans="2:17" x14ac:dyDescent="0.3">
      <c r="B141" s="11" t="s">
        <v>17</v>
      </c>
      <c r="C141" s="11" t="s">
        <v>0</v>
      </c>
      <c r="D141" s="13" t="s">
        <v>2</v>
      </c>
      <c r="E141" s="13" t="s">
        <v>3</v>
      </c>
      <c r="F141" s="13" t="s">
        <v>13</v>
      </c>
      <c r="G141" s="13" t="s">
        <v>4</v>
      </c>
      <c r="H141" s="13" t="s">
        <v>5</v>
      </c>
      <c r="I141" s="13" t="s">
        <v>6</v>
      </c>
      <c r="J141" s="13" t="s">
        <v>7</v>
      </c>
      <c r="K141" s="13" t="s">
        <v>8</v>
      </c>
      <c r="L141" s="13" t="s">
        <v>9</v>
      </c>
      <c r="M141" s="13" t="s">
        <v>10</v>
      </c>
      <c r="N141" s="13" t="s">
        <v>11</v>
      </c>
      <c r="O141" s="13" t="s">
        <v>12</v>
      </c>
      <c r="P141" s="12"/>
      <c r="Q141" t="str">
        <f t="shared" si="56"/>
        <v xml:space="preserve">НоменклатураАртикулЯнварь  Февраль  МартАпрель  Май  Июнь  Июль  Август  Сентябрь  Октябрь  Ноябрь  Декабрь  </v>
      </c>
    </row>
    <row r="142" spans="2:17" x14ac:dyDescent="0.3">
      <c r="B142" s="5" t="s">
        <v>80</v>
      </c>
      <c r="C142" s="10" t="s">
        <v>78</v>
      </c>
      <c r="D142" s="1"/>
      <c r="E142" s="1"/>
      <c r="F142" s="1"/>
      <c r="G142" s="1"/>
      <c r="H142" s="1"/>
      <c r="I142" s="1"/>
      <c r="J142" s="1"/>
      <c r="K142" s="1">
        <v>5</v>
      </c>
      <c r="L142" s="1">
        <v>24</v>
      </c>
      <c r="M142" s="1">
        <v>58</v>
      </c>
      <c r="N142" s="1">
        <v>40</v>
      </c>
      <c r="O142" s="1">
        <v>49</v>
      </c>
      <c r="P142" s="14">
        <f>SUM(D142:O142)</f>
        <v>176</v>
      </c>
      <c r="Q142" t="str">
        <f t="shared" si="56"/>
        <v>Фильтр топливный 1010601542Z20140023524584049176</v>
      </c>
    </row>
    <row r="143" spans="2:17" x14ac:dyDescent="0.3">
      <c r="B143" s="5" t="s">
        <v>80</v>
      </c>
      <c r="C143" s="5" t="s">
        <v>78</v>
      </c>
      <c r="D143" s="1"/>
      <c r="E143" s="1">
        <v>1</v>
      </c>
      <c r="F143" s="1">
        <v>3</v>
      </c>
      <c r="G143" s="1">
        <v>3</v>
      </c>
      <c r="H143" s="1"/>
      <c r="I143" s="1"/>
      <c r="J143" s="1">
        <v>2</v>
      </c>
      <c r="K143" s="1"/>
      <c r="L143" s="1">
        <v>2</v>
      </c>
      <c r="M143" s="1"/>
      <c r="N143" s="1">
        <v>3</v>
      </c>
      <c r="O143" s="1">
        <v>2</v>
      </c>
      <c r="P143" s="14">
        <f t="shared" ref="P143:P152" si="60">SUM(D143:O143)</f>
        <v>16</v>
      </c>
      <c r="Q143" t="str">
        <f t="shared" si="56"/>
        <v>Фильтр топливный 1010601542Z20140023133223216</v>
      </c>
    </row>
    <row r="144" spans="2:17" x14ac:dyDescent="0.3">
      <c r="B144" s="5" t="s">
        <v>81</v>
      </c>
      <c r="C144" s="5">
        <v>24095328101</v>
      </c>
      <c r="D144" s="1"/>
      <c r="E144" s="1">
        <v>1</v>
      </c>
      <c r="F144" s="1">
        <v>1</v>
      </c>
      <c r="G144" s="1"/>
      <c r="H144" s="1">
        <v>3</v>
      </c>
      <c r="I144" s="1"/>
      <c r="J144" s="1">
        <v>4</v>
      </c>
      <c r="K144" s="1"/>
      <c r="L144" s="1"/>
      <c r="M144" s="1"/>
      <c r="N144" s="1"/>
      <c r="O144" s="1">
        <v>1</v>
      </c>
      <c r="P144" s="14">
        <f t="shared" si="60"/>
        <v>10</v>
      </c>
      <c r="Q144" t="str">
        <f t="shared" si="56"/>
        <v>Фильтр топливный 24095328101240953281011134110</v>
      </c>
    </row>
    <row r="145" spans="2:17" x14ac:dyDescent="0.3">
      <c r="B145" s="5" t="s">
        <v>82</v>
      </c>
      <c r="C145" s="5" t="s">
        <v>86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>
        <v>1</v>
      </c>
      <c r="O145" s="1"/>
      <c r="P145" s="14">
        <f t="shared" si="60"/>
        <v>1</v>
      </c>
      <c r="Q145" t="str">
        <f t="shared" si="56"/>
        <v>Фильтр топливный FF5485FF548511</v>
      </c>
    </row>
    <row r="146" spans="2:17" x14ac:dyDescent="0.3">
      <c r="B146" s="5" t="s">
        <v>83</v>
      </c>
      <c r="C146" s="5" t="s">
        <v>87</v>
      </c>
      <c r="D146" s="1"/>
      <c r="E146" s="1"/>
      <c r="F146" s="1"/>
      <c r="G146" s="1">
        <v>6</v>
      </c>
      <c r="H146" s="1">
        <v>1</v>
      </c>
      <c r="I146" s="1">
        <v>2</v>
      </c>
      <c r="J146" s="1"/>
      <c r="K146" s="1">
        <v>3</v>
      </c>
      <c r="L146" s="1">
        <v>4</v>
      </c>
      <c r="M146" s="1">
        <v>3</v>
      </c>
      <c r="N146" s="1">
        <v>1</v>
      </c>
      <c r="O146" s="1"/>
      <c r="P146" s="14">
        <f t="shared" si="60"/>
        <v>20</v>
      </c>
      <c r="Q146" t="str">
        <f t="shared" si="56"/>
        <v>Фильтр топливный SFC7945002SFC7945002612343120</v>
      </c>
    </row>
    <row r="147" spans="2:17" x14ac:dyDescent="0.3">
      <c r="B147" s="5" t="s">
        <v>84</v>
      </c>
      <c r="C147" s="5" t="s">
        <v>79</v>
      </c>
      <c r="D147" s="1"/>
      <c r="E147" s="1"/>
      <c r="F147" s="1"/>
      <c r="G147" s="1"/>
      <c r="H147" s="1"/>
      <c r="I147" s="1"/>
      <c r="J147" s="1"/>
      <c r="K147" s="1">
        <v>1</v>
      </c>
      <c r="L147" s="1">
        <v>1</v>
      </c>
      <c r="M147" s="1">
        <v>1</v>
      </c>
      <c r="N147" s="1"/>
      <c r="O147" s="1">
        <v>4</v>
      </c>
      <c r="P147" s="14">
        <f t="shared" si="60"/>
        <v>7</v>
      </c>
      <c r="Q147" t="str">
        <f t="shared" si="56"/>
        <v>Фильтр топливный ST20160ST2016011147</v>
      </c>
    </row>
    <row r="148" spans="2:17" x14ac:dyDescent="0.3">
      <c r="B148" s="5" t="s">
        <v>84</v>
      </c>
      <c r="C148" s="5" t="s">
        <v>79</v>
      </c>
      <c r="D148" s="1"/>
      <c r="E148" s="1"/>
      <c r="F148" s="1"/>
      <c r="G148" s="1"/>
      <c r="H148" s="1"/>
      <c r="I148" s="1"/>
      <c r="J148" s="1"/>
      <c r="K148" s="1">
        <v>1</v>
      </c>
      <c r="L148" s="1">
        <v>4</v>
      </c>
      <c r="M148" s="1"/>
      <c r="N148" s="1">
        <v>1</v>
      </c>
      <c r="O148" s="1"/>
      <c r="P148" s="14">
        <f t="shared" si="60"/>
        <v>6</v>
      </c>
      <c r="Q148" t="str">
        <f t="shared" si="56"/>
        <v>Фильтр топливный ST20160ST201601416</v>
      </c>
    </row>
    <row r="149" spans="2:17" x14ac:dyDescent="0.3">
      <c r="B149" s="5" t="s">
        <v>84</v>
      </c>
      <c r="C149" s="5" t="s">
        <v>79</v>
      </c>
      <c r="D149" s="1"/>
      <c r="E149" s="1"/>
      <c r="F149" s="1"/>
      <c r="G149" s="1">
        <v>4</v>
      </c>
      <c r="H149" s="1">
        <v>6</v>
      </c>
      <c r="I149" s="1">
        <v>4</v>
      </c>
      <c r="J149" s="1">
        <v>15</v>
      </c>
      <c r="K149" s="1">
        <v>4</v>
      </c>
      <c r="L149" s="1">
        <v>5</v>
      </c>
      <c r="M149" s="1"/>
      <c r="N149" s="1">
        <v>1</v>
      </c>
      <c r="O149" s="1">
        <v>3</v>
      </c>
      <c r="P149" s="14">
        <f t="shared" si="60"/>
        <v>42</v>
      </c>
      <c r="Q149" t="str">
        <f t="shared" si="56"/>
        <v>Фильтр топливный ST20160ST2016046415451342</v>
      </c>
    </row>
    <row r="150" spans="2:17" x14ac:dyDescent="0.3">
      <c r="B150" s="5" t="s">
        <v>85</v>
      </c>
      <c r="C150" s="5" t="s">
        <v>78</v>
      </c>
      <c r="D150" s="1">
        <v>2</v>
      </c>
      <c r="E150" s="1">
        <v>3</v>
      </c>
      <c r="F150" s="1">
        <v>8</v>
      </c>
      <c r="G150" s="1"/>
      <c r="H150" s="1">
        <v>6</v>
      </c>
      <c r="I150" s="1">
        <v>9</v>
      </c>
      <c r="J150" s="1">
        <v>6</v>
      </c>
      <c r="K150" s="1">
        <v>1</v>
      </c>
      <c r="L150" s="1">
        <v>4</v>
      </c>
      <c r="M150" s="1">
        <v>4</v>
      </c>
      <c r="N150" s="1">
        <v>4</v>
      </c>
      <c r="O150" s="1">
        <v>3</v>
      </c>
      <c r="P150" s="14">
        <f t="shared" si="60"/>
        <v>50</v>
      </c>
      <c r="Q150" t="str">
        <f t="shared" si="56"/>
        <v>Фильтр топливный Z20140023Z201400232386961444350</v>
      </c>
    </row>
    <row r="151" spans="2:17" x14ac:dyDescent="0.3">
      <c r="B151" s="5" t="s">
        <v>85</v>
      </c>
      <c r="C151" s="5" t="s">
        <v>88</v>
      </c>
      <c r="D151" s="1"/>
      <c r="E151" s="1"/>
      <c r="F151" s="1"/>
      <c r="G151" s="1"/>
      <c r="H151" s="1"/>
      <c r="I151" s="1"/>
      <c r="J151" s="1"/>
      <c r="K151" s="1"/>
      <c r="L151" s="1">
        <v>1</v>
      </c>
      <c r="M151" s="1"/>
      <c r="N151" s="1"/>
      <c r="O151" s="1"/>
      <c r="P151" s="14">
        <f t="shared" si="60"/>
        <v>1</v>
      </c>
      <c r="Q151" t="str">
        <f t="shared" si="56"/>
        <v>Фильтр топливный Z20140023CC-5214X11</v>
      </c>
    </row>
    <row r="152" spans="2:17" x14ac:dyDescent="0.3">
      <c r="B152" s="5" t="s">
        <v>16</v>
      </c>
      <c r="C152" s="5"/>
      <c r="D152" s="1">
        <f t="shared" ref="D152:O152" si="61">SUM(D142:D151)</f>
        <v>2</v>
      </c>
      <c r="E152" s="1">
        <f t="shared" si="61"/>
        <v>5</v>
      </c>
      <c r="F152" s="1">
        <f t="shared" si="61"/>
        <v>12</v>
      </c>
      <c r="G152" s="1">
        <f t="shared" si="61"/>
        <v>13</v>
      </c>
      <c r="H152" s="1">
        <f t="shared" si="61"/>
        <v>16</v>
      </c>
      <c r="I152" s="1">
        <f t="shared" si="61"/>
        <v>15</v>
      </c>
      <c r="J152" s="1">
        <f t="shared" si="61"/>
        <v>27</v>
      </c>
      <c r="K152" s="1">
        <f t="shared" si="61"/>
        <v>15</v>
      </c>
      <c r="L152" s="1">
        <f t="shared" si="61"/>
        <v>45</v>
      </c>
      <c r="M152" s="1">
        <f t="shared" si="61"/>
        <v>66</v>
      </c>
      <c r="N152" s="1">
        <f t="shared" si="61"/>
        <v>51</v>
      </c>
      <c r="O152" s="1">
        <f t="shared" si="61"/>
        <v>62</v>
      </c>
      <c r="P152" s="14">
        <f t="shared" si="60"/>
        <v>329</v>
      </c>
      <c r="Q152" t="str">
        <f t="shared" ref="Q152:Q153" si="62">_xlfn.CONCAT(B152,C152,D152,E152,F152,G152,H152,I152,J152,K152,L152,M152,N152,O152,P152)</f>
        <v>Итог СПИСАНИЕ2512131615271545665162329</v>
      </c>
    </row>
    <row r="153" spans="2:17" x14ac:dyDescent="0.3">
      <c r="B153" s="6" t="s">
        <v>14</v>
      </c>
      <c r="C153" s="6"/>
      <c r="D153" s="2">
        <f t="shared" ref="D153:P153" si="63">D152+D140</f>
        <v>8</v>
      </c>
      <c r="E153" s="2">
        <f t="shared" si="63"/>
        <v>46</v>
      </c>
      <c r="F153" s="2">
        <f t="shared" si="63"/>
        <v>99</v>
      </c>
      <c r="G153" s="2">
        <f t="shared" si="63"/>
        <v>58</v>
      </c>
      <c r="H153" s="2">
        <f t="shared" si="63"/>
        <v>23</v>
      </c>
      <c r="I153" s="2">
        <f t="shared" si="63"/>
        <v>75</v>
      </c>
      <c r="J153" s="2">
        <f t="shared" si="63"/>
        <v>65</v>
      </c>
      <c r="K153" s="2">
        <f t="shared" si="63"/>
        <v>44</v>
      </c>
      <c r="L153" s="2">
        <f t="shared" si="63"/>
        <v>63</v>
      </c>
      <c r="M153" s="2">
        <f t="shared" si="63"/>
        <v>103</v>
      </c>
      <c r="N153" s="2">
        <f t="shared" si="63"/>
        <v>60</v>
      </c>
      <c r="O153" s="2">
        <f t="shared" si="63"/>
        <v>67</v>
      </c>
      <c r="P153" s="15">
        <f t="shared" si="63"/>
        <v>711</v>
      </c>
      <c r="Q153" t="str">
        <f t="shared" si="62"/>
        <v>Общий итог846995823756544631036067711</v>
      </c>
    </row>
    <row r="154" spans="2:17" x14ac:dyDescent="0.3">
      <c r="Q154" t="str">
        <f t="shared" si="47"/>
        <v/>
      </c>
    </row>
    <row r="155" spans="2:17" x14ac:dyDescent="0.3">
      <c r="Q155" t="str">
        <f t="shared" si="47"/>
        <v/>
      </c>
    </row>
    <row r="156" spans="2:17" x14ac:dyDescent="0.3">
      <c r="B156" s="7" t="s">
        <v>91</v>
      </c>
      <c r="Q156" t="str">
        <f t="shared" si="47"/>
        <v>1009806741</v>
      </c>
    </row>
    <row r="157" spans="2:17" x14ac:dyDescent="0.3">
      <c r="B157" s="11" t="s">
        <v>17</v>
      </c>
      <c r="C157" s="11" t="s">
        <v>0</v>
      </c>
      <c r="D157" s="12" t="s">
        <v>2</v>
      </c>
      <c r="E157" s="12" t="s">
        <v>3</v>
      </c>
      <c r="F157" s="12" t="s">
        <v>13</v>
      </c>
      <c r="G157" s="12" t="s">
        <v>4</v>
      </c>
      <c r="H157" s="12" t="s">
        <v>5</v>
      </c>
      <c r="I157" s="12" t="s">
        <v>6</v>
      </c>
      <c r="J157" s="12" t="s">
        <v>7</v>
      </c>
      <c r="K157" s="12" t="s">
        <v>8</v>
      </c>
      <c r="L157" s="12" t="s">
        <v>9</v>
      </c>
      <c r="M157" s="12" t="s">
        <v>10</v>
      </c>
      <c r="N157" s="12" t="s">
        <v>11</v>
      </c>
      <c r="O157" s="12" t="s">
        <v>12</v>
      </c>
      <c r="P157" s="14" t="s">
        <v>1</v>
      </c>
      <c r="Q157" t="str">
        <f t="shared" si="47"/>
        <v>НоменклатураАртикулЯнварь  Февраль  МартАпрель  Май  Июнь  Июль  Август  Сентябрь  Октябрь  Ноябрь  Декабрь  Итог</v>
      </c>
    </row>
    <row r="158" spans="2:17" x14ac:dyDescent="0.3">
      <c r="B158" s="5" t="s">
        <v>92</v>
      </c>
      <c r="C158" s="5">
        <v>1000491060</v>
      </c>
      <c r="D158" s="1">
        <v>6</v>
      </c>
      <c r="E158" s="1">
        <v>54</v>
      </c>
      <c r="F158" s="1">
        <v>69</v>
      </c>
      <c r="G158" s="1">
        <v>1</v>
      </c>
      <c r="H158" s="1"/>
      <c r="I158" s="1">
        <v>53</v>
      </c>
      <c r="J158" s="1">
        <v>35</v>
      </c>
      <c r="K158" s="1">
        <v>6</v>
      </c>
      <c r="L158" s="1">
        <v>5</v>
      </c>
      <c r="M158" s="1">
        <v>5</v>
      </c>
      <c r="N158" s="1">
        <v>7</v>
      </c>
      <c r="O158" s="1">
        <v>6</v>
      </c>
      <c r="P158" s="14">
        <f>SUM(D158:O158)</f>
        <v>247</v>
      </c>
      <c r="Q158" t="str">
        <f t="shared" si="47"/>
        <v>Фильтр масляный 10004910601000491060654691533565576247</v>
      </c>
    </row>
    <row r="159" spans="2:17" x14ac:dyDescent="0.3">
      <c r="B159" s="5" t="s">
        <v>92</v>
      </c>
      <c r="C159" s="5">
        <v>1000491060</v>
      </c>
      <c r="D159" s="1"/>
      <c r="E159" s="1"/>
      <c r="F159" s="1"/>
      <c r="G159" s="1">
        <v>1</v>
      </c>
      <c r="H159" s="1">
        <v>3</v>
      </c>
      <c r="I159" s="1">
        <v>2</v>
      </c>
      <c r="J159" s="1">
        <v>2</v>
      </c>
      <c r="K159" s="1">
        <v>3</v>
      </c>
      <c r="L159" s="1">
        <v>2</v>
      </c>
      <c r="M159" s="1"/>
      <c r="N159" s="1"/>
      <c r="O159" s="1"/>
      <c r="P159" s="14">
        <f t="shared" ref="P159:P161" si="64">SUM(D159:O159)</f>
        <v>13</v>
      </c>
      <c r="Q159" t="str">
        <f t="shared" ref="Q159:Q161" si="65">_xlfn.CONCAT(B159,C159,D159,E159,F159,G159,H159,I159,J159,K159,L159,M159,N159,O159,P159)</f>
        <v>Фильтр масляный 1000491060100049106013223213</v>
      </c>
    </row>
    <row r="160" spans="2:17" x14ac:dyDescent="0.3">
      <c r="B160" s="5" t="s">
        <v>92</v>
      </c>
      <c r="C160" s="5" t="s">
        <v>89</v>
      </c>
      <c r="D160" s="1"/>
      <c r="E160" s="1"/>
      <c r="F160" s="1">
        <v>1</v>
      </c>
      <c r="G160" s="1">
        <v>18</v>
      </c>
      <c r="H160" s="1">
        <v>1</v>
      </c>
      <c r="I160" s="1">
        <v>1</v>
      </c>
      <c r="J160" s="1"/>
      <c r="K160" s="1">
        <v>1</v>
      </c>
      <c r="L160" s="1"/>
      <c r="M160" s="1"/>
      <c r="N160" s="1"/>
      <c r="O160" s="1"/>
      <c r="P160" s="14">
        <f t="shared" si="64"/>
        <v>22</v>
      </c>
      <c r="Q160" t="str">
        <f t="shared" si="65"/>
        <v>Фильтр масляный 1000491060CJ-134211811122</v>
      </c>
    </row>
    <row r="161" spans="2:17" x14ac:dyDescent="0.3">
      <c r="B161" s="5" t="s">
        <v>93</v>
      </c>
      <c r="C161" s="5" t="s">
        <v>90</v>
      </c>
      <c r="D161" s="1"/>
      <c r="E161" s="1"/>
      <c r="F161" s="1">
        <v>1</v>
      </c>
      <c r="G161" s="1"/>
      <c r="H161" s="1"/>
      <c r="I161" s="1"/>
      <c r="J161" s="1"/>
      <c r="K161" s="1">
        <v>20</v>
      </c>
      <c r="L161" s="1">
        <v>9</v>
      </c>
      <c r="M161" s="1">
        <v>20</v>
      </c>
      <c r="N161" s="1">
        <v>2</v>
      </c>
      <c r="O161" s="1">
        <v>2</v>
      </c>
      <c r="P161" s="14">
        <f t="shared" si="64"/>
        <v>54</v>
      </c>
      <c r="Q161" t="str">
        <f t="shared" si="65"/>
        <v>Фильтр масляный 10098067411000491060A1209202254</v>
      </c>
    </row>
    <row r="162" spans="2:17" x14ac:dyDescent="0.3">
      <c r="B162" s="5" t="s">
        <v>93</v>
      </c>
      <c r="C162" s="5" t="s">
        <v>90</v>
      </c>
      <c r="D162" s="1">
        <v>4</v>
      </c>
      <c r="E162" s="1">
        <v>7</v>
      </c>
      <c r="F162" s="1">
        <v>17</v>
      </c>
      <c r="G162" s="1">
        <v>11</v>
      </c>
      <c r="H162" s="1">
        <v>11</v>
      </c>
      <c r="I162" s="1">
        <v>1</v>
      </c>
      <c r="J162" s="1">
        <v>1</v>
      </c>
      <c r="K162" s="1"/>
      <c r="L162" s="1"/>
      <c r="M162" s="1"/>
      <c r="N162" s="1"/>
      <c r="O162" s="1"/>
      <c r="P162" s="14">
        <f>SUM(D162:O162)</f>
        <v>52</v>
      </c>
      <c r="Q162" t="str">
        <f t="shared" si="47"/>
        <v>Фильтр масляный 10098067411000491060A471711111152</v>
      </c>
    </row>
    <row r="163" spans="2:17" x14ac:dyDescent="0.3">
      <c r="B163" s="5" t="s">
        <v>15</v>
      </c>
      <c r="C163" s="5"/>
      <c r="D163" s="1">
        <f t="shared" ref="D163:O163" si="66">SUM(D158:D162)</f>
        <v>10</v>
      </c>
      <c r="E163" s="1">
        <f t="shared" si="66"/>
        <v>61</v>
      </c>
      <c r="F163" s="1">
        <f t="shared" si="66"/>
        <v>88</v>
      </c>
      <c r="G163" s="1">
        <f t="shared" si="66"/>
        <v>31</v>
      </c>
      <c r="H163" s="1">
        <f t="shared" si="66"/>
        <v>15</v>
      </c>
      <c r="I163" s="1">
        <f t="shared" si="66"/>
        <v>57</v>
      </c>
      <c r="J163" s="1">
        <f t="shared" si="66"/>
        <v>38</v>
      </c>
      <c r="K163" s="1">
        <f t="shared" si="66"/>
        <v>30</v>
      </c>
      <c r="L163" s="1">
        <f t="shared" si="66"/>
        <v>16</v>
      </c>
      <c r="M163" s="1">
        <f t="shared" si="66"/>
        <v>25</v>
      </c>
      <c r="N163" s="1">
        <f t="shared" si="66"/>
        <v>9</v>
      </c>
      <c r="O163" s="1">
        <f t="shared" si="66"/>
        <v>8</v>
      </c>
      <c r="P163" s="14">
        <f t="shared" ref="P163" si="67">SUM(D163:O163)</f>
        <v>388</v>
      </c>
      <c r="Q163" t="str">
        <f t="shared" si="47"/>
        <v>Итог ПРОДАЖА1061883115573830162598388</v>
      </c>
    </row>
    <row r="164" spans="2:17" x14ac:dyDescent="0.3">
      <c r="B164" s="11" t="s">
        <v>17</v>
      </c>
      <c r="C164" s="11" t="s">
        <v>0</v>
      </c>
      <c r="D164" s="13" t="s">
        <v>2</v>
      </c>
      <c r="E164" s="13" t="s">
        <v>3</v>
      </c>
      <c r="F164" s="13" t="s">
        <v>13</v>
      </c>
      <c r="G164" s="13" t="s">
        <v>4</v>
      </c>
      <c r="H164" s="13" t="s">
        <v>5</v>
      </c>
      <c r="I164" s="13" t="s">
        <v>6</v>
      </c>
      <c r="J164" s="13" t="s">
        <v>7</v>
      </c>
      <c r="K164" s="13" t="s">
        <v>8</v>
      </c>
      <c r="L164" s="13" t="s">
        <v>9</v>
      </c>
      <c r="M164" s="13" t="s">
        <v>10</v>
      </c>
      <c r="N164" s="13" t="s">
        <v>11</v>
      </c>
      <c r="O164" s="13" t="s">
        <v>12</v>
      </c>
      <c r="P164" s="12"/>
      <c r="Q164" t="str">
        <f t="shared" si="47"/>
        <v xml:space="preserve">НоменклатураАртикулЯнварь  Февраль  МартАпрель  Май  Июнь  Июль  Август  Сентябрь  Октябрь  Ноябрь  Декабрь  </v>
      </c>
    </row>
    <row r="165" spans="2:17" x14ac:dyDescent="0.3">
      <c r="B165" s="5" t="s">
        <v>92</v>
      </c>
      <c r="C165" s="10">
        <v>1000491060</v>
      </c>
      <c r="D165" s="1">
        <v>2</v>
      </c>
      <c r="E165" s="1">
        <v>1</v>
      </c>
      <c r="F165" s="1">
        <v>2</v>
      </c>
      <c r="G165" s="1">
        <v>4</v>
      </c>
      <c r="H165" s="1">
        <v>7</v>
      </c>
      <c r="I165" s="1">
        <v>1</v>
      </c>
      <c r="J165" s="1">
        <v>8</v>
      </c>
      <c r="K165" s="1">
        <v>29</v>
      </c>
      <c r="L165" s="1">
        <v>3</v>
      </c>
      <c r="M165" s="1"/>
      <c r="N165" s="1">
        <v>3</v>
      </c>
      <c r="O165" s="1">
        <v>2</v>
      </c>
      <c r="P165" s="14">
        <f>SUM(D165:O165)</f>
        <v>62</v>
      </c>
      <c r="Q165" t="str">
        <f t="shared" si="47"/>
        <v>Фильтр масляный 1000491060100049106021247182933262</v>
      </c>
    </row>
    <row r="166" spans="2:17" x14ac:dyDescent="0.3">
      <c r="B166" s="5" t="s">
        <v>92</v>
      </c>
      <c r="C166" s="5">
        <v>1000491060</v>
      </c>
      <c r="D166" s="1">
        <v>1</v>
      </c>
      <c r="E166" s="1">
        <v>2</v>
      </c>
      <c r="F166" s="1">
        <v>3</v>
      </c>
      <c r="G166" s="1">
        <v>4</v>
      </c>
      <c r="H166" s="1">
        <v>6</v>
      </c>
      <c r="I166" s="1">
        <v>1</v>
      </c>
      <c r="J166" s="1"/>
      <c r="K166" s="1"/>
      <c r="L166" s="1"/>
      <c r="M166" s="1">
        <v>2</v>
      </c>
      <c r="N166" s="1"/>
      <c r="O166" s="1"/>
      <c r="P166" s="14">
        <f t="shared" ref="P166:P171" si="68">SUM(D166:O166)</f>
        <v>19</v>
      </c>
      <c r="Q166" t="str">
        <f t="shared" si="47"/>
        <v>Фильтр масляный 10004910601000491060123461219</v>
      </c>
    </row>
    <row r="167" spans="2:17" x14ac:dyDescent="0.3">
      <c r="B167" s="5" t="s">
        <v>92</v>
      </c>
      <c r="C167" s="5" t="s">
        <v>89</v>
      </c>
      <c r="D167" s="1"/>
      <c r="E167" s="1"/>
      <c r="F167" s="1"/>
      <c r="G167" s="1"/>
      <c r="H167" s="1"/>
      <c r="I167" s="1">
        <v>10</v>
      </c>
      <c r="J167" s="1">
        <v>12</v>
      </c>
      <c r="K167" s="1">
        <v>3</v>
      </c>
      <c r="L167" s="1">
        <v>6</v>
      </c>
      <c r="M167" s="1">
        <v>5</v>
      </c>
      <c r="N167" s="1">
        <v>2</v>
      </c>
      <c r="O167" s="1">
        <v>4</v>
      </c>
      <c r="P167" s="14">
        <f t="shared" si="68"/>
        <v>42</v>
      </c>
      <c r="Q167" t="str">
        <f t="shared" si="47"/>
        <v>Фильтр масляный 1000491060CJ-134210123652442</v>
      </c>
    </row>
    <row r="168" spans="2:17" x14ac:dyDescent="0.3">
      <c r="B168" s="5" t="s">
        <v>93</v>
      </c>
      <c r="C168" s="5" t="s">
        <v>90</v>
      </c>
      <c r="D168" s="1">
        <v>2</v>
      </c>
      <c r="E168" s="1"/>
      <c r="F168" s="1">
        <v>5</v>
      </c>
      <c r="G168" s="1">
        <v>1</v>
      </c>
      <c r="H168" s="1">
        <v>1</v>
      </c>
      <c r="I168" s="1"/>
      <c r="J168" s="1"/>
      <c r="K168" s="1">
        <v>2</v>
      </c>
      <c r="L168" s="1">
        <v>26</v>
      </c>
      <c r="M168" s="1">
        <v>53</v>
      </c>
      <c r="N168" s="1">
        <v>43</v>
      </c>
      <c r="O168" s="1">
        <v>56</v>
      </c>
      <c r="P168" s="14">
        <f t="shared" si="68"/>
        <v>189</v>
      </c>
      <c r="Q168" t="str">
        <f t="shared" si="47"/>
        <v>Фильтр масляный 10098067411000491060A2511226534356189</v>
      </c>
    </row>
    <row r="169" spans="2:17" x14ac:dyDescent="0.3">
      <c r="B169" s="5" t="s">
        <v>93</v>
      </c>
      <c r="C169" s="5" t="s">
        <v>90</v>
      </c>
      <c r="D169" s="1">
        <v>3</v>
      </c>
      <c r="E169" s="1">
        <v>5</v>
      </c>
      <c r="F169" s="1">
        <v>11</v>
      </c>
      <c r="G169" s="1">
        <v>3</v>
      </c>
      <c r="H169" s="1">
        <v>10</v>
      </c>
      <c r="I169" s="1">
        <v>3</v>
      </c>
      <c r="J169" s="1">
        <v>12</v>
      </c>
      <c r="K169" s="1">
        <v>8</v>
      </c>
      <c r="L169" s="1">
        <v>6</v>
      </c>
      <c r="M169" s="1">
        <v>3</v>
      </c>
      <c r="N169" s="1"/>
      <c r="O169" s="1">
        <v>5</v>
      </c>
      <c r="P169" s="14">
        <f t="shared" si="68"/>
        <v>69</v>
      </c>
      <c r="Q169" t="str">
        <f t="shared" ref="Q169:Q171" si="69">_xlfn.CONCAT(B169,C169,D169,E169,F169,G169,H169,I169,J169,K169,L169,M169,N169,O169,P169)</f>
        <v>Фильтр масляный 10098067411000491060A3511310312863569</v>
      </c>
    </row>
    <row r="170" spans="2:17" x14ac:dyDescent="0.3">
      <c r="B170" s="5" t="s">
        <v>94</v>
      </c>
      <c r="C170" s="5">
        <v>4110015194173</v>
      </c>
      <c r="D170" s="1"/>
      <c r="E170" s="1"/>
      <c r="F170" s="1"/>
      <c r="G170" s="1">
        <v>6</v>
      </c>
      <c r="H170" s="1">
        <v>2</v>
      </c>
      <c r="I170" s="1">
        <v>2</v>
      </c>
      <c r="J170" s="1"/>
      <c r="K170" s="1"/>
      <c r="L170" s="1">
        <v>4</v>
      </c>
      <c r="M170" s="1">
        <v>2</v>
      </c>
      <c r="N170" s="1">
        <v>2</v>
      </c>
      <c r="O170" s="1">
        <v>2</v>
      </c>
      <c r="P170" s="14">
        <f t="shared" si="68"/>
        <v>20</v>
      </c>
      <c r="Q170" t="str">
        <f t="shared" si="69"/>
        <v>Фильтр масляный 41100151941734110015194173622422220</v>
      </c>
    </row>
    <row r="171" spans="2:17" x14ac:dyDescent="0.3">
      <c r="B171" s="5" t="s">
        <v>95</v>
      </c>
      <c r="C171" s="5" t="s">
        <v>97</v>
      </c>
      <c r="D171" s="1"/>
      <c r="E171" s="1"/>
      <c r="F171" s="1"/>
      <c r="G171" s="1"/>
      <c r="H171" s="1"/>
      <c r="I171" s="1"/>
      <c r="J171" s="1"/>
      <c r="K171" s="1"/>
      <c r="L171" s="1"/>
      <c r="M171" s="1">
        <v>5</v>
      </c>
      <c r="N171" s="1"/>
      <c r="O171" s="1"/>
      <c r="P171" s="14">
        <f t="shared" si="68"/>
        <v>5</v>
      </c>
      <c r="Q171" t="str">
        <f t="shared" si="69"/>
        <v>Фильтр масляный M5502/LF17356M550255</v>
      </c>
    </row>
    <row r="172" spans="2:17" x14ac:dyDescent="0.3">
      <c r="B172" s="5" t="s">
        <v>96</v>
      </c>
      <c r="C172" s="5" t="s">
        <v>98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4</v>
      </c>
      <c r="P172" s="14">
        <f t="shared" ref="P172" si="70">SUM(D172:O172)</f>
        <v>4</v>
      </c>
      <c r="Q172" t="str">
        <f t="shared" ref="Q172" si="71">_xlfn.CONCAT(B172,C172,D172,E172,F172,G172,H172,I172,J172,K172,L172,M172,N172,O172,P172)</f>
        <v>Фильтр масляный WP4.1WP4.144</v>
      </c>
    </row>
    <row r="173" spans="2:17" x14ac:dyDescent="0.3">
      <c r="B173" s="5" t="s">
        <v>16</v>
      </c>
      <c r="C173" s="5"/>
      <c r="D173" s="1">
        <f t="shared" ref="D173:O173" si="72">SUM(D165:D172)</f>
        <v>8</v>
      </c>
      <c r="E173" s="1">
        <f t="shared" si="72"/>
        <v>8</v>
      </c>
      <c r="F173" s="1">
        <f t="shared" si="72"/>
        <v>21</v>
      </c>
      <c r="G173" s="1">
        <f t="shared" si="72"/>
        <v>18</v>
      </c>
      <c r="H173" s="1">
        <f t="shared" si="72"/>
        <v>26</v>
      </c>
      <c r="I173" s="1">
        <f t="shared" si="72"/>
        <v>17</v>
      </c>
      <c r="J173" s="1">
        <f t="shared" si="72"/>
        <v>32</v>
      </c>
      <c r="K173" s="1">
        <f t="shared" si="72"/>
        <v>42</v>
      </c>
      <c r="L173" s="1">
        <f t="shared" si="72"/>
        <v>45</v>
      </c>
      <c r="M173" s="1">
        <f t="shared" si="72"/>
        <v>70</v>
      </c>
      <c r="N173" s="1">
        <f t="shared" si="72"/>
        <v>50</v>
      </c>
      <c r="O173" s="1">
        <f t="shared" si="72"/>
        <v>73</v>
      </c>
      <c r="P173" s="14">
        <f t="shared" ref="P173" si="73">SUM(D173:O173)</f>
        <v>410</v>
      </c>
      <c r="Q173" t="str">
        <f t="shared" si="47"/>
        <v>Итог СПИСАНИЕ8821182617324245705073410</v>
      </c>
    </row>
    <row r="174" spans="2:17" x14ac:dyDescent="0.3">
      <c r="B174" s="6" t="s">
        <v>14</v>
      </c>
      <c r="C174" s="6"/>
      <c r="D174" s="2">
        <f t="shared" ref="D174:P174" si="74">D173+D163</f>
        <v>18</v>
      </c>
      <c r="E174" s="2">
        <f t="shared" si="74"/>
        <v>69</v>
      </c>
      <c r="F174" s="2">
        <f t="shared" si="74"/>
        <v>109</v>
      </c>
      <c r="G174" s="2">
        <f t="shared" si="74"/>
        <v>49</v>
      </c>
      <c r="H174" s="2">
        <f t="shared" si="74"/>
        <v>41</v>
      </c>
      <c r="I174" s="2">
        <f t="shared" si="74"/>
        <v>74</v>
      </c>
      <c r="J174" s="2">
        <f t="shared" si="74"/>
        <v>70</v>
      </c>
      <c r="K174" s="2">
        <f t="shared" si="74"/>
        <v>72</v>
      </c>
      <c r="L174" s="2">
        <f t="shared" si="74"/>
        <v>61</v>
      </c>
      <c r="M174" s="2">
        <f t="shared" si="74"/>
        <v>95</v>
      </c>
      <c r="N174" s="2">
        <f t="shared" si="74"/>
        <v>59</v>
      </c>
      <c r="O174" s="2">
        <f t="shared" si="74"/>
        <v>81</v>
      </c>
      <c r="P174" s="15">
        <f t="shared" si="74"/>
        <v>798</v>
      </c>
      <c r="Q174" t="str">
        <f t="shared" si="47"/>
        <v>Общий итог1869109494174707261955981798</v>
      </c>
    </row>
    <row r="175" spans="2:17" x14ac:dyDescent="0.3">
      <c r="Q175" t="str">
        <f t="shared" si="47"/>
        <v/>
      </c>
    </row>
    <row r="176" spans="2:17" x14ac:dyDescent="0.3">
      <c r="Q176" t="str">
        <f t="shared" si="47"/>
        <v/>
      </c>
    </row>
    <row r="177" spans="2:17" x14ac:dyDescent="0.3">
      <c r="B177" s="7" t="s">
        <v>99</v>
      </c>
      <c r="Q177" t="str">
        <f t="shared" si="47"/>
        <v>1010600689</v>
      </c>
    </row>
    <row r="178" spans="2:17" x14ac:dyDescent="0.3">
      <c r="B178" s="11" t="s">
        <v>17</v>
      </c>
      <c r="C178" s="11" t="s">
        <v>0</v>
      </c>
      <c r="D178" s="12" t="s">
        <v>2</v>
      </c>
      <c r="E178" s="12" t="s">
        <v>3</v>
      </c>
      <c r="F178" s="12" t="s">
        <v>13</v>
      </c>
      <c r="G178" s="12" t="s">
        <v>4</v>
      </c>
      <c r="H178" s="12" t="s">
        <v>5</v>
      </c>
      <c r="I178" s="12" t="s">
        <v>6</v>
      </c>
      <c r="J178" s="12" t="s">
        <v>7</v>
      </c>
      <c r="K178" s="12" t="s">
        <v>8</v>
      </c>
      <c r="L178" s="12" t="s">
        <v>9</v>
      </c>
      <c r="M178" s="12" t="s">
        <v>10</v>
      </c>
      <c r="N178" s="12" t="s">
        <v>11</v>
      </c>
      <c r="O178" s="12" t="s">
        <v>12</v>
      </c>
      <c r="P178" s="14" t="s">
        <v>1</v>
      </c>
      <c r="Q178" t="str">
        <f t="shared" si="47"/>
        <v>НоменклатураАртикулЯнварь  Февраль  МартАпрель  Май  Июнь  Июль  Август  Сентябрь  Октябрь  Ноябрь  Декабрь  Итог</v>
      </c>
    </row>
    <row r="179" spans="2:17" x14ac:dyDescent="0.3">
      <c r="B179" s="8" t="s">
        <v>211</v>
      </c>
      <c r="C179" s="5" t="s">
        <v>100</v>
      </c>
      <c r="D179" s="1"/>
      <c r="E179" s="1"/>
      <c r="F179" s="1">
        <v>1</v>
      </c>
      <c r="G179" s="1">
        <v>1</v>
      </c>
      <c r="H179" s="1">
        <v>1</v>
      </c>
      <c r="I179" s="1">
        <v>2</v>
      </c>
      <c r="J179" s="1">
        <v>6</v>
      </c>
      <c r="K179" s="1">
        <v>4</v>
      </c>
      <c r="L179" s="1">
        <v>4</v>
      </c>
      <c r="M179" s="1">
        <v>3</v>
      </c>
      <c r="N179" s="1">
        <v>6</v>
      </c>
      <c r="O179" s="1">
        <v>2</v>
      </c>
      <c r="P179" s="14">
        <f t="shared" ref="P179:P183" si="75">SUM(D179:O179)</f>
        <v>30</v>
      </c>
      <c r="Q179" t="str">
        <f t="shared" si="47"/>
        <v>Фильтр топливный PL420 FS36216111264436230</v>
      </c>
    </row>
    <row r="180" spans="2:17" x14ac:dyDescent="0.3">
      <c r="B180" s="5" t="s">
        <v>103</v>
      </c>
      <c r="C180" s="5" t="s">
        <v>101</v>
      </c>
      <c r="D180" s="1"/>
      <c r="E180" s="1"/>
      <c r="F180" s="1"/>
      <c r="G180" s="1"/>
      <c r="H180" s="1"/>
      <c r="I180" s="1"/>
      <c r="J180" s="1"/>
      <c r="K180" s="1"/>
      <c r="L180" s="1"/>
      <c r="M180" s="1">
        <v>3</v>
      </c>
      <c r="N180" s="1">
        <v>1</v>
      </c>
      <c r="O180" s="1">
        <v>3</v>
      </c>
      <c r="P180" s="14">
        <f t="shared" si="75"/>
        <v>7</v>
      </c>
      <c r="Q180" t="str">
        <f t="shared" si="47"/>
        <v>Фильтр топливный грубой очистки 1010600689BC000051973137</v>
      </c>
    </row>
    <row r="181" spans="2:17" x14ac:dyDescent="0.3">
      <c r="B181" s="5" t="s">
        <v>103</v>
      </c>
      <c r="C181" s="5">
        <v>1010600689</v>
      </c>
      <c r="D181" s="1">
        <v>3</v>
      </c>
      <c r="E181" s="1">
        <v>3</v>
      </c>
      <c r="F181" s="1">
        <v>2</v>
      </c>
      <c r="G181" s="1"/>
      <c r="H181" s="1">
        <v>3</v>
      </c>
      <c r="I181" s="1">
        <v>4</v>
      </c>
      <c r="J181" s="1"/>
      <c r="K181" s="1">
        <v>1</v>
      </c>
      <c r="L181" s="1"/>
      <c r="M181" s="1">
        <v>1</v>
      </c>
      <c r="N181" s="1"/>
      <c r="O181" s="1">
        <v>1</v>
      </c>
      <c r="P181" s="14">
        <f t="shared" si="75"/>
        <v>18</v>
      </c>
      <c r="Q181" t="str">
        <f t="shared" si="47"/>
        <v>Фильтр топливный грубой очистки 101060068910106006893323411118</v>
      </c>
    </row>
    <row r="182" spans="2:17" x14ac:dyDescent="0.3">
      <c r="B182" s="5" t="s">
        <v>103</v>
      </c>
      <c r="C182" s="5">
        <v>1010600689</v>
      </c>
      <c r="D182" s="1"/>
      <c r="E182" s="1"/>
      <c r="F182" s="1">
        <v>1</v>
      </c>
      <c r="G182" s="1"/>
      <c r="H182" s="1"/>
      <c r="I182" s="1"/>
      <c r="J182" s="1"/>
      <c r="K182" s="1"/>
      <c r="L182" s="1"/>
      <c r="M182" s="1"/>
      <c r="N182" s="1"/>
      <c r="O182" s="1"/>
      <c r="P182" s="14">
        <f t="shared" si="75"/>
        <v>1</v>
      </c>
      <c r="Q182" t="str">
        <f t="shared" si="47"/>
        <v>Фильтр топливный грубой очистки 1010600689101060068911</v>
      </c>
    </row>
    <row r="183" spans="2:17" x14ac:dyDescent="0.3">
      <c r="B183" s="5" t="s">
        <v>104</v>
      </c>
      <c r="C183" s="5" t="s">
        <v>102</v>
      </c>
      <c r="D183" s="1"/>
      <c r="E183" s="1">
        <v>2</v>
      </c>
      <c r="F183" s="1"/>
      <c r="G183" s="1">
        <v>4</v>
      </c>
      <c r="H183" s="1">
        <v>1</v>
      </c>
      <c r="I183" s="1">
        <v>1</v>
      </c>
      <c r="J183" s="1"/>
      <c r="K183" s="1"/>
      <c r="L183" s="1">
        <v>1</v>
      </c>
      <c r="M183" s="1">
        <v>4</v>
      </c>
      <c r="N183" s="1"/>
      <c r="O183" s="1">
        <v>1</v>
      </c>
      <c r="P183" s="14">
        <f t="shared" si="75"/>
        <v>14</v>
      </c>
      <c r="Q183" t="str">
        <f t="shared" si="47"/>
        <v>Фильтр топливный грубой очистки EKO03329EKO03329241114114</v>
      </c>
    </row>
    <row r="184" spans="2:17" x14ac:dyDescent="0.3">
      <c r="B184" s="5" t="s">
        <v>15</v>
      </c>
      <c r="C184" s="5"/>
      <c r="D184" s="1">
        <f t="shared" ref="D184:O184" si="76">SUM(D179:D183)</f>
        <v>3</v>
      </c>
      <c r="E184" s="1">
        <f t="shared" si="76"/>
        <v>5</v>
      </c>
      <c r="F184" s="1">
        <f t="shared" si="76"/>
        <v>4</v>
      </c>
      <c r="G184" s="1">
        <f t="shared" si="76"/>
        <v>5</v>
      </c>
      <c r="H184" s="1">
        <f t="shared" si="76"/>
        <v>5</v>
      </c>
      <c r="I184" s="1">
        <f t="shared" si="76"/>
        <v>7</v>
      </c>
      <c r="J184" s="1">
        <f t="shared" si="76"/>
        <v>6</v>
      </c>
      <c r="K184" s="1">
        <f t="shared" si="76"/>
        <v>5</v>
      </c>
      <c r="L184" s="1">
        <f t="shared" si="76"/>
        <v>5</v>
      </c>
      <c r="M184" s="1">
        <f t="shared" si="76"/>
        <v>11</v>
      </c>
      <c r="N184" s="1">
        <f t="shared" si="76"/>
        <v>7</v>
      </c>
      <c r="O184" s="1">
        <f t="shared" si="76"/>
        <v>7</v>
      </c>
      <c r="P184" s="14">
        <f t="shared" ref="P184" si="77">SUM(D184:O184)</f>
        <v>70</v>
      </c>
      <c r="Q184" t="str">
        <f t="shared" si="47"/>
        <v>Итог ПРОДАЖА354557655117770</v>
      </c>
    </row>
    <row r="185" spans="2:17" x14ac:dyDescent="0.3">
      <c r="B185" s="11" t="s">
        <v>17</v>
      </c>
      <c r="C185" s="11" t="s">
        <v>0</v>
      </c>
      <c r="D185" s="13" t="s">
        <v>2</v>
      </c>
      <c r="E185" s="13" t="s">
        <v>3</v>
      </c>
      <c r="F185" s="13" t="s">
        <v>13</v>
      </c>
      <c r="G185" s="13" t="s">
        <v>4</v>
      </c>
      <c r="H185" s="13" t="s">
        <v>5</v>
      </c>
      <c r="I185" s="13" t="s">
        <v>6</v>
      </c>
      <c r="J185" s="13" t="s">
        <v>7</v>
      </c>
      <c r="K185" s="13" t="s">
        <v>8</v>
      </c>
      <c r="L185" s="13" t="s">
        <v>9</v>
      </c>
      <c r="M185" s="13" t="s">
        <v>10</v>
      </c>
      <c r="N185" s="13" t="s">
        <v>11</v>
      </c>
      <c r="O185" s="13" t="s">
        <v>12</v>
      </c>
      <c r="P185" s="12"/>
      <c r="Q185" t="str">
        <f t="shared" si="47"/>
        <v xml:space="preserve">НоменклатураАртикулЯнварь  Февраль  МартАпрель  Май  Июнь  Июль  Август  Сентябрь  Октябрь  Ноябрь  Декабрь  </v>
      </c>
    </row>
    <row r="186" spans="2:17" x14ac:dyDescent="0.3">
      <c r="B186" s="5" t="s">
        <v>23</v>
      </c>
      <c r="C186" s="10" t="s">
        <v>100</v>
      </c>
      <c r="D186" s="1"/>
      <c r="E186" s="1"/>
      <c r="F186" s="1"/>
      <c r="G186" s="1"/>
      <c r="H186" s="1"/>
      <c r="I186" s="1"/>
      <c r="J186" s="1">
        <v>1</v>
      </c>
      <c r="K186" s="1"/>
      <c r="L186" s="1"/>
      <c r="M186" s="1"/>
      <c r="N186" s="1"/>
      <c r="O186" s="1"/>
      <c r="P186" s="14">
        <f>SUM(D186:O186)</f>
        <v>1</v>
      </c>
      <c r="Q186" t="str">
        <f t="shared" si="47"/>
        <v>Фильтр топливный PL420FS3621611</v>
      </c>
    </row>
    <row r="187" spans="2:17" x14ac:dyDescent="0.3">
      <c r="B187" s="5" t="s">
        <v>103</v>
      </c>
      <c r="C187" s="5" t="s">
        <v>101</v>
      </c>
      <c r="D187" s="1"/>
      <c r="E187" s="1">
        <v>2</v>
      </c>
      <c r="F187" s="1">
        <v>1</v>
      </c>
      <c r="G187" s="1"/>
      <c r="H187" s="1"/>
      <c r="I187" s="1"/>
      <c r="J187" s="1"/>
      <c r="K187" s="1"/>
      <c r="L187" s="1"/>
      <c r="M187" s="1"/>
      <c r="N187" s="1">
        <v>1</v>
      </c>
      <c r="O187" s="1"/>
      <c r="P187" s="14">
        <f t="shared" ref="P187:P191" si="78">SUM(D187:O187)</f>
        <v>4</v>
      </c>
      <c r="Q187" t="str">
        <f t="shared" si="47"/>
        <v>Фильтр топливный грубой очистки 1010600689BC000051972114</v>
      </c>
    </row>
    <row r="188" spans="2:17" x14ac:dyDescent="0.3">
      <c r="B188" s="5" t="s">
        <v>103</v>
      </c>
      <c r="C188" s="5">
        <v>1010600689</v>
      </c>
      <c r="D188" s="1">
        <v>1</v>
      </c>
      <c r="E188" s="1">
        <v>1</v>
      </c>
      <c r="F188" s="1"/>
      <c r="G188" s="1"/>
      <c r="H188" s="1"/>
      <c r="I188" s="1"/>
      <c r="J188" s="1"/>
      <c r="K188" s="1"/>
      <c r="L188" s="1"/>
      <c r="M188" s="1"/>
      <c r="N188" s="1"/>
      <c r="O188" s="1">
        <v>1</v>
      </c>
      <c r="P188" s="14">
        <f t="shared" si="78"/>
        <v>3</v>
      </c>
      <c r="Q188" t="str">
        <f t="shared" si="47"/>
        <v>Фильтр топливный грубой очистки 101060068910106006891113</v>
      </c>
    </row>
    <row r="189" spans="2:17" x14ac:dyDescent="0.3">
      <c r="B189" s="5" t="s">
        <v>103</v>
      </c>
      <c r="C189" s="5">
        <v>1010600689</v>
      </c>
      <c r="D189" s="1"/>
      <c r="E189" s="1"/>
      <c r="F189" s="1">
        <v>2</v>
      </c>
      <c r="G189" s="1">
        <v>2</v>
      </c>
      <c r="H189" s="1">
        <v>1</v>
      </c>
      <c r="I189" s="1">
        <v>1</v>
      </c>
      <c r="J189" s="1">
        <v>5</v>
      </c>
      <c r="K189" s="1"/>
      <c r="L189" s="1"/>
      <c r="M189" s="1"/>
      <c r="N189" s="1">
        <v>1</v>
      </c>
      <c r="O189" s="1">
        <v>1</v>
      </c>
      <c r="P189" s="14">
        <f t="shared" si="78"/>
        <v>13</v>
      </c>
      <c r="Q189" t="str">
        <f t="shared" si="47"/>
        <v>Фильтр топливный грубой очистки 10106006891010600689221151113</v>
      </c>
    </row>
    <row r="190" spans="2:17" x14ac:dyDescent="0.3">
      <c r="B190" s="5" t="s">
        <v>104</v>
      </c>
      <c r="C190" s="5" t="s">
        <v>102</v>
      </c>
      <c r="D190" s="1"/>
      <c r="E190" s="1"/>
      <c r="F190" s="1"/>
      <c r="G190" s="1"/>
      <c r="H190" s="1"/>
      <c r="I190" s="1"/>
      <c r="J190" s="1">
        <v>2</v>
      </c>
      <c r="K190" s="1"/>
      <c r="L190" s="1">
        <v>3</v>
      </c>
      <c r="M190" s="1">
        <v>1</v>
      </c>
      <c r="N190" s="1"/>
      <c r="O190" s="1"/>
      <c r="P190" s="14">
        <f t="shared" si="78"/>
        <v>6</v>
      </c>
      <c r="Q190" t="str">
        <f t="shared" ref="Q190:Q191" si="79">_xlfn.CONCAT(B190,C190,D190,E190,F190,G190,H190,I190,J190,K190,L190,M190,N190,O190,P190)</f>
        <v>Фильтр топливный грубой очистки EKO03329EKO033292316</v>
      </c>
    </row>
    <row r="191" spans="2:17" x14ac:dyDescent="0.3">
      <c r="B191" s="5" t="s">
        <v>105</v>
      </c>
      <c r="C191" s="5" t="s">
        <v>106</v>
      </c>
      <c r="D191" s="1"/>
      <c r="E191" s="1"/>
      <c r="F191" s="1"/>
      <c r="G191" s="1"/>
      <c r="H191" s="1"/>
      <c r="I191" s="1"/>
      <c r="J191" s="1"/>
      <c r="K191" s="1"/>
      <c r="L191" s="1"/>
      <c r="M191" s="1">
        <v>2</v>
      </c>
      <c r="N191" s="1"/>
      <c r="O191" s="1">
        <v>1</v>
      </c>
      <c r="P191" s="14">
        <f t="shared" si="78"/>
        <v>3</v>
      </c>
      <c r="Q191" t="str">
        <f t="shared" si="79"/>
        <v>Фильтр топливный грубой очистки с колбой QF400420QF400420213</v>
      </c>
    </row>
    <row r="192" spans="2:17" x14ac:dyDescent="0.3">
      <c r="B192" s="5" t="s">
        <v>16</v>
      </c>
      <c r="C192" s="5"/>
      <c r="D192" s="1">
        <f t="shared" ref="D192:O192" si="80">SUM(D186:D191)</f>
        <v>1</v>
      </c>
      <c r="E192" s="1">
        <f t="shared" si="80"/>
        <v>3</v>
      </c>
      <c r="F192" s="1">
        <f t="shared" si="80"/>
        <v>3</v>
      </c>
      <c r="G192" s="1">
        <f t="shared" si="80"/>
        <v>2</v>
      </c>
      <c r="H192" s="1">
        <f t="shared" si="80"/>
        <v>1</v>
      </c>
      <c r="I192" s="1">
        <f t="shared" si="80"/>
        <v>1</v>
      </c>
      <c r="J192" s="1">
        <f t="shared" si="80"/>
        <v>8</v>
      </c>
      <c r="K192" s="1">
        <f t="shared" si="80"/>
        <v>0</v>
      </c>
      <c r="L192" s="1">
        <f t="shared" si="80"/>
        <v>3</v>
      </c>
      <c r="M192" s="1">
        <f t="shared" si="80"/>
        <v>3</v>
      </c>
      <c r="N192" s="1">
        <f t="shared" si="80"/>
        <v>2</v>
      </c>
      <c r="O192" s="1">
        <f t="shared" si="80"/>
        <v>3</v>
      </c>
      <c r="P192" s="14">
        <f t="shared" ref="P192" si="81">SUM(D192:O192)</f>
        <v>30</v>
      </c>
      <c r="Q192" t="str">
        <f t="shared" si="47"/>
        <v>Итог СПИСАНИЕ13321180332330</v>
      </c>
    </row>
    <row r="193" spans="2:17" x14ac:dyDescent="0.3">
      <c r="B193" s="6" t="s">
        <v>14</v>
      </c>
      <c r="C193" s="6"/>
      <c r="D193" s="2">
        <f t="shared" ref="D193:P193" si="82">D192+D184</f>
        <v>4</v>
      </c>
      <c r="E193" s="2">
        <f t="shared" si="82"/>
        <v>8</v>
      </c>
      <c r="F193" s="2">
        <f t="shared" si="82"/>
        <v>7</v>
      </c>
      <c r="G193" s="2">
        <f t="shared" si="82"/>
        <v>7</v>
      </c>
      <c r="H193" s="2">
        <f t="shared" si="82"/>
        <v>6</v>
      </c>
      <c r="I193" s="2">
        <f t="shared" si="82"/>
        <v>8</v>
      </c>
      <c r="J193" s="2">
        <f t="shared" si="82"/>
        <v>14</v>
      </c>
      <c r="K193" s="2">
        <f t="shared" si="82"/>
        <v>5</v>
      </c>
      <c r="L193" s="2">
        <f t="shared" si="82"/>
        <v>8</v>
      </c>
      <c r="M193" s="2">
        <f t="shared" si="82"/>
        <v>14</v>
      </c>
      <c r="N193" s="2">
        <f t="shared" si="82"/>
        <v>9</v>
      </c>
      <c r="O193" s="2">
        <f t="shared" si="82"/>
        <v>10</v>
      </c>
      <c r="P193" s="15">
        <f t="shared" si="82"/>
        <v>100</v>
      </c>
      <c r="Q193" t="str">
        <f t="shared" si="47"/>
        <v>Общий итог487768145814910100</v>
      </c>
    </row>
    <row r="194" spans="2:17" x14ac:dyDescent="0.3">
      <c r="Q194" t="str">
        <f t="shared" si="47"/>
        <v/>
      </c>
    </row>
    <row r="195" spans="2:17" x14ac:dyDescent="0.3">
      <c r="Q195" t="str">
        <f t="shared" si="47"/>
        <v/>
      </c>
    </row>
    <row r="196" spans="2:17" x14ac:dyDescent="0.3">
      <c r="B196" s="7" t="s">
        <v>107</v>
      </c>
      <c r="Q196" t="str">
        <f t="shared" si="47"/>
        <v>1991100323</v>
      </c>
    </row>
    <row r="197" spans="2:17" x14ac:dyDescent="0.3">
      <c r="B197" s="11" t="s">
        <v>17</v>
      </c>
      <c r="C197" s="11" t="s">
        <v>0</v>
      </c>
      <c r="D197" s="12" t="s">
        <v>2</v>
      </c>
      <c r="E197" s="12" t="s">
        <v>3</v>
      </c>
      <c r="F197" s="12" t="s">
        <v>13</v>
      </c>
      <c r="G197" s="12" t="s">
        <v>4</v>
      </c>
      <c r="H197" s="12" t="s">
        <v>5</v>
      </c>
      <c r="I197" s="12" t="s">
        <v>6</v>
      </c>
      <c r="J197" s="12" t="s">
        <v>7</v>
      </c>
      <c r="K197" s="12" t="s">
        <v>8</v>
      </c>
      <c r="L197" s="12" t="s">
        <v>9</v>
      </c>
      <c r="M197" s="12" t="s">
        <v>10</v>
      </c>
      <c r="N197" s="12" t="s">
        <v>11</v>
      </c>
      <c r="O197" s="12" t="s">
        <v>12</v>
      </c>
      <c r="P197" s="14" t="s">
        <v>1</v>
      </c>
      <c r="Q197" t="str">
        <f t="shared" si="47"/>
        <v>НоменклатураАртикулЯнварь  Февраль  МартАпрель  Май  Июнь  Июль  Август  Сентябрь  Октябрь  Ноябрь  Декабрь  Итог</v>
      </c>
    </row>
    <row r="198" spans="2:17" x14ac:dyDescent="0.3">
      <c r="B198" s="8" t="s">
        <v>111</v>
      </c>
      <c r="C198" s="5" t="s">
        <v>108</v>
      </c>
      <c r="D198" s="1"/>
      <c r="E198" s="1">
        <v>4</v>
      </c>
      <c r="F198" s="1">
        <v>5</v>
      </c>
      <c r="G198" s="1">
        <v>4</v>
      </c>
      <c r="H198" s="1">
        <v>3</v>
      </c>
      <c r="I198" s="1">
        <v>3</v>
      </c>
      <c r="J198" s="1"/>
      <c r="K198" s="1">
        <v>2</v>
      </c>
      <c r="L198" s="1">
        <v>1</v>
      </c>
      <c r="M198" s="1">
        <v>4</v>
      </c>
      <c r="N198" s="1">
        <v>4</v>
      </c>
      <c r="O198" s="1">
        <v>11</v>
      </c>
      <c r="P198" s="14">
        <f t="shared" ref="P198:P201" si="83">SUM(D198:O198)</f>
        <v>41</v>
      </c>
      <c r="Q198" t="str">
        <f t="shared" si="47"/>
        <v>Фильтр масляный 199110032315208-01B004543321441141</v>
      </c>
    </row>
    <row r="199" spans="2:17" x14ac:dyDescent="0.3">
      <c r="B199" s="5" t="s">
        <v>212</v>
      </c>
      <c r="C199" s="5" t="s">
        <v>109</v>
      </c>
      <c r="D199" s="1">
        <v>2</v>
      </c>
      <c r="E199" s="1">
        <v>2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4">
        <f t="shared" ref="P199" si="84">SUM(D199:O199)</f>
        <v>4</v>
      </c>
      <c r="Q199" t="str">
        <f t="shared" ref="Q199" si="85">_xlfn.CONCAT(B199,C199,D199,E199,F199,G199,H199,I199,J199,K199,L199,M199,N199,O199,P199)</f>
        <v>Фильтр масляный HH16432430HH16432430224</v>
      </c>
    </row>
    <row r="200" spans="2:17" x14ac:dyDescent="0.3">
      <c r="B200" s="5" t="s">
        <v>112</v>
      </c>
      <c r="C200" s="5" t="s">
        <v>110</v>
      </c>
      <c r="D200" s="1">
        <v>3</v>
      </c>
      <c r="E200" s="1">
        <v>3</v>
      </c>
      <c r="F200" s="1">
        <v>6</v>
      </c>
      <c r="G200" s="1">
        <v>3</v>
      </c>
      <c r="H200" s="1">
        <v>3</v>
      </c>
      <c r="I200" s="1">
        <v>3</v>
      </c>
      <c r="J200" s="1"/>
      <c r="K200" s="1">
        <v>5</v>
      </c>
      <c r="L200" s="1">
        <v>5</v>
      </c>
      <c r="M200" s="1">
        <v>2</v>
      </c>
      <c r="N200" s="1">
        <v>1</v>
      </c>
      <c r="O200" s="1">
        <v>3</v>
      </c>
      <c r="P200" s="14">
        <f t="shared" si="83"/>
        <v>37</v>
      </c>
      <c r="Q200" t="str">
        <f t="shared" si="47"/>
        <v>Фильтр масляный LS32680LS32680K3363335521337</v>
      </c>
    </row>
    <row r="201" spans="2:17" x14ac:dyDescent="0.3">
      <c r="B201" s="5" t="s">
        <v>15</v>
      </c>
      <c r="C201" s="5"/>
      <c r="D201" s="1">
        <f t="shared" ref="D201:O201" si="86">SUM(D198:D200)</f>
        <v>5</v>
      </c>
      <c r="E201" s="1">
        <f t="shared" si="86"/>
        <v>9</v>
      </c>
      <c r="F201" s="1">
        <f t="shared" si="86"/>
        <v>11</v>
      </c>
      <c r="G201" s="1">
        <f t="shared" si="86"/>
        <v>7</v>
      </c>
      <c r="H201" s="1">
        <f t="shared" si="86"/>
        <v>6</v>
      </c>
      <c r="I201" s="1">
        <f t="shared" si="86"/>
        <v>6</v>
      </c>
      <c r="J201" s="1">
        <f t="shared" si="86"/>
        <v>0</v>
      </c>
      <c r="K201" s="1">
        <f t="shared" si="86"/>
        <v>7</v>
      </c>
      <c r="L201" s="1">
        <f t="shared" si="86"/>
        <v>6</v>
      </c>
      <c r="M201" s="1">
        <f t="shared" si="86"/>
        <v>6</v>
      </c>
      <c r="N201" s="1">
        <f t="shared" si="86"/>
        <v>5</v>
      </c>
      <c r="O201" s="1">
        <f t="shared" si="86"/>
        <v>14</v>
      </c>
      <c r="P201" s="14">
        <f t="shared" si="83"/>
        <v>82</v>
      </c>
      <c r="Q201" t="str">
        <f t="shared" si="47"/>
        <v>Итог ПРОДАЖА5911766076651482</v>
      </c>
    </row>
    <row r="202" spans="2:17" x14ac:dyDescent="0.3">
      <c r="B202" s="11" t="s">
        <v>17</v>
      </c>
      <c r="C202" s="11" t="s">
        <v>0</v>
      </c>
      <c r="D202" s="13" t="s">
        <v>2</v>
      </c>
      <c r="E202" s="13" t="s">
        <v>3</v>
      </c>
      <c r="F202" s="13" t="s">
        <v>13</v>
      </c>
      <c r="G202" s="13" t="s">
        <v>4</v>
      </c>
      <c r="H202" s="13" t="s">
        <v>5</v>
      </c>
      <c r="I202" s="13" t="s">
        <v>6</v>
      </c>
      <c r="J202" s="13" t="s">
        <v>7</v>
      </c>
      <c r="K202" s="13" t="s">
        <v>8</v>
      </c>
      <c r="L202" s="13" t="s">
        <v>9</v>
      </c>
      <c r="M202" s="13" t="s">
        <v>10</v>
      </c>
      <c r="N202" s="13" t="s">
        <v>11</v>
      </c>
      <c r="O202" s="13" t="s">
        <v>12</v>
      </c>
      <c r="P202" s="12"/>
      <c r="Q202" t="str">
        <f t="shared" ref="Q202:Q262" si="87">_xlfn.CONCAT(B202,C202,D202,E202,F202,G202,H202,I202,J202,K202,L202,M202,N202,O202,P202)</f>
        <v xml:space="preserve">НоменклатураАртикулЯнварь  Февраль  МартАпрель  Май  Июнь  Июль  Август  Сентябрь  Октябрь  Ноябрь  Декабрь  </v>
      </c>
    </row>
    <row r="203" spans="2:17" x14ac:dyDescent="0.3">
      <c r="B203" s="5" t="s">
        <v>111</v>
      </c>
      <c r="C203" s="10" t="s">
        <v>108</v>
      </c>
      <c r="D203" s="1"/>
      <c r="E203" s="1">
        <v>2</v>
      </c>
      <c r="F203" s="1">
        <v>2</v>
      </c>
      <c r="G203" s="1">
        <v>4</v>
      </c>
      <c r="H203" s="1">
        <v>2</v>
      </c>
      <c r="I203" s="1">
        <v>1</v>
      </c>
      <c r="J203" s="1">
        <v>4</v>
      </c>
      <c r="K203" s="1">
        <v>1</v>
      </c>
      <c r="L203" s="1">
        <v>2</v>
      </c>
      <c r="M203" s="1">
        <v>5</v>
      </c>
      <c r="N203" s="1">
        <v>2</v>
      </c>
      <c r="O203" s="1">
        <v>2</v>
      </c>
      <c r="P203" s="14">
        <f>SUM(D203:O203)</f>
        <v>27</v>
      </c>
      <c r="Q203" t="str">
        <f t="shared" si="87"/>
        <v>Фильтр масляный 199110032315208-01B002242141252227</v>
      </c>
    </row>
    <row r="204" spans="2:17" x14ac:dyDescent="0.3">
      <c r="B204" s="5" t="s">
        <v>111</v>
      </c>
      <c r="C204" s="5">
        <v>1991100323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</v>
      </c>
      <c r="P204" s="14">
        <f t="shared" ref="P204:P205" si="88">SUM(D204:O204)</f>
        <v>1</v>
      </c>
      <c r="Q204" t="str">
        <f t="shared" si="87"/>
        <v>Фильтр масляный 1991100323199110032311</v>
      </c>
    </row>
    <row r="205" spans="2:17" x14ac:dyDescent="0.3">
      <c r="B205" s="5" t="s">
        <v>112</v>
      </c>
      <c r="C205" s="5" t="s">
        <v>110</v>
      </c>
      <c r="D205" s="1">
        <v>8</v>
      </c>
      <c r="E205" s="1">
        <v>2</v>
      </c>
      <c r="F205" s="1">
        <v>5</v>
      </c>
      <c r="G205" s="1">
        <v>5</v>
      </c>
      <c r="H205" s="1">
        <v>2</v>
      </c>
      <c r="I205" s="1">
        <v>6</v>
      </c>
      <c r="J205" s="1">
        <v>6</v>
      </c>
      <c r="K205" s="1">
        <v>6</v>
      </c>
      <c r="L205" s="1">
        <v>4</v>
      </c>
      <c r="M205" s="1">
        <v>4</v>
      </c>
      <c r="N205" s="1"/>
      <c r="O205" s="1">
        <v>2</v>
      </c>
      <c r="P205" s="14">
        <f t="shared" si="88"/>
        <v>50</v>
      </c>
      <c r="Q205" t="str">
        <f t="shared" si="87"/>
        <v>Фильтр масляный LS32680LS32680K8255266644250</v>
      </c>
    </row>
    <row r="206" spans="2:17" x14ac:dyDescent="0.3">
      <c r="B206" s="5" t="s">
        <v>16</v>
      </c>
      <c r="C206" s="5"/>
      <c r="D206" s="1">
        <f t="shared" ref="D206:O206" si="89">SUM(D203:D205)</f>
        <v>8</v>
      </c>
      <c r="E206" s="1">
        <f t="shared" si="89"/>
        <v>4</v>
      </c>
      <c r="F206" s="1">
        <f t="shared" si="89"/>
        <v>7</v>
      </c>
      <c r="G206" s="1">
        <f t="shared" si="89"/>
        <v>9</v>
      </c>
      <c r="H206" s="1">
        <f t="shared" si="89"/>
        <v>4</v>
      </c>
      <c r="I206" s="1">
        <f t="shared" si="89"/>
        <v>7</v>
      </c>
      <c r="J206" s="1">
        <f t="shared" si="89"/>
        <v>10</v>
      </c>
      <c r="K206" s="1">
        <f t="shared" si="89"/>
        <v>7</v>
      </c>
      <c r="L206" s="1">
        <f t="shared" si="89"/>
        <v>6</v>
      </c>
      <c r="M206" s="1">
        <f t="shared" si="89"/>
        <v>9</v>
      </c>
      <c r="N206" s="1">
        <f t="shared" si="89"/>
        <v>2</v>
      </c>
      <c r="O206" s="1">
        <f t="shared" si="89"/>
        <v>5</v>
      </c>
      <c r="P206" s="14">
        <f t="shared" ref="P206" si="90">SUM(D206:O206)</f>
        <v>78</v>
      </c>
      <c r="Q206" t="str">
        <f t="shared" si="87"/>
        <v>Итог СПИСАНИЕ847947107692578</v>
      </c>
    </row>
    <row r="207" spans="2:17" x14ac:dyDescent="0.3">
      <c r="B207" s="6" t="s">
        <v>14</v>
      </c>
      <c r="C207" s="6"/>
      <c r="D207" s="2">
        <f t="shared" ref="D207:P207" si="91">D206+D201</f>
        <v>13</v>
      </c>
      <c r="E207" s="2">
        <f t="shared" si="91"/>
        <v>13</v>
      </c>
      <c r="F207" s="2">
        <f t="shared" si="91"/>
        <v>18</v>
      </c>
      <c r="G207" s="2">
        <f t="shared" si="91"/>
        <v>16</v>
      </c>
      <c r="H207" s="2">
        <f t="shared" si="91"/>
        <v>10</v>
      </c>
      <c r="I207" s="2">
        <f t="shared" si="91"/>
        <v>13</v>
      </c>
      <c r="J207" s="2">
        <f t="shared" si="91"/>
        <v>10</v>
      </c>
      <c r="K207" s="2">
        <f t="shared" si="91"/>
        <v>14</v>
      </c>
      <c r="L207" s="2">
        <f t="shared" si="91"/>
        <v>12</v>
      </c>
      <c r="M207" s="2">
        <f t="shared" si="91"/>
        <v>15</v>
      </c>
      <c r="N207" s="2">
        <f t="shared" si="91"/>
        <v>7</v>
      </c>
      <c r="O207" s="2">
        <f t="shared" si="91"/>
        <v>19</v>
      </c>
      <c r="P207" s="15">
        <f t="shared" si="91"/>
        <v>160</v>
      </c>
      <c r="Q207" t="str">
        <f t="shared" si="87"/>
        <v>Общий итог13131816101310141215719160</v>
      </c>
    </row>
    <row r="208" spans="2:17" x14ac:dyDescent="0.3">
      <c r="Q208" t="str">
        <f t="shared" si="87"/>
        <v/>
      </c>
    </row>
    <row r="209" spans="2:17" x14ac:dyDescent="0.3">
      <c r="Q209" t="str">
        <f t="shared" si="87"/>
        <v/>
      </c>
    </row>
    <row r="210" spans="2:17" x14ac:dyDescent="0.3">
      <c r="B210" s="7" t="s">
        <v>116</v>
      </c>
      <c r="Q210" t="str">
        <f t="shared" si="87"/>
        <v>1000400196</v>
      </c>
    </row>
    <row r="211" spans="2:17" x14ac:dyDescent="0.3">
      <c r="B211" s="11" t="s">
        <v>17</v>
      </c>
      <c r="C211" s="11" t="s">
        <v>0</v>
      </c>
      <c r="D211" s="12" t="s">
        <v>2</v>
      </c>
      <c r="E211" s="12" t="s">
        <v>3</v>
      </c>
      <c r="F211" s="12" t="s">
        <v>13</v>
      </c>
      <c r="G211" s="12" t="s">
        <v>4</v>
      </c>
      <c r="H211" s="12" t="s">
        <v>5</v>
      </c>
      <c r="I211" s="12" t="s">
        <v>6</v>
      </c>
      <c r="J211" s="12" t="s">
        <v>7</v>
      </c>
      <c r="K211" s="12" t="s">
        <v>8</v>
      </c>
      <c r="L211" s="12" t="s">
        <v>9</v>
      </c>
      <c r="M211" s="12" t="s">
        <v>10</v>
      </c>
      <c r="N211" s="12" t="s">
        <v>11</v>
      </c>
      <c r="O211" s="12" t="s">
        <v>12</v>
      </c>
      <c r="P211" s="14" t="s">
        <v>1</v>
      </c>
      <c r="Q211" t="str">
        <f t="shared" si="87"/>
        <v>НоменклатураАртикулЯнварь  Февраль  МартАпрель  Май  Июнь  Июль  Август  Сентябрь  Октябрь  Ноябрь  Декабрь  Итог</v>
      </c>
    </row>
    <row r="212" spans="2:17" x14ac:dyDescent="0.3">
      <c r="B212" s="8" t="s">
        <v>117</v>
      </c>
      <c r="C212" s="5">
        <v>1000400196</v>
      </c>
      <c r="D212" s="1">
        <v>3</v>
      </c>
      <c r="E212" s="1">
        <v>4</v>
      </c>
      <c r="F212" s="1">
        <v>3</v>
      </c>
      <c r="G212" s="1">
        <v>4</v>
      </c>
      <c r="H212" s="1">
        <v>2</v>
      </c>
      <c r="I212" s="1">
        <v>4</v>
      </c>
      <c r="J212" s="1"/>
      <c r="K212" s="1">
        <v>4</v>
      </c>
      <c r="L212" s="1"/>
      <c r="M212" s="1">
        <v>1</v>
      </c>
      <c r="N212" s="1"/>
      <c r="O212" s="1"/>
      <c r="P212" s="14">
        <f t="shared" ref="P212:P217" si="92">SUM(D212:O212)</f>
        <v>25</v>
      </c>
      <c r="Q212" t="str">
        <f t="shared" si="87"/>
        <v>Фильтр топливный 100040019610004001963434244125</v>
      </c>
    </row>
    <row r="213" spans="2:17" x14ac:dyDescent="0.3">
      <c r="B213" s="5" t="s">
        <v>118</v>
      </c>
      <c r="C213" s="5" t="s">
        <v>113</v>
      </c>
      <c r="D213" s="1">
        <v>6</v>
      </c>
      <c r="E213" s="1">
        <v>7</v>
      </c>
      <c r="F213" s="1">
        <v>9</v>
      </c>
      <c r="G213" s="1">
        <v>6</v>
      </c>
      <c r="H213" s="1">
        <v>4</v>
      </c>
      <c r="I213" s="1">
        <v>5</v>
      </c>
      <c r="J213" s="1">
        <v>1</v>
      </c>
      <c r="K213" s="1">
        <v>6</v>
      </c>
      <c r="L213" s="1">
        <v>2</v>
      </c>
      <c r="M213" s="1">
        <v>4</v>
      </c>
      <c r="N213" s="1">
        <v>3</v>
      </c>
      <c r="O213" s="1">
        <v>1</v>
      </c>
      <c r="P213" s="14">
        <f t="shared" ref="P213:P214" si="93">SUM(D213:O213)</f>
        <v>54</v>
      </c>
      <c r="Q213" t="str">
        <f t="shared" ref="Q213:Q214" si="94">_xlfn.CONCAT(B213,C213,D213,E213,F213,G213,H213,I213,J213,K213,L213,M213,N213,O213,P213)</f>
        <v>Фильтр топливный FK28316KFK28316K67964516243154</v>
      </c>
    </row>
    <row r="214" spans="2:17" x14ac:dyDescent="0.3">
      <c r="B214" s="5" t="s">
        <v>119</v>
      </c>
      <c r="C214" s="5">
        <v>402034</v>
      </c>
      <c r="D214" s="1"/>
      <c r="E214" s="1"/>
      <c r="F214" s="1"/>
      <c r="G214" s="1"/>
      <c r="H214" s="1"/>
      <c r="I214" s="1">
        <v>1</v>
      </c>
      <c r="J214" s="1"/>
      <c r="K214" s="1"/>
      <c r="L214" s="1">
        <v>23</v>
      </c>
      <c r="M214" s="1">
        <v>6</v>
      </c>
      <c r="N214" s="1">
        <v>2</v>
      </c>
      <c r="O214" s="1">
        <v>18</v>
      </c>
      <c r="P214" s="14">
        <f t="shared" si="93"/>
        <v>50</v>
      </c>
      <c r="Q214" t="str">
        <f t="shared" si="94"/>
        <v>Фильтр топливный HH166-43560402034123621850</v>
      </c>
    </row>
    <row r="215" spans="2:17" x14ac:dyDescent="0.3">
      <c r="B215" s="5" t="s">
        <v>213</v>
      </c>
      <c r="C215" s="5" t="s">
        <v>114</v>
      </c>
      <c r="D215" s="1"/>
      <c r="E215" s="1"/>
      <c r="F215" s="1"/>
      <c r="G215" s="1"/>
      <c r="H215" s="1"/>
      <c r="I215" s="1"/>
      <c r="J215" s="1"/>
      <c r="K215" s="1"/>
      <c r="L215" s="1"/>
      <c r="M215" s="1">
        <v>1</v>
      </c>
      <c r="N215" s="1"/>
      <c r="O215" s="1"/>
      <c r="P215" s="14">
        <f t="shared" si="92"/>
        <v>1</v>
      </c>
      <c r="Q215" t="str">
        <f t="shared" si="87"/>
        <v>Фильтр топливный ST20009ST2000911</v>
      </c>
    </row>
    <row r="216" spans="2:17" x14ac:dyDescent="0.3">
      <c r="B216" s="5" t="s">
        <v>214</v>
      </c>
      <c r="C216" s="5" t="s">
        <v>115</v>
      </c>
      <c r="D216" s="1">
        <v>1</v>
      </c>
      <c r="E216" s="1">
        <v>2</v>
      </c>
      <c r="F216" s="1">
        <v>2</v>
      </c>
      <c r="G216" s="1">
        <v>1</v>
      </c>
      <c r="H216" s="1">
        <v>1</v>
      </c>
      <c r="I216" s="1"/>
      <c r="J216" s="1"/>
      <c r="K216" s="1">
        <v>3</v>
      </c>
      <c r="L216" s="1">
        <v>1</v>
      </c>
      <c r="M216" s="1">
        <v>3</v>
      </c>
      <c r="N216" s="1"/>
      <c r="O216" s="1">
        <v>1</v>
      </c>
      <c r="P216" s="14">
        <f t="shared" si="92"/>
        <v>15</v>
      </c>
      <c r="Q216" t="str">
        <f t="shared" si="87"/>
        <v>Фильтр топливный ST21336ST2133612211313115</v>
      </c>
    </row>
    <row r="217" spans="2:17" x14ac:dyDescent="0.3">
      <c r="B217" s="5" t="s">
        <v>15</v>
      </c>
      <c r="C217" s="5"/>
      <c r="D217" s="1">
        <f t="shared" ref="D217:O217" si="95">SUM(D212:D216)</f>
        <v>10</v>
      </c>
      <c r="E217" s="1">
        <f t="shared" si="95"/>
        <v>13</v>
      </c>
      <c r="F217" s="1">
        <f t="shared" si="95"/>
        <v>14</v>
      </c>
      <c r="G217" s="1">
        <f t="shared" si="95"/>
        <v>11</v>
      </c>
      <c r="H217" s="1">
        <f t="shared" si="95"/>
        <v>7</v>
      </c>
      <c r="I217" s="1">
        <f t="shared" si="95"/>
        <v>10</v>
      </c>
      <c r="J217" s="1">
        <f t="shared" si="95"/>
        <v>1</v>
      </c>
      <c r="K217" s="1">
        <f t="shared" si="95"/>
        <v>13</v>
      </c>
      <c r="L217" s="1">
        <f t="shared" si="95"/>
        <v>26</v>
      </c>
      <c r="M217" s="1">
        <f t="shared" si="95"/>
        <v>15</v>
      </c>
      <c r="N217" s="1">
        <f t="shared" si="95"/>
        <v>5</v>
      </c>
      <c r="O217" s="1">
        <f t="shared" si="95"/>
        <v>20</v>
      </c>
      <c r="P217" s="14">
        <f t="shared" si="92"/>
        <v>145</v>
      </c>
      <c r="Q217" t="str">
        <f t="shared" si="87"/>
        <v>Итог ПРОДАЖА101314117101132615520145</v>
      </c>
    </row>
    <row r="218" spans="2:17" x14ac:dyDescent="0.3">
      <c r="B218" s="11" t="s">
        <v>17</v>
      </c>
      <c r="C218" s="11" t="s">
        <v>0</v>
      </c>
      <c r="D218" s="13" t="s">
        <v>2</v>
      </c>
      <c r="E218" s="13" t="s">
        <v>3</v>
      </c>
      <c r="F218" s="13" t="s">
        <v>13</v>
      </c>
      <c r="G218" s="13" t="s">
        <v>4</v>
      </c>
      <c r="H218" s="13" t="s">
        <v>5</v>
      </c>
      <c r="I218" s="13" t="s">
        <v>6</v>
      </c>
      <c r="J218" s="13" t="s">
        <v>7</v>
      </c>
      <c r="K218" s="13" t="s">
        <v>8</v>
      </c>
      <c r="L218" s="13" t="s">
        <v>9</v>
      </c>
      <c r="M218" s="13" t="s">
        <v>10</v>
      </c>
      <c r="N218" s="13" t="s">
        <v>11</v>
      </c>
      <c r="O218" s="13" t="s">
        <v>12</v>
      </c>
      <c r="P218" s="12"/>
      <c r="Q218" t="str">
        <f t="shared" si="87"/>
        <v xml:space="preserve">НоменклатураАртикулЯнварь  Февраль  МартАпрель  Май  Июнь  Июль  Август  Сентябрь  Октябрь  Ноябрь  Декабрь  </v>
      </c>
    </row>
    <row r="219" spans="2:17" x14ac:dyDescent="0.3">
      <c r="B219" s="5" t="s">
        <v>117</v>
      </c>
      <c r="C219" s="10">
        <v>1000400196</v>
      </c>
      <c r="D219" s="1"/>
      <c r="E219" s="1"/>
      <c r="F219" s="1">
        <v>1</v>
      </c>
      <c r="G219" s="1"/>
      <c r="H219" s="1">
        <v>1</v>
      </c>
      <c r="I219" s="1">
        <v>1</v>
      </c>
      <c r="J219" s="1">
        <v>4</v>
      </c>
      <c r="K219" s="1"/>
      <c r="L219" s="1">
        <v>1</v>
      </c>
      <c r="M219" s="1">
        <v>5</v>
      </c>
      <c r="N219" s="1">
        <v>1</v>
      </c>
      <c r="O219" s="1"/>
      <c r="P219" s="14">
        <f>SUM(D219:O219)</f>
        <v>14</v>
      </c>
      <c r="Q219" t="str">
        <f t="shared" si="87"/>
        <v>Фильтр топливный 10004001961000400196111415114</v>
      </c>
    </row>
    <row r="220" spans="2:17" x14ac:dyDescent="0.3">
      <c r="B220" s="5" t="s">
        <v>117</v>
      </c>
      <c r="C220" s="5">
        <v>1000400196</v>
      </c>
      <c r="D220" s="1"/>
      <c r="E220" s="1"/>
      <c r="F220" s="1"/>
      <c r="G220" s="1"/>
      <c r="H220" s="1"/>
      <c r="I220" s="1"/>
      <c r="J220" s="1"/>
      <c r="K220" s="1"/>
      <c r="L220" s="1"/>
      <c r="M220" s="1">
        <v>1</v>
      </c>
      <c r="N220" s="1"/>
      <c r="O220" s="1"/>
      <c r="P220" s="14">
        <f t="shared" ref="P220:P223" si="96">SUM(D220:O220)</f>
        <v>1</v>
      </c>
      <c r="Q220" t="str">
        <f t="shared" si="87"/>
        <v>Фильтр топливный 1000400196100040019611</v>
      </c>
    </row>
    <row r="221" spans="2:17" x14ac:dyDescent="0.3">
      <c r="B221" s="5" t="s">
        <v>118</v>
      </c>
      <c r="C221" s="5" t="s">
        <v>113</v>
      </c>
      <c r="D221" s="1"/>
      <c r="E221" s="1">
        <v>4</v>
      </c>
      <c r="F221" s="1">
        <v>4</v>
      </c>
      <c r="G221" s="1">
        <v>5</v>
      </c>
      <c r="H221" s="1">
        <v>2</v>
      </c>
      <c r="I221" s="1">
        <v>5</v>
      </c>
      <c r="J221" s="1">
        <v>6</v>
      </c>
      <c r="K221" s="1">
        <v>3</v>
      </c>
      <c r="L221" s="1">
        <v>6</v>
      </c>
      <c r="M221" s="1">
        <v>3</v>
      </c>
      <c r="N221" s="1">
        <v>2</v>
      </c>
      <c r="O221" s="1">
        <v>2</v>
      </c>
      <c r="P221" s="14">
        <f t="shared" si="96"/>
        <v>42</v>
      </c>
      <c r="Q221" t="str">
        <f t="shared" si="87"/>
        <v>Фильтр топливный FK28316KFK28316K4452563632242</v>
      </c>
    </row>
    <row r="222" spans="2:17" x14ac:dyDescent="0.3">
      <c r="B222" s="5" t="s">
        <v>119</v>
      </c>
      <c r="C222" s="5">
        <v>402034</v>
      </c>
      <c r="D222" s="1"/>
      <c r="E222" s="1"/>
      <c r="F222" s="1"/>
      <c r="G222" s="1"/>
      <c r="H222" s="1"/>
      <c r="I222" s="1"/>
      <c r="J222" s="1"/>
      <c r="K222" s="1"/>
      <c r="L222" s="1">
        <v>1</v>
      </c>
      <c r="M222" s="1"/>
      <c r="N222" s="1"/>
      <c r="O222" s="1"/>
      <c r="P222" s="14">
        <f t="shared" si="96"/>
        <v>1</v>
      </c>
      <c r="Q222" t="str">
        <f t="shared" si="87"/>
        <v>Фильтр топливный HH166-4356040203411</v>
      </c>
    </row>
    <row r="223" spans="2:17" x14ac:dyDescent="0.3">
      <c r="B223" s="5" t="s">
        <v>120</v>
      </c>
      <c r="C223" s="5" t="s">
        <v>121</v>
      </c>
      <c r="D223" s="1">
        <v>1</v>
      </c>
      <c r="E223" s="1">
        <v>1</v>
      </c>
      <c r="F223" s="1">
        <v>1</v>
      </c>
      <c r="G223" s="1"/>
      <c r="H223" s="1"/>
      <c r="I223" s="1"/>
      <c r="J223" s="1"/>
      <c r="K223" s="1">
        <v>1</v>
      </c>
      <c r="L223" s="1"/>
      <c r="M223" s="1"/>
      <c r="N223" s="1"/>
      <c r="O223" s="1"/>
      <c r="P223" s="14">
        <f t="shared" si="96"/>
        <v>4</v>
      </c>
      <c r="Q223" t="str">
        <f t="shared" si="87"/>
        <v>Фильтр топливный ZP598BFZP598BF11114</v>
      </c>
    </row>
    <row r="224" spans="2:17" x14ac:dyDescent="0.3">
      <c r="B224" s="5" t="s">
        <v>16</v>
      </c>
      <c r="C224" s="5"/>
      <c r="D224" s="1">
        <f t="shared" ref="D224:O224" si="97">SUM(D219:D223)</f>
        <v>1</v>
      </c>
      <c r="E224" s="1">
        <f t="shared" si="97"/>
        <v>5</v>
      </c>
      <c r="F224" s="1">
        <f t="shared" si="97"/>
        <v>6</v>
      </c>
      <c r="G224" s="1">
        <f t="shared" si="97"/>
        <v>5</v>
      </c>
      <c r="H224" s="1">
        <f t="shared" si="97"/>
        <v>3</v>
      </c>
      <c r="I224" s="1">
        <f t="shared" si="97"/>
        <v>6</v>
      </c>
      <c r="J224" s="1">
        <f t="shared" si="97"/>
        <v>10</v>
      </c>
      <c r="K224" s="1">
        <f t="shared" si="97"/>
        <v>4</v>
      </c>
      <c r="L224" s="1">
        <f t="shared" si="97"/>
        <v>8</v>
      </c>
      <c r="M224" s="1">
        <f t="shared" si="97"/>
        <v>9</v>
      </c>
      <c r="N224" s="1">
        <f t="shared" si="97"/>
        <v>3</v>
      </c>
      <c r="O224" s="1">
        <f t="shared" si="97"/>
        <v>2</v>
      </c>
      <c r="P224" s="14">
        <f t="shared" ref="P224" si="98">SUM(D224:O224)</f>
        <v>62</v>
      </c>
      <c r="Q224" t="str">
        <f t="shared" si="87"/>
        <v>Итог СПИСАНИЕ156536104893262</v>
      </c>
    </row>
    <row r="225" spans="2:17" x14ac:dyDescent="0.3">
      <c r="B225" s="6" t="s">
        <v>14</v>
      </c>
      <c r="C225" s="6"/>
      <c r="D225" s="2">
        <f t="shared" ref="D225:P225" si="99">D224+D217</f>
        <v>11</v>
      </c>
      <c r="E225" s="2">
        <f t="shared" si="99"/>
        <v>18</v>
      </c>
      <c r="F225" s="2">
        <f t="shared" si="99"/>
        <v>20</v>
      </c>
      <c r="G225" s="2">
        <f t="shared" si="99"/>
        <v>16</v>
      </c>
      <c r="H225" s="2">
        <f t="shared" si="99"/>
        <v>10</v>
      </c>
      <c r="I225" s="2">
        <f t="shared" si="99"/>
        <v>16</v>
      </c>
      <c r="J225" s="2">
        <f t="shared" si="99"/>
        <v>11</v>
      </c>
      <c r="K225" s="2">
        <f t="shared" si="99"/>
        <v>17</v>
      </c>
      <c r="L225" s="2">
        <f t="shared" si="99"/>
        <v>34</v>
      </c>
      <c r="M225" s="2">
        <f t="shared" si="99"/>
        <v>24</v>
      </c>
      <c r="N225" s="2">
        <f t="shared" si="99"/>
        <v>8</v>
      </c>
      <c r="O225" s="2">
        <f t="shared" si="99"/>
        <v>22</v>
      </c>
      <c r="P225" s="15">
        <f t="shared" si="99"/>
        <v>207</v>
      </c>
      <c r="Q225" t="str">
        <f t="shared" si="87"/>
        <v>Общий итог11182016101611173424822207</v>
      </c>
    </row>
    <row r="226" spans="2:17" x14ac:dyDescent="0.3">
      <c r="Q226" t="str">
        <f t="shared" si="87"/>
        <v/>
      </c>
    </row>
    <row r="227" spans="2:17" x14ac:dyDescent="0.3">
      <c r="Q227" t="str">
        <f t="shared" si="87"/>
        <v/>
      </c>
    </row>
    <row r="228" spans="2:17" x14ac:dyDescent="0.3">
      <c r="B228" s="7" t="s">
        <v>122</v>
      </c>
      <c r="Q228" t="str">
        <f t="shared" si="87"/>
        <v>1009901968</v>
      </c>
    </row>
    <row r="229" spans="2:17" x14ac:dyDescent="0.3">
      <c r="B229" s="11" t="s">
        <v>17</v>
      </c>
      <c r="C229" s="11" t="s">
        <v>0</v>
      </c>
      <c r="D229" s="12" t="s">
        <v>2</v>
      </c>
      <c r="E229" s="12" t="s">
        <v>3</v>
      </c>
      <c r="F229" s="12" t="s">
        <v>13</v>
      </c>
      <c r="G229" s="12" t="s">
        <v>4</v>
      </c>
      <c r="H229" s="12" t="s">
        <v>5</v>
      </c>
      <c r="I229" s="12" t="s">
        <v>6</v>
      </c>
      <c r="J229" s="12" t="s">
        <v>7</v>
      </c>
      <c r="K229" s="12" t="s">
        <v>8</v>
      </c>
      <c r="L229" s="12" t="s">
        <v>9</v>
      </c>
      <c r="M229" s="12" t="s">
        <v>10</v>
      </c>
      <c r="N229" s="12" t="s">
        <v>11</v>
      </c>
      <c r="O229" s="12" t="s">
        <v>12</v>
      </c>
      <c r="P229" s="14" t="s">
        <v>1</v>
      </c>
      <c r="Q229" t="str">
        <f t="shared" si="87"/>
        <v>НоменклатураАртикулЯнварь  Февраль  МартАпрель  Май  Июнь  Июль  Август  Сентябрь  Октябрь  Ноябрь  Декабрь  Итог</v>
      </c>
    </row>
    <row r="230" spans="2:17" x14ac:dyDescent="0.3">
      <c r="B230" s="8" t="s">
        <v>215</v>
      </c>
      <c r="C230" s="5" t="s">
        <v>123</v>
      </c>
      <c r="D230" s="1"/>
      <c r="E230" s="1"/>
      <c r="F230" s="1"/>
      <c r="G230" s="1"/>
      <c r="H230" s="1"/>
      <c r="I230" s="1"/>
      <c r="J230" s="1"/>
      <c r="K230" s="1"/>
      <c r="L230" s="1"/>
      <c r="M230" s="1">
        <v>6</v>
      </c>
      <c r="N230" s="1">
        <v>1</v>
      </c>
      <c r="O230" s="1">
        <v>2</v>
      </c>
      <c r="P230" s="14">
        <f t="shared" ref="P230:P231" si="100">SUM(D230:O230)</f>
        <v>9</v>
      </c>
      <c r="Q230" t="str">
        <f t="shared" si="87"/>
        <v>Фильтр масляный C-7926C-79266129</v>
      </c>
    </row>
    <row r="231" spans="2:17" x14ac:dyDescent="0.3">
      <c r="B231" s="5" t="s">
        <v>15</v>
      </c>
      <c r="C231" s="5"/>
      <c r="D231" s="1">
        <f t="shared" ref="D231:O231" si="101">SUM(D230:D230)</f>
        <v>0</v>
      </c>
      <c r="E231" s="1">
        <f t="shared" si="101"/>
        <v>0</v>
      </c>
      <c r="F231" s="1">
        <f t="shared" si="101"/>
        <v>0</v>
      </c>
      <c r="G231" s="1">
        <f t="shared" si="101"/>
        <v>0</v>
      </c>
      <c r="H231" s="1">
        <f t="shared" si="101"/>
        <v>0</v>
      </c>
      <c r="I231" s="1">
        <f t="shared" si="101"/>
        <v>0</v>
      </c>
      <c r="J231" s="1">
        <f t="shared" si="101"/>
        <v>0</v>
      </c>
      <c r="K231" s="1">
        <f t="shared" si="101"/>
        <v>0</v>
      </c>
      <c r="L231" s="1">
        <f t="shared" si="101"/>
        <v>0</v>
      </c>
      <c r="M231" s="1">
        <f t="shared" si="101"/>
        <v>6</v>
      </c>
      <c r="N231" s="1">
        <f t="shared" si="101"/>
        <v>1</v>
      </c>
      <c r="O231" s="1">
        <f t="shared" si="101"/>
        <v>2</v>
      </c>
      <c r="P231" s="14">
        <f t="shared" si="100"/>
        <v>9</v>
      </c>
      <c r="Q231" t="str">
        <f t="shared" si="87"/>
        <v>Итог ПРОДАЖА0000000006129</v>
      </c>
    </row>
    <row r="232" spans="2:17" x14ac:dyDescent="0.3">
      <c r="B232" s="11" t="s">
        <v>17</v>
      </c>
      <c r="C232" s="11" t="s">
        <v>0</v>
      </c>
      <c r="D232" s="13" t="s">
        <v>2</v>
      </c>
      <c r="E232" s="13" t="s">
        <v>3</v>
      </c>
      <c r="F232" s="13" t="s">
        <v>13</v>
      </c>
      <c r="G232" s="13" t="s">
        <v>4</v>
      </c>
      <c r="H232" s="13" t="s">
        <v>5</v>
      </c>
      <c r="I232" s="13" t="s">
        <v>6</v>
      </c>
      <c r="J232" s="13" t="s">
        <v>7</v>
      </c>
      <c r="K232" s="13" t="s">
        <v>8</v>
      </c>
      <c r="L232" s="13" t="s">
        <v>9</v>
      </c>
      <c r="M232" s="13" t="s">
        <v>10</v>
      </c>
      <c r="N232" s="13" t="s">
        <v>11</v>
      </c>
      <c r="O232" s="13" t="s">
        <v>12</v>
      </c>
      <c r="P232" s="12"/>
      <c r="Q232" t="str">
        <f t="shared" si="87"/>
        <v xml:space="preserve">НоменклатураАртикулЯнварь  Февраль  МартАпрель  Май  Июнь  Июль  Август  Сентябрь  Октябрь  Ноябрь  Декабрь  </v>
      </c>
    </row>
    <row r="233" spans="2:17" x14ac:dyDescent="0.3">
      <c r="B233" s="8" t="s">
        <v>215</v>
      </c>
      <c r="C233" s="5" t="s">
        <v>123</v>
      </c>
      <c r="D233" s="1"/>
      <c r="E233" s="1"/>
      <c r="F233" s="1"/>
      <c r="G233" s="1"/>
      <c r="H233" s="1"/>
      <c r="I233" s="1"/>
      <c r="J233" s="1"/>
      <c r="K233" s="1"/>
      <c r="L233" s="1">
        <v>1</v>
      </c>
      <c r="M233" s="1"/>
      <c r="N233" s="1">
        <v>1</v>
      </c>
      <c r="O233" s="1"/>
      <c r="P233" s="14">
        <f>SUM(D233:O233)</f>
        <v>2</v>
      </c>
      <c r="Q233" t="str">
        <f t="shared" si="87"/>
        <v>Фильтр масляный C-7926C-7926112</v>
      </c>
    </row>
    <row r="234" spans="2:17" x14ac:dyDescent="0.3">
      <c r="B234" s="5" t="s">
        <v>16</v>
      </c>
      <c r="C234" s="5"/>
      <c r="D234" s="1">
        <f t="shared" ref="D234:O234" si="102">SUM(D233:D233)</f>
        <v>0</v>
      </c>
      <c r="E234" s="1">
        <f t="shared" si="102"/>
        <v>0</v>
      </c>
      <c r="F234" s="1">
        <f t="shared" si="102"/>
        <v>0</v>
      </c>
      <c r="G234" s="1">
        <f t="shared" si="102"/>
        <v>0</v>
      </c>
      <c r="H234" s="1">
        <f t="shared" si="102"/>
        <v>0</v>
      </c>
      <c r="I234" s="1">
        <f t="shared" si="102"/>
        <v>0</v>
      </c>
      <c r="J234" s="1">
        <f t="shared" si="102"/>
        <v>0</v>
      </c>
      <c r="K234" s="1">
        <f t="shared" si="102"/>
        <v>0</v>
      </c>
      <c r="L234" s="1">
        <f t="shared" si="102"/>
        <v>1</v>
      </c>
      <c r="M234" s="1">
        <f t="shared" si="102"/>
        <v>0</v>
      </c>
      <c r="N234" s="1">
        <f t="shared" si="102"/>
        <v>1</v>
      </c>
      <c r="O234" s="1">
        <f t="shared" si="102"/>
        <v>0</v>
      </c>
      <c r="P234" s="14">
        <f t="shared" ref="P234" si="103">SUM(D234:O234)</f>
        <v>2</v>
      </c>
      <c r="Q234" t="str">
        <f t="shared" si="87"/>
        <v>Итог СПИСАНИЕ0000000010102</v>
      </c>
    </row>
    <row r="235" spans="2:17" x14ac:dyDescent="0.3">
      <c r="B235" s="6" t="s">
        <v>14</v>
      </c>
      <c r="C235" s="6"/>
      <c r="D235" s="2">
        <f t="shared" ref="D235:P235" si="104">D234+D231</f>
        <v>0</v>
      </c>
      <c r="E235" s="2">
        <f t="shared" si="104"/>
        <v>0</v>
      </c>
      <c r="F235" s="2">
        <f t="shared" si="104"/>
        <v>0</v>
      </c>
      <c r="G235" s="2">
        <f t="shared" si="104"/>
        <v>0</v>
      </c>
      <c r="H235" s="2">
        <f t="shared" si="104"/>
        <v>0</v>
      </c>
      <c r="I235" s="2">
        <f t="shared" si="104"/>
        <v>0</v>
      </c>
      <c r="J235" s="2">
        <f t="shared" si="104"/>
        <v>0</v>
      </c>
      <c r="K235" s="2">
        <f t="shared" si="104"/>
        <v>0</v>
      </c>
      <c r="L235" s="2">
        <f t="shared" si="104"/>
        <v>1</v>
      </c>
      <c r="M235" s="2">
        <f t="shared" si="104"/>
        <v>6</v>
      </c>
      <c r="N235" s="2">
        <f t="shared" si="104"/>
        <v>2</v>
      </c>
      <c r="O235" s="2">
        <f t="shared" si="104"/>
        <v>2</v>
      </c>
      <c r="P235" s="15">
        <f t="shared" si="104"/>
        <v>11</v>
      </c>
      <c r="Q235" t="str">
        <f t="shared" si="87"/>
        <v>Общий итог00000000162211</v>
      </c>
    </row>
    <row r="236" spans="2:17" x14ac:dyDescent="0.3">
      <c r="Q236" t="str">
        <f t="shared" si="87"/>
        <v/>
      </c>
    </row>
    <row r="237" spans="2:17" x14ac:dyDescent="0.3">
      <c r="Q237" t="str">
        <f t="shared" si="87"/>
        <v/>
      </c>
    </row>
    <row r="238" spans="2:17" x14ac:dyDescent="0.3">
      <c r="B238" s="7" t="s">
        <v>124</v>
      </c>
      <c r="Q238" t="str">
        <f t="shared" si="87"/>
        <v>1010601709</v>
      </c>
    </row>
    <row r="239" spans="2:17" x14ac:dyDescent="0.3">
      <c r="B239" s="11" t="s">
        <v>17</v>
      </c>
      <c r="C239" s="11" t="s">
        <v>0</v>
      </c>
      <c r="D239" s="12" t="s">
        <v>2</v>
      </c>
      <c r="E239" s="12" t="s">
        <v>3</v>
      </c>
      <c r="F239" s="12" t="s">
        <v>13</v>
      </c>
      <c r="G239" s="12" t="s">
        <v>4</v>
      </c>
      <c r="H239" s="12" t="s">
        <v>5</v>
      </c>
      <c r="I239" s="12" t="s">
        <v>6</v>
      </c>
      <c r="J239" s="12" t="s">
        <v>7</v>
      </c>
      <c r="K239" s="12" t="s">
        <v>8</v>
      </c>
      <c r="L239" s="12" t="s">
        <v>9</v>
      </c>
      <c r="M239" s="12" t="s">
        <v>10</v>
      </c>
      <c r="N239" s="12" t="s">
        <v>11</v>
      </c>
      <c r="O239" s="12" t="s">
        <v>12</v>
      </c>
      <c r="P239" s="14" t="s">
        <v>1</v>
      </c>
      <c r="Q239" t="str">
        <f t="shared" si="87"/>
        <v>НоменклатураАртикулЯнварь  Февраль  МартАпрель  Май  Июнь  Июль  Август  Сентябрь  Октябрь  Ноябрь  Декабрь  Итог</v>
      </c>
    </row>
    <row r="240" spans="2:17" x14ac:dyDescent="0.3">
      <c r="B240" s="5" t="s">
        <v>216</v>
      </c>
      <c r="C240" s="5" t="s">
        <v>125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</v>
      </c>
      <c r="P240" s="14">
        <f t="shared" ref="P240:P241" si="105">SUM(D240:O240)</f>
        <v>2</v>
      </c>
      <c r="Q240" t="str">
        <f t="shared" si="87"/>
        <v>Фильтр топливный сепаратор Kubota V3307 1E786-4306028.07.00023822</v>
      </c>
    </row>
    <row r="241" spans="2:17" x14ac:dyDescent="0.3">
      <c r="B241" s="5" t="s">
        <v>15</v>
      </c>
      <c r="C241" s="5"/>
      <c r="D241" s="1">
        <f t="shared" ref="D241:O241" si="106">SUM(D240:D240)</f>
        <v>0</v>
      </c>
      <c r="E241" s="1">
        <f t="shared" si="106"/>
        <v>0</v>
      </c>
      <c r="F241" s="1">
        <f t="shared" si="106"/>
        <v>0</v>
      </c>
      <c r="G241" s="1">
        <f t="shared" si="106"/>
        <v>0</v>
      </c>
      <c r="H241" s="1">
        <f t="shared" si="106"/>
        <v>0</v>
      </c>
      <c r="I241" s="1">
        <f t="shared" si="106"/>
        <v>0</v>
      </c>
      <c r="J241" s="1">
        <f t="shared" si="106"/>
        <v>0</v>
      </c>
      <c r="K241" s="1">
        <f t="shared" si="106"/>
        <v>0</v>
      </c>
      <c r="L241" s="1">
        <f t="shared" si="106"/>
        <v>0</v>
      </c>
      <c r="M241" s="1">
        <f t="shared" si="106"/>
        <v>0</v>
      </c>
      <c r="N241" s="1">
        <f t="shared" si="106"/>
        <v>0</v>
      </c>
      <c r="O241" s="1">
        <f t="shared" si="106"/>
        <v>2</v>
      </c>
      <c r="P241" s="14">
        <f t="shared" si="105"/>
        <v>2</v>
      </c>
      <c r="Q241" t="str">
        <f t="shared" si="87"/>
        <v>Итог ПРОДАЖА0000000000022</v>
      </c>
    </row>
    <row r="242" spans="2:17" x14ac:dyDescent="0.3">
      <c r="B242" s="11" t="s">
        <v>17</v>
      </c>
      <c r="C242" s="11" t="s">
        <v>0</v>
      </c>
      <c r="D242" s="13" t="s">
        <v>2</v>
      </c>
      <c r="E242" s="13" t="s">
        <v>3</v>
      </c>
      <c r="F242" s="13" t="s">
        <v>13</v>
      </c>
      <c r="G242" s="13" t="s">
        <v>4</v>
      </c>
      <c r="H242" s="13" t="s">
        <v>5</v>
      </c>
      <c r="I242" s="13" t="s">
        <v>6</v>
      </c>
      <c r="J242" s="13" t="s">
        <v>7</v>
      </c>
      <c r="K242" s="13" t="s">
        <v>8</v>
      </c>
      <c r="L242" s="13" t="s">
        <v>9</v>
      </c>
      <c r="M242" s="13" t="s">
        <v>10</v>
      </c>
      <c r="N242" s="13" t="s">
        <v>11</v>
      </c>
      <c r="O242" s="13" t="s">
        <v>12</v>
      </c>
      <c r="P242" s="12"/>
      <c r="Q242" t="str">
        <f t="shared" si="87"/>
        <v xml:space="preserve">НоменклатураАртикулЯнварь  Февраль  МартАпрель  Май  Июнь  Июль  Август  Сентябрь  Октябрь  Ноябрь  Декабрь  </v>
      </c>
    </row>
    <row r="243" spans="2:17" x14ac:dyDescent="0.3">
      <c r="B243" s="5" t="s">
        <v>216</v>
      </c>
      <c r="C243" s="5" t="s">
        <v>125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3</v>
      </c>
      <c r="P243" s="14">
        <f>SUM(D243:O243)</f>
        <v>3</v>
      </c>
      <c r="Q243" t="str">
        <f t="shared" si="87"/>
        <v>Фильтр топливный сепаратор Kubota V3307 1E786-4306028.07.00023833</v>
      </c>
    </row>
    <row r="244" spans="2:17" x14ac:dyDescent="0.3">
      <c r="B244" s="5" t="s">
        <v>16</v>
      </c>
      <c r="C244" s="5"/>
      <c r="D244" s="1">
        <f t="shared" ref="D244:O244" si="107">SUM(D243:D243)</f>
        <v>0</v>
      </c>
      <c r="E244" s="1">
        <f t="shared" si="107"/>
        <v>0</v>
      </c>
      <c r="F244" s="1">
        <f t="shared" si="107"/>
        <v>0</v>
      </c>
      <c r="G244" s="1">
        <f t="shared" si="107"/>
        <v>0</v>
      </c>
      <c r="H244" s="1">
        <f t="shared" si="107"/>
        <v>0</v>
      </c>
      <c r="I244" s="1">
        <f t="shared" si="107"/>
        <v>0</v>
      </c>
      <c r="J244" s="1">
        <f t="shared" si="107"/>
        <v>0</v>
      </c>
      <c r="K244" s="1">
        <f t="shared" si="107"/>
        <v>0</v>
      </c>
      <c r="L244" s="1">
        <f t="shared" si="107"/>
        <v>0</v>
      </c>
      <c r="M244" s="1">
        <f t="shared" si="107"/>
        <v>0</v>
      </c>
      <c r="N244" s="1">
        <f t="shared" si="107"/>
        <v>0</v>
      </c>
      <c r="O244" s="1">
        <f t="shared" si="107"/>
        <v>3</v>
      </c>
      <c r="P244" s="14">
        <f t="shared" ref="P244" si="108">SUM(D244:O244)</f>
        <v>3</v>
      </c>
      <c r="Q244" t="str">
        <f t="shared" si="87"/>
        <v>Итог СПИСАНИЕ0000000000033</v>
      </c>
    </row>
    <row r="245" spans="2:17" x14ac:dyDescent="0.3">
      <c r="B245" s="6" t="s">
        <v>14</v>
      </c>
      <c r="C245" s="6"/>
      <c r="D245" s="2">
        <f t="shared" ref="D245:P245" si="109">D244+D241</f>
        <v>0</v>
      </c>
      <c r="E245" s="2">
        <f t="shared" si="109"/>
        <v>0</v>
      </c>
      <c r="F245" s="2">
        <f t="shared" si="109"/>
        <v>0</v>
      </c>
      <c r="G245" s="2">
        <f t="shared" si="109"/>
        <v>0</v>
      </c>
      <c r="H245" s="2">
        <f t="shared" si="109"/>
        <v>0</v>
      </c>
      <c r="I245" s="2">
        <f t="shared" si="109"/>
        <v>0</v>
      </c>
      <c r="J245" s="2">
        <f t="shared" si="109"/>
        <v>0</v>
      </c>
      <c r="K245" s="2">
        <f t="shared" si="109"/>
        <v>0</v>
      </c>
      <c r="L245" s="2">
        <f t="shared" si="109"/>
        <v>0</v>
      </c>
      <c r="M245" s="2">
        <f t="shared" si="109"/>
        <v>0</v>
      </c>
      <c r="N245" s="2">
        <f t="shared" si="109"/>
        <v>0</v>
      </c>
      <c r="O245" s="2">
        <f t="shared" si="109"/>
        <v>5</v>
      </c>
      <c r="P245" s="15">
        <f t="shared" si="109"/>
        <v>5</v>
      </c>
      <c r="Q245" t="str">
        <f t="shared" si="87"/>
        <v>Общий итог0000000000055</v>
      </c>
    </row>
    <row r="246" spans="2:17" x14ac:dyDescent="0.3">
      <c r="Q246" t="str">
        <f t="shared" si="87"/>
        <v/>
      </c>
    </row>
    <row r="247" spans="2:17" x14ac:dyDescent="0.3">
      <c r="Q247" t="str">
        <f t="shared" si="87"/>
        <v/>
      </c>
    </row>
    <row r="248" spans="2:17" x14ac:dyDescent="0.3">
      <c r="B248" s="7" t="s">
        <v>126</v>
      </c>
      <c r="Q248" t="str">
        <f t="shared" si="87"/>
        <v>1000400458</v>
      </c>
    </row>
    <row r="249" spans="2:17" x14ac:dyDescent="0.3">
      <c r="B249" s="11" t="s">
        <v>17</v>
      </c>
      <c r="C249" s="11" t="s">
        <v>0</v>
      </c>
      <c r="D249" s="12" t="s">
        <v>2</v>
      </c>
      <c r="E249" s="12" t="s">
        <v>3</v>
      </c>
      <c r="F249" s="12" t="s">
        <v>13</v>
      </c>
      <c r="G249" s="12" t="s">
        <v>4</v>
      </c>
      <c r="H249" s="12" t="s">
        <v>5</v>
      </c>
      <c r="I249" s="12" t="s">
        <v>6</v>
      </c>
      <c r="J249" s="12" t="s">
        <v>7</v>
      </c>
      <c r="K249" s="12" t="s">
        <v>8</v>
      </c>
      <c r="L249" s="12" t="s">
        <v>9</v>
      </c>
      <c r="M249" s="12" t="s">
        <v>10</v>
      </c>
      <c r="N249" s="12" t="s">
        <v>11</v>
      </c>
      <c r="O249" s="12" t="s">
        <v>12</v>
      </c>
      <c r="P249" s="14" t="s">
        <v>1</v>
      </c>
      <c r="Q249" t="str">
        <f t="shared" si="87"/>
        <v>НоменклатураАртикулЯнварь  Февраль  МартАпрель  Май  Июнь  Июль  Август  Сентябрь  Октябрь  Ноябрь  Декабрь  Итог</v>
      </c>
    </row>
    <row r="250" spans="2:17" x14ac:dyDescent="0.3">
      <c r="B250" s="8" t="s">
        <v>131</v>
      </c>
      <c r="C250" s="5" t="s">
        <v>127</v>
      </c>
      <c r="D250" s="1"/>
      <c r="E250" s="1"/>
      <c r="F250" s="1"/>
      <c r="G250" s="1"/>
      <c r="H250" s="1"/>
      <c r="I250" s="1"/>
      <c r="J250" s="1"/>
      <c r="K250" s="1">
        <v>4</v>
      </c>
      <c r="L250" s="1"/>
      <c r="M250" s="1"/>
      <c r="N250" s="1"/>
      <c r="O250" s="1"/>
      <c r="P250" s="14">
        <f>SUM(D250:O250)</f>
        <v>4</v>
      </c>
      <c r="Q250" t="str">
        <f t="shared" si="87"/>
        <v>Фильтр топливный RF-1860RF-186044</v>
      </c>
    </row>
    <row r="251" spans="2:17" x14ac:dyDescent="0.3">
      <c r="B251" s="5" t="s">
        <v>132</v>
      </c>
      <c r="C251" s="5">
        <v>1000400458</v>
      </c>
      <c r="D251" s="1"/>
      <c r="E251" s="1">
        <v>1</v>
      </c>
      <c r="F251" s="1">
        <v>4</v>
      </c>
      <c r="G251" s="1"/>
      <c r="H251" s="1"/>
      <c r="I251" s="1"/>
      <c r="J251" s="1"/>
      <c r="K251" s="1"/>
      <c r="L251" s="1"/>
      <c r="M251" s="1"/>
      <c r="N251" s="1"/>
      <c r="O251" s="1"/>
      <c r="P251" s="14">
        <f t="shared" ref="P251:P253" si="110">SUM(D251:O251)</f>
        <v>5</v>
      </c>
      <c r="Q251" t="str">
        <f t="shared" ref="Q251:Q253" si="111">_xlfn.CONCAT(B251,C251,D251,E251,F251,G251,H251,I251,J251,K251,L251,M251,N251,O251,P251)</f>
        <v>Фильтр топливный сепаратор 10004004581000400458145</v>
      </c>
    </row>
    <row r="252" spans="2:17" x14ac:dyDescent="0.3">
      <c r="B252" s="5" t="s">
        <v>217</v>
      </c>
      <c r="C252" s="5">
        <v>1010601425</v>
      </c>
      <c r="D252" s="1">
        <v>6</v>
      </c>
      <c r="E252" s="1">
        <v>1</v>
      </c>
      <c r="F252" s="1">
        <v>1</v>
      </c>
      <c r="G252" s="1"/>
      <c r="H252" s="1"/>
      <c r="I252" s="1"/>
      <c r="J252" s="1"/>
      <c r="K252" s="1"/>
      <c r="L252" s="1"/>
      <c r="M252" s="1"/>
      <c r="N252" s="1"/>
      <c r="O252" s="1"/>
      <c r="P252" s="14">
        <f t="shared" si="110"/>
        <v>8</v>
      </c>
      <c r="Q252" t="str">
        <f t="shared" si="111"/>
        <v>Фильтр топливный сепаратор 101060142510106014256118</v>
      </c>
    </row>
    <row r="253" spans="2:17" x14ac:dyDescent="0.3">
      <c r="B253" s="5" t="s">
        <v>133</v>
      </c>
      <c r="C253" s="5" t="s">
        <v>128</v>
      </c>
      <c r="D253" s="1">
        <v>1</v>
      </c>
      <c r="E253" s="1">
        <v>8</v>
      </c>
      <c r="F253" s="1">
        <v>18</v>
      </c>
      <c r="G253" s="1">
        <v>6</v>
      </c>
      <c r="H253" s="1"/>
      <c r="I253" s="1">
        <v>13</v>
      </c>
      <c r="J253" s="1">
        <v>6</v>
      </c>
      <c r="K253" s="1">
        <v>1</v>
      </c>
      <c r="L253" s="1"/>
      <c r="M253" s="1"/>
      <c r="N253" s="1"/>
      <c r="O253" s="1"/>
      <c r="P253" s="14">
        <f t="shared" si="110"/>
        <v>53</v>
      </c>
      <c r="Q253" t="str">
        <f t="shared" si="111"/>
        <v>Фильтр топливный сепаратор EKO-03.402EKO-03.40218186136153</v>
      </c>
    </row>
    <row r="254" spans="2:17" x14ac:dyDescent="0.3">
      <c r="B254" s="5" t="s">
        <v>134</v>
      </c>
      <c r="C254" s="5" t="s">
        <v>129</v>
      </c>
      <c r="D254" s="1"/>
      <c r="E254" s="1"/>
      <c r="F254" s="1"/>
      <c r="G254" s="1">
        <v>5</v>
      </c>
      <c r="H254" s="1">
        <v>8</v>
      </c>
      <c r="I254" s="1">
        <v>2</v>
      </c>
      <c r="J254" s="1">
        <v>18</v>
      </c>
      <c r="K254" s="1">
        <v>1</v>
      </c>
      <c r="L254" s="1">
        <v>6</v>
      </c>
      <c r="M254" s="1"/>
      <c r="N254" s="1">
        <v>27</v>
      </c>
      <c r="O254" s="1">
        <v>9</v>
      </c>
      <c r="P254" s="14">
        <f t="shared" ref="P254" si="112">SUM(D254:O254)</f>
        <v>76</v>
      </c>
      <c r="Q254" t="str">
        <f t="shared" si="87"/>
        <v>Фильтр топливный сепаратор FS20018FS20018582181627976</v>
      </c>
    </row>
    <row r="255" spans="2:17" x14ac:dyDescent="0.3">
      <c r="B255" s="5" t="s">
        <v>135</v>
      </c>
      <c r="C255" s="5" t="s">
        <v>130</v>
      </c>
      <c r="D255" s="1"/>
      <c r="E255" s="1"/>
      <c r="F255" s="1"/>
      <c r="G255" s="1"/>
      <c r="H255" s="1"/>
      <c r="I255" s="1"/>
      <c r="J255" s="1">
        <v>5</v>
      </c>
      <c r="K255" s="1">
        <v>29</v>
      </c>
      <c r="L255" s="1">
        <v>13</v>
      </c>
      <c r="M255" s="1">
        <v>18</v>
      </c>
      <c r="N255" s="1">
        <v>2</v>
      </c>
      <c r="O255" s="1">
        <v>21</v>
      </c>
      <c r="P255" s="14">
        <f t="shared" ref="P255:P256" si="113">SUM(D255:O255)</f>
        <v>88</v>
      </c>
      <c r="Q255" t="str">
        <f t="shared" si="87"/>
        <v>Фильтр топливный сепаратор FS20021FS20021529131822188</v>
      </c>
    </row>
    <row r="256" spans="2:17" x14ac:dyDescent="0.3">
      <c r="B256" s="5" t="s">
        <v>15</v>
      </c>
      <c r="C256" s="5"/>
      <c r="D256" s="1">
        <f t="shared" ref="D256:O256" si="114">SUM(D250:D255)</f>
        <v>7</v>
      </c>
      <c r="E256" s="1">
        <f t="shared" si="114"/>
        <v>10</v>
      </c>
      <c r="F256" s="1">
        <f t="shared" si="114"/>
        <v>23</v>
      </c>
      <c r="G256" s="1">
        <f t="shared" si="114"/>
        <v>11</v>
      </c>
      <c r="H256" s="1">
        <f t="shared" si="114"/>
        <v>8</v>
      </c>
      <c r="I256" s="1">
        <f t="shared" si="114"/>
        <v>15</v>
      </c>
      <c r="J256" s="1">
        <f t="shared" si="114"/>
        <v>29</v>
      </c>
      <c r="K256" s="1">
        <f t="shared" si="114"/>
        <v>35</v>
      </c>
      <c r="L256" s="1">
        <f t="shared" si="114"/>
        <v>19</v>
      </c>
      <c r="M256" s="1">
        <f t="shared" si="114"/>
        <v>18</v>
      </c>
      <c r="N256" s="1">
        <f t="shared" si="114"/>
        <v>29</v>
      </c>
      <c r="O256" s="1">
        <f t="shared" si="114"/>
        <v>30</v>
      </c>
      <c r="P256" s="14">
        <f t="shared" si="113"/>
        <v>234</v>
      </c>
      <c r="Q256" t="str">
        <f t="shared" si="87"/>
        <v>Итог ПРОДАЖА7102311815293519182930234</v>
      </c>
    </row>
    <row r="257" spans="2:17" x14ac:dyDescent="0.3">
      <c r="B257" s="11" t="s">
        <v>17</v>
      </c>
      <c r="C257" s="11" t="s">
        <v>0</v>
      </c>
      <c r="D257" s="13" t="s">
        <v>2</v>
      </c>
      <c r="E257" s="13" t="s">
        <v>3</v>
      </c>
      <c r="F257" s="13" t="s">
        <v>13</v>
      </c>
      <c r="G257" s="13" t="s">
        <v>4</v>
      </c>
      <c r="H257" s="13" t="s">
        <v>5</v>
      </c>
      <c r="I257" s="13" t="s">
        <v>6</v>
      </c>
      <c r="J257" s="13" t="s">
        <v>7</v>
      </c>
      <c r="K257" s="13" t="s">
        <v>8</v>
      </c>
      <c r="L257" s="13" t="s">
        <v>9</v>
      </c>
      <c r="M257" s="13" t="s">
        <v>10</v>
      </c>
      <c r="N257" s="13" t="s">
        <v>11</v>
      </c>
      <c r="O257" s="13" t="s">
        <v>12</v>
      </c>
      <c r="P257" s="12"/>
      <c r="Q257" t="str">
        <f t="shared" si="87"/>
        <v xml:space="preserve">НоменклатураАртикулЯнварь  Февраль  МартАпрель  Май  Июнь  Июль  Август  Сентябрь  Октябрь  Ноябрь  Декабрь  </v>
      </c>
    </row>
    <row r="258" spans="2:17" x14ac:dyDescent="0.3">
      <c r="B258" s="5" t="s">
        <v>131</v>
      </c>
      <c r="C258" s="10" t="s">
        <v>127</v>
      </c>
      <c r="D258" s="1">
        <v>1</v>
      </c>
      <c r="E258" s="1">
        <v>2</v>
      </c>
      <c r="F258" s="1">
        <v>2</v>
      </c>
      <c r="G258" s="1">
        <v>3</v>
      </c>
      <c r="H258" s="1">
        <v>3</v>
      </c>
      <c r="I258" s="1">
        <v>2</v>
      </c>
      <c r="J258" s="1">
        <v>1</v>
      </c>
      <c r="K258" s="1">
        <v>3</v>
      </c>
      <c r="L258" s="1">
        <v>4</v>
      </c>
      <c r="M258" s="1"/>
      <c r="N258" s="1"/>
      <c r="O258" s="1"/>
      <c r="P258" s="14">
        <f>SUM(D258:O258)</f>
        <v>21</v>
      </c>
      <c r="Q258" t="str">
        <f t="shared" si="87"/>
        <v>Фильтр топливный RF-1860RF-186012233213421</v>
      </c>
    </row>
    <row r="259" spans="2:17" x14ac:dyDescent="0.3">
      <c r="B259" s="5" t="s">
        <v>132</v>
      </c>
      <c r="C259" s="5">
        <v>1000400458</v>
      </c>
      <c r="D259" s="1">
        <v>9</v>
      </c>
      <c r="E259" s="1"/>
      <c r="F259" s="1">
        <v>2</v>
      </c>
      <c r="G259" s="1"/>
      <c r="H259" s="1"/>
      <c r="I259" s="1"/>
      <c r="J259" s="1"/>
      <c r="K259" s="1"/>
      <c r="L259" s="1"/>
      <c r="M259" s="1"/>
      <c r="N259" s="1"/>
      <c r="O259" s="1"/>
      <c r="P259" s="14">
        <f t="shared" ref="P259:P262" si="115">SUM(D259:O259)</f>
        <v>11</v>
      </c>
      <c r="Q259" t="str">
        <f t="shared" si="87"/>
        <v>Фильтр топливный сепаратор 100040045810004004589211</v>
      </c>
    </row>
    <row r="260" spans="2:17" x14ac:dyDescent="0.3">
      <c r="B260" s="5" t="s">
        <v>133</v>
      </c>
      <c r="C260" s="5" t="s">
        <v>128</v>
      </c>
      <c r="D260" s="1"/>
      <c r="E260" s="1"/>
      <c r="F260" s="1">
        <v>2</v>
      </c>
      <c r="G260" s="1"/>
      <c r="H260" s="1"/>
      <c r="I260" s="1">
        <v>2</v>
      </c>
      <c r="J260" s="1">
        <v>3</v>
      </c>
      <c r="K260" s="1">
        <v>6</v>
      </c>
      <c r="L260" s="1">
        <v>5</v>
      </c>
      <c r="M260" s="1">
        <v>5</v>
      </c>
      <c r="N260" s="1">
        <v>3</v>
      </c>
      <c r="O260" s="1">
        <v>9</v>
      </c>
      <c r="P260" s="14">
        <f t="shared" si="115"/>
        <v>35</v>
      </c>
      <c r="Q260" t="str">
        <f t="shared" si="87"/>
        <v>Фильтр топливный сепаратор EKO-03.402EKO-03.4022236553935</v>
      </c>
    </row>
    <row r="261" spans="2:17" x14ac:dyDescent="0.3">
      <c r="B261" s="5" t="s">
        <v>134</v>
      </c>
      <c r="C261" s="5" t="s">
        <v>129</v>
      </c>
      <c r="D261" s="1"/>
      <c r="E261" s="1"/>
      <c r="F261" s="1"/>
      <c r="G261" s="1"/>
      <c r="H261" s="1"/>
      <c r="I261" s="1">
        <v>1</v>
      </c>
      <c r="J261" s="1">
        <v>5</v>
      </c>
      <c r="K261" s="1"/>
      <c r="L261" s="1">
        <v>1</v>
      </c>
      <c r="M261" s="1">
        <v>2</v>
      </c>
      <c r="N261" s="1">
        <v>5</v>
      </c>
      <c r="O261" s="1">
        <v>5</v>
      </c>
      <c r="P261" s="14">
        <f t="shared" si="115"/>
        <v>19</v>
      </c>
      <c r="Q261" t="str">
        <f t="shared" si="87"/>
        <v>Фильтр топливный сепаратор FS20018FS2001815125519</v>
      </c>
    </row>
    <row r="262" spans="2:17" x14ac:dyDescent="0.3">
      <c r="B262" s="5" t="s">
        <v>135</v>
      </c>
      <c r="C262" s="5" t="s">
        <v>130</v>
      </c>
      <c r="D262" s="1"/>
      <c r="E262" s="1"/>
      <c r="F262" s="1">
        <v>1</v>
      </c>
      <c r="G262" s="1"/>
      <c r="H262" s="1">
        <v>2</v>
      </c>
      <c r="I262" s="1"/>
      <c r="J262" s="1"/>
      <c r="K262" s="1">
        <v>1</v>
      </c>
      <c r="L262" s="1">
        <v>3</v>
      </c>
      <c r="M262" s="1">
        <v>9</v>
      </c>
      <c r="N262" s="1">
        <v>6</v>
      </c>
      <c r="O262" s="1">
        <v>24</v>
      </c>
      <c r="P262" s="14">
        <f t="shared" si="115"/>
        <v>46</v>
      </c>
      <c r="Q262" t="str">
        <f t="shared" si="87"/>
        <v>Фильтр топливный сепаратор FS20021FS200211213962446</v>
      </c>
    </row>
    <row r="263" spans="2:17" x14ac:dyDescent="0.3">
      <c r="B263" s="5" t="s">
        <v>16</v>
      </c>
      <c r="C263" s="5"/>
      <c r="D263" s="1">
        <f t="shared" ref="D263:O263" si="116">SUM(D258:D262)</f>
        <v>10</v>
      </c>
      <c r="E263" s="1">
        <f t="shared" si="116"/>
        <v>2</v>
      </c>
      <c r="F263" s="1">
        <f t="shared" si="116"/>
        <v>7</v>
      </c>
      <c r="G263" s="1">
        <f t="shared" si="116"/>
        <v>3</v>
      </c>
      <c r="H263" s="1">
        <f t="shared" si="116"/>
        <v>5</v>
      </c>
      <c r="I263" s="1">
        <f t="shared" si="116"/>
        <v>5</v>
      </c>
      <c r="J263" s="1">
        <f t="shared" si="116"/>
        <v>9</v>
      </c>
      <c r="K263" s="1">
        <f t="shared" si="116"/>
        <v>10</v>
      </c>
      <c r="L263" s="1">
        <f t="shared" si="116"/>
        <v>13</v>
      </c>
      <c r="M263" s="1">
        <f t="shared" si="116"/>
        <v>16</v>
      </c>
      <c r="N263" s="1">
        <f t="shared" si="116"/>
        <v>14</v>
      </c>
      <c r="O263" s="1">
        <f t="shared" si="116"/>
        <v>38</v>
      </c>
      <c r="P263" s="14">
        <f t="shared" ref="P263" si="117">SUM(D263:O263)</f>
        <v>132</v>
      </c>
      <c r="Q263" t="str">
        <f t="shared" ref="Q263:Q360" si="118">_xlfn.CONCAT(B263,C263,D263,E263,F263,G263,H263,I263,J263,K263,L263,M263,N263,O263,P263)</f>
        <v>Итог СПИСАНИЕ102735591013161438132</v>
      </c>
    </row>
    <row r="264" spans="2:17" x14ac:dyDescent="0.3">
      <c r="B264" s="6" t="s">
        <v>14</v>
      </c>
      <c r="C264" s="6"/>
      <c r="D264" s="2">
        <f t="shared" ref="D264:P264" si="119">D263+D256</f>
        <v>17</v>
      </c>
      <c r="E264" s="2">
        <f t="shared" si="119"/>
        <v>12</v>
      </c>
      <c r="F264" s="2">
        <f t="shared" si="119"/>
        <v>30</v>
      </c>
      <c r="G264" s="2">
        <f t="shared" si="119"/>
        <v>14</v>
      </c>
      <c r="H264" s="2">
        <f t="shared" si="119"/>
        <v>13</v>
      </c>
      <c r="I264" s="2">
        <f t="shared" si="119"/>
        <v>20</v>
      </c>
      <c r="J264" s="2">
        <f t="shared" si="119"/>
        <v>38</v>
      </c>
      <c r="K264" s="2">
        <f t="shared" si="119"/>
        <v>45</v>
      </c>
      <c r="L264" s="2">
        <f t="shared" si="119"/>
        <v>32</v>
      </c>
      <c r="M264" s="2">
        <f t="shared" si="119"/>
        <v>34</v>
      </c>
      <c r="N264" s="2">
        <f t="shared" si="119"/>
        <v>43</v>
      </c>
      <c r="O264" s="2">
        <f t="shared" si="119"/>
        <v>68</v>
      </c>
      <c r="P264" s="15">
        <f t="shared" si="119"/>
        <v>366</v>
      </c>
      <c r="Q264" t="str">
        <f t="shared" si="118"/>
        <v>Общий итог171230141320384532344368366</v>
      </c>
    </row>
    <row r="265" spans="2:17" x14ac:dyDescent="0.3">
      <c r="Q265" t="str">
        <f t="shared" si="118"/>
        <v/>
      </c>
    </row>
    <row r="266" spans="2:17" x14ac:dyDescent="0.3">
      <c r="Q266" t="str">
        <f t="shared" si="118"/>
        <v/>
      </c>
    </row>
    <row r="267" spans="2:17" x14ac:dyDescent="0.3">
      <c r="B267" s="7" t="s">
        <v>140</v>
      </c>
      <c r="Q267" t="str">
        <f t="shared" si="118"/>
        <v>1000000876</v>
      </c>
    </row>
    <row r="268" spans="2:17" x14ac:dyDescent="0.3">
      <c r="B268" s="11" t="s">
        <v>17</v>
      </c>
      <c r="C268" s="11" t="s">
        <v>0</v>
      </c>
      <c r="D268" s="12" t="s">
        <v>2</v>
      </c>
      <c r="E268" s="12" t="s">
        <v>3</v>
      </c>
      <c r="F268" s="12" t="s">
        <v>13</v>
      </c>
      <c r="G268" s="12" t="s">
        <v>4</v>
      </c>
      <c r="H268" s="12" t="s">
        <v>5</v>
      </c>
      <c r="I268" s="12" t="s">
        <v>6</v>
      </c>
      <c r="J268" s="12" t="s">
        <v>7</v>
      </c>
      <c r="K268" s="12" t="s">
        <v>8</v>
      </c>
      <c r="L268" s="12" t="s">
        <v>9</v>
      </c>
      <c r="M268" s="12" t="s">
        <v>10</v>
      </c>
      <c r="N268" s="12" t="s">
        <v>11</v>
      </c>
      <c r="O268" s="12" t="s">
        <v>12</v>
      </c>
      <c r="P268" s="14" t="s">
        <v>1</v>
      </c>
      <c r="Q268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269" spans="2:17" x14ac:dyDescent="0.3">
      <c r="B269" s="8" t="s">
        <v>141</v>
      </c>
      <c r="C269" s="5">
        <v>1000000876</v>
      </c>
      <c r="D269" s="1"/>
      <c r="E269" s="1"/>
      <c r="F269" s="1">
        <v>1</v>
      </c>
      <c r="G269" s="1">
        <v>3</v>
      </c>
      <c r="H269" s="1"/>
      <c r="I269" s="1"/>
      <c r="J269" s="1">
        <v>1</v>
      </c>
      <c r="K269" s="1">
        <v>3</v>
      </c>
      <c r="L269" s="1"/>
      <c r="M269" s="1"/>
      <c r="N269" s="1"/>
      <c r="O269" s="1"/>
      <c r="P269" s="14">
        <f>SUM(D269:O269)</f>
        <v>8</v>
      </c>
      <c r="Q269" t="str">
        <f t="shared" si="118"/>
        <v>Фильтр топливный 1000000876100000087613138</v>
      </c>
    </row>
    <row r="270" spans="2:17" x14ac:dyDescent="0.3">
      <c r="B270" s="5" t="s">
        <v>142</v>
      </c>
      <c r="C270" s="5" t="s">
        <v>136</v>
      </c>
      <c r="D270" s="1"/>
      <c r="E270" s="1"/>
      <c r="F270" s="1"/>
      <c r="G270" s="1"/>
      <c r="H270" s="1"/>
      <c r="I270" s="1">
        <v>1</v>
      </c>
      <c r="J270" s="1">
        <v>2</v>
      </c>
      <c r="K270" s="1"/>
      <c r="L270" s="1">
        <v>4</v>
      </c>
      <c r="M270" s="1">
        <v>34</v>
      </c>
      <c r="N270" s="1">
        <v>19</v>
      </c>
      <c r="O270" s="1">
        <v>20</v>
      </c>
      <c r="P270" s="14">
        <f t="shared" ref="P270:P273" si="120">SUM(D270:O270)</f>
        <v>80</v>
      </c>
      <c r="Q270" t="str">
        <f t="shared" ref="Q270:Q273" si="121">_xlfn.CONCAT(B270,C270,D270,E270,F270,G270,H270,I270,J270,K270,L270,M270,N270,O270,P270)</f>
        <v>Фильтр топливный 5268019CC-5165X12434192080</v>
      </c>
    </row>
    <row r="271" spans="2:17" x14ac:dyDescent="0.3">
      <c r="B271" s="5" t="s">
        <v>142</v>
      </c>
      <c r="C271" s="5">
        <v>5268019</v>
      </c>
      <c r="D271" s="1"/>
      <c r="E271" s="1"/>
      <c r="F271" s="1">
        <v>3</v>
      </c>
      <c r="G271" s="1">
        <v>2</v>
      </c>
      <c r="H271" s="1"/>
      <c r="I271" s="1"/>
      <c r="J271" s="1">
        <v>3</v>
      </c>
      <c r="K271" s="1">
        <v>2</v>
      </c>
      <c r="L271" s="1"/>
      <c r="M271" s="1"/>
      <c r="N271" s="1"/>
      <c r="O271" s="1"/>
      <c r="P271" s="14">
        <f t="shared" si="120"/>
        <v>10</v>
      </c>
      <c r="Q271" t="str">
        <f t="shared" si="121"/>
        <v>Фильтр топливный 52680195268019323210</v>
      </c>
    </row>
    <row r="272" spans="2:17" x14ac:dyDescent="0.3">
      <c r="B272" s="5" t="s">
        <v>143</v>
      </c>
      <c r="C272" s="5" t="s">
        <v>137</v>
      </c>
      <c r="D272" s="1"/>
      <c r="E272" s="1"/>
      <c r="F272" s="1"/>
      <c r="G272" s="1"/>
      <c r="H272" s="1"/>
      <c r="I272" s="1"/>
      <c r="J272" s="1"/>
      <c r="K272" s="1">
        <v>19</v>
      </c>
      <c r="L272" s="1">
        <v>12</v>
      </c>
      <c r="M272" s="1"/>
      <c r="N272" s="1">
        <v>6</v>
      </c>
      <c r="O272" s="1">
        <v>14</v>
      </c>
      <c r="P272" s="14">
        <f t="shared" si="120"/>
        <v>51</v>
      </c>
      <c r="Q272" t="str">
        <f t="shared" si="121"/>
        <v>Фильтр топливный FS36209FS36209191261451</v>
      </c>
    </row>
    <row r="273" spans="2:17" x14ac:dyDescent="0.3">
      <c r="B273" s="5" t="s">
        <v>143</v>
      </c>
      <c r="C273" s="5" t="s">
        <v>137</v>
      </c>
      <c r="D273" s="1"/>
      <c r="E273" s="1"/>
      <c r="F273" s="1">
        <v>2</v>
      </c>
      <c r="G273" s="1"/>
      <c r="H273" s="1"/>
      <c r="I273" s="1"/>
      <c r="J273" s="1"/>
      <c r="K273" s="1"/>
      <c r="L273" s="1"/>
      <c r="M273" s="1"/>
      <c r="N273" s="1"/>
      <c r="O273" s="1"/>
      <c r="P273" s="14">
        <f t="shared" si="120"/>
        <v>2</v>
      </c>
      <c r="Q273" t="str">
        <f t="shared" si="121"/>
        <v>Фильтр топливный FS36209FS3620922</v>
      </c>
    </row>
    <row r="274" spans="2:17" x14ac:dyDescent="0.3">
      <c r="B274" s="5" t="s">
        <v>218</v>
      </c>
      <c r="C274" s="5" t="s">
        <v>138</v>
      </c>
      <c r="D274" s="1"/>
      <c r="E274" s="1"/>
      <c r="F274" s="1">
        <v>1</v>
      </c>
      <c r="G274" s="1">
        <v>13</v>
      </c>
      <c r="H274" s="1">
        <v>4</v>
      </c>
      <c r="I274" s="1"/>
      <c r="J274" s="1"/>
      <c r="K274" s="1"/>
      <c r="L274" s="1"/>
      <c r="M274" s="1"/>
      <c r="N274" s="1"/>
      <c r="O274" s="1"/>
      <c r="P274" s="14">
        <f t="shared" ref="P274:P276" si="122">SUM(D274:O274)</f>
        <v>18</v>
      </c>
      <c r="Q274" t="str">
        <f t="shared" si="118"/>
        <v>Фильтр топливный SN40547 SN40547113418</v>
      </c>
    </row>
    <row r="275" spans="2:17" x14ac:dyDescent="0.3">
      <c r="B275" s="5" t="s">
        <v>145</v>
      </c>
      <c r="C275" s="5" t="s">
        <v>139</v>
      </c>
      <c r="D275" s="1">
        <v>10</v>
      </c>
      <c r="E275" s="1">
        <v>11</v>
      </c>
      <c r="F275" s="1">
        <v>16</v>
      </c>
      <c r="G275" s="1">
        <v>5</v>
      </c>
      <c r="H275" s="1">
        <v>7</v>
      </c>
      <c r="I275" s="1">
        <v>14</v>
      </c>
      <c r="J275" s="1">
        <v>24</v>
      </c>
      <c r="K275" s="1">
        <v>7</v>
      </c>
      <c r="L275" s="1"/>
      <c r="M275" s="1"/>
      <c r="N275" s="1">
        <v>1</v>
      </c>
      <c r="O275" s="1"/>
      <c r="P275" s="14">
        <f t="shared" si="122"/>
        <v>95</v>
      </c>
      <c r="Q275" t="str">
        <f t="shared" si="118"/>
        <v>Фильтр топливный ST20071ST200711011165714247195</v>
      </c>
    </row>
    <row r="276" spans="2:17" x14ac:dyDescent="0.3">
      <c r="B276" s="5" t="s">
        <v>15</v>
      </c>
      <c r="C276" s="5"/>
      <c r="D276" s="1">
        <f t="shared" ref="D276:O276" si="123">SUM(D269:D275)</f>
        <v>10</v>
      </c>
      <c r="E276" s="1">
        <f t="shared" si="123"/>
        <v>11</v>
      </c>
      <c r="F276" s="1">
        <f t="shared" si="123"/>
        <v>23</v>
      </c>
      <c r="G276" s="1">
        <f t="shared" si="123"/>
        <v>23</v>
      </c>
      <c r="H276" s="1">
        <f t="shared" si="123"/>
        <v>11</v>
      </c>
      <c r="I276" s="1">
        <f t="shared" si="123"/>
        <v>15</v>
      </c>
      <c r="J276" s="1">
        <f t="shared" si="123"/>
        <v>30</v>
      </c>
      <c r="K276" s="1">
        <f t="shared" si="123"/>
        <v>31</v>
      </c>
      <c r="L276" s="1">
        <f t="shared" si="123"/>
        <v>16</v>
      </c>
      <c r="M276" s="1">
        <f t="shared" si="123"/>
        <v>34</v>
      </c>
      <c r="N276" s="1">
        <f t="shared" si="123"/>
        <v>26</v>
      </c>
      <c r="O276" s="1">
        <f t="shared" si="123"/>
        <v>34</v>
      </c>
      <c r="P276" s="14">
        <f t="shared" si="122"/>
        <v>264</v>
      </c>
      <c r="Q276" t="str">
        <f t="shared" si="118"/>
        <v>Итог ПРОДАЖА101123231115303116342634264</v>
      </c>
    </row>
    <row r="277" spans="2:17" x14ac:dyDescent="0.3">
      <c r="B277" s="11" t="s">
        <v>17</v>
      </c>
      <c r="C277" s="11" t="s">
        <v>0</v>
      </c>
      <c r="D277" s="13" t="s">
        <v>2</v>
      </c>
      <c r="E277" s="13" t="s">
        <v>3</v>
      </c>
      <c r="F277" s="13" t="s">
        <v>13</v>
      </c>
      <c r="G277" s="13" t="s">
        <v>4</v>
      </c>
      <c r="H277" s="13" t="s">
        <v>5</v>
      </c>
      <c r="I277" s="13" t="s">
        <v>6</v>
      </c>
      <c r="J277" s="13" t="s">
        <v>7</v>
      </c>
      <c r="K277" s="13" t="s">
        <v>8</v>
      </c>
      <c r="L277" s="13" t="s">
        <v>9</v>
      </c>
      <c r="M277" s="13" t="s">
        <v>10</v>
      </c>
      <c r="N277" s="13" t="s">
        <v>11</v>
      </c>
      <c r="O277" s="13" t="s">
        <v>12</v>
      </c>
      <c r="P277" s="12"/>
      <c r="Q277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278" spans="2:17" x14ac:dyDescent="0.3">
      <c r="B278" s="5" t="s">
        <v>141</v>
      </c>
      <c r="C278" s="10">
        <v>1000000876</v>
      </c>
      <c r="D278" s="1">
        <v>1</v>
      </c>
      <c r="E278" s="1">
        <v>1</v>
      </c>
      <c r="F278" s="1">
        <v>1</v>
      </c>
      <c r="G278" s="1">
        <v>3</v>
      </c>
      <c r="H278" s="1"/>
      <c r="I278" s="1">
        <v>2</v>
      </c>
      <c r="J278" s="1">
        <v>1</v>
      </c>
      <c r="K278" s="1">
        <v>1</v>
      </c>
      <c r="L278" s="1"/>
      <c r="M278" s="1"/>
      <c r="N278" s="1">
        <v>1</v>
      </c>
      <c r="O278" s="1"/>
      <c r="P278" s="14">
        <f>SUM(D278:O278)</f>
        <v>11</v>
      </c>
      <c r="Q278" t="str">
        <f t="shared" si="118"/>
        <v>Фильтр топливный 100000087610000008761113211111</v>
      </c>
    </row>
    <row r="279" spans="2:17" x14ac:dyDescent="0.3">
      <c r="B279" s="5" t="s">
        <v>142</v>
      </c>
      <c r="C279" s="5" t="s">
        <v>136</v>
      </c>
      <c r="D279" s="1">
        <v>1</v>
      </c>
      <c r="E279" s="1">
        <v>1</v>
      </c>
      <c r="F279" s="1"/>
      <c r="G279" s="1"/>
      <c r="H279" s="1">
        <v>2</v>
      </c>
      <c r="I279" s="1"/>
      <c r="J279" s="1"/>
      <c r="K279" s="1">
        <v>2</v>
      </c>
      <c r="L279" s="1">
        <v>2</v>
      </c>
      <c r="M279" s="1"/>
      <c r="N279" s="1">
        <v>2</v>
      </c>
      <c r="O279" s="1">
        <v>2</v>
      </c>
      <c r="P279" s="14">
        <f t="shared" ref="P279:P281" si="124">SUM(D279:O279)</f>
        <v>12</v>
      </c>
      <c r="Q279" t="str">
        <f t="shared" ref="Q279:Q281" si="125">_xlfn.CONCAT(B279,C279,D279,E279,F279,G279,H279,I279,J279,K279,L279,M279,N279,O279,P279)</f>
        <v>Фильтр топливный 5268019CC-5165X112222212</v>
      </c>
    </row>
    <row r="280" spans="2:17" x14ac:dyDescent="0.3">
      <c r="B280" s="5" t="s">
        <v>142</v>
      </c>
      <c r="C280" s="5">
        <v>5268019</v>
      </c>
      <c r="D280" s="1">
        <v>11</v>
      </c>
      <c r="E280" s="1">
        <v>1</v>
      </c>
      <c r="F280" s="1">
        <v>4</v>
      </c>
      <c r="G280" s="1"/>
      <c r="H280" s="1"/>
      <c r="I280" s="1"/>
      <c r="J280" s="1"/>
      <c r="K280" s="1"/>
      <c r="L280" s="1"/>
      <c r="M280" s="1"/>
      <c r="N280" s="1"/>
      <c r="O280" s="1"/>
      <c r="P280" s="14">
        <f t="shared" si="124"/>
        <v>16</v>
      </c>
      <c r="Q280" t="str">
        <f t="shared" si="125"/>
        <v>Фильтр топливный 52680195268019111416</v>
      </c>
    </row>
    <row r="281" spans="2:17" x14ac:dyDescent="0.3">
      <c r="B281" s="5" t="s">
        <v>143</v>
      </c>
      <c r="C281" s="5" t="s">
        <v>137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</v>
      </c>
      <c r="P281" s="14">
        <f t="shared" si="124"/>
        <v>2</v>
      </c>
      <c r="Q281" t="str">
        <f t="shared" si="125"/>
        <v>Фильтр топливный FS36209FS3620922</v>
      </c>
    </row>
    <row r="282" spans="2:17" x14ac:dyDescent="0.3">
      <c r="B282" s="5" t="s">
        <v>143</v>
      </c>
      <c r="C282" s="5" t="s">
        <v>137</v>
      </c>
      <c r="D282" s="1"/>
      <c r="E282" s="1"/>
      <c r="F282" s="1"/>
      <c r="G282" s="1">
        <v>2</v>
      </c>
      <c r="H282" s="1">
        <v>1</v>
      </c>
      <c r="I282" s="1">
        <v>2</v>
      </c>
      <c r="J282" s="1"/>
      <c r="K282" s="1"/>
      <c r="L282" s="1"/>
      <c r="M282" s="1">
        <v>3</v>
      </c>
      <c r="N282" s="1"/>
      <c r="O282" s="1">
        <v>2</v>
      </c>
      <c r="P282" s="14">
        <f t="shared" ref="P282:P285" si="126">SUM(D282:O282)</f>
        <v>10</v>
      </c>
      <c r="Q282" t="str">
        <f t="shared" si="118"/>
        <v>Фильтр топливный FS36209FS362092123210</v>
      </c>
    </row>
    <row r="283" spans="2:17" x14ac:dyDescent="0.3">
      <c r="B283" s="5" t="s">
        <v>144</v>
      </c>
      <c r="C283" s="5" t="s">
        <v>138</v>
      </c>
      <c r="D283" s="1"/>
      <c r="E283" s="1"/>
      <c r="F283" s="1"/>
      <c r="G283" s="1"/>
      <c r="H283" s="1">
        <v>2</v>
      </c>
      <c r="I283" s="1">
        <v>1</v>
      </c>
      <c r="J283" s="1">
        <v>1</v>
      </c>
      <c r="K283" s="1">
        <v>1</v>
      </c>
      <c r="L283" s="1">
        <v>2</v>
      </c>
      <c r="M283" s="1">
        <v>3</v>
      </c>
      <c r="N283" s="1">
        <v>4</v>
      </c>
      <c r="O283" s="1">
        <v>2</v>
      </c>
      <c r="P283" s="14">
        <f t="shared" si="126"/>
        <v>16</v>
      </c>
      <c r="Q283" t="str">
        <f t="shared" si="118"/>
        <v>Фильтр топливный SN40547SN405472111234216</v>
      </c>
    </row>
    <row r="284" spans="2:17" x14ac:dyDescent="0.3">
      <c r="B284" s="5" t="s">
        <v>145</v>
      </c>
      <c r="C284" s="5" t="s">
        <v>139</v>
      </c>
      <c r="D284" s="1">
        <v>6</v>
      </c>
      <c r="E284" s="1"/>
      <c r="F284" s="1">
        <v>9</v>
      </c>
      <c r="G284" s="1">
        <v>4</v>
      </c>
      <c r="H284" s="1">
        <v>8</v>
      </c>
      <c r="I284" s="1">
        <v>10</v>
      </c>
      <c r="J284" s="1">
        <v>8</v>
      </c>
      <c r="K284" s="1">
        <v>10</v>
      </c>
      <c r="L284" s="1">
        <v>12</v>
      </c>
      <c r="M284" s="1">
        <v>11</v>
      </c>
      <c r="N284" s="1">
        <v>4</v>
      </c>
      <c r="O284" s="1">
        <v>7</v>
      </c>
      <c r="P284" s="14">
        <f t="shared" si="126"/>
        <v>89</v>
      </c>
      <c r="Q284" t="str">
        <f t="shared" si="118"/>
        <v>Фильтр топливный ST20071ST2007169481081012114789</v>
      </c>
    </row>
    <row r="285" spans="2:17" x14ac:dyDescent="0.3">
      <c r="B285" s="5" t="s">
        <v>16</v>
      </c>
      <c r="C285" s="5"/>
      <c r="D285" s="1">
        <f t="shared" ref="D285:O285" si="127">SUM(D278:D284)</f>
        <v>19</v>
      </c>
      <c r="E285" s="1">
        <f t="shared" si="127"/>
        <v>3</v>
      </c>
      <c r="F285" s="1">
        <f t="shared" si="127"/>
        <v>14</v>
      </c>
      <c r="G285" s="1">
        <f t="shared" si="127"/>
        <v>9</v>
      </c>
      <c r="H285" s="1">
        <f t="shared" si="127"/>
        <v>13</v>
      </c>
      <c r="I285" s="1">
        <f t="shared" si="127"/>
        <v>15</v>
      </c>
      <c r="J285" s="1">
        <f t="shared" si="127"/>
        <v>10</v>
      </c>
      <c r="K285" s="1">
        <f t="shared" si="127"/>
        <v>14</v>
      </c>
      <c r="L285" s="1">
        <f t="shared" si="127"/>
        <v>16</v>
      </c>
      <c r="M285" s="1">
        <f t="shared" si="127"/>
        <v>17</v>
      </c>
      <c r="N285" s="1">
        <f t="shared" si="127"/>
        <v>11</v>
      </c>
      <c r="O285" s="1">
        <f t="shared" si="127"/>
        <v>15</v>
      </c>
      <c r="P285" s="14">
        <f t="shared" si="126"/>
        <v>156</v>
      </c>
      <c r="Q285" t="str">
        <f t="shared" ref="Q285:Q309" si="128">_xlfn.CONCAT(B285,C285,D285,E285,F285,G285,H285,I285,J285,K285,L285,M285,N285,O285,P285)</f>
        <v>Итог СПИСАНИЕ1931491315101416171115156</v>
      </c>
    </row>
    <row r="286" spans="2:17" x14ac:dyDescent="0.3">
      <c r="B286" s="6" t="s">
        <v>14</v>
      </c>
      <c r="C286" s="6"/>
      <c r="D286" s="2">
        <f t="shared" ref="D286:P286" si="129">D285+D276</f>
        <v>29</v>
      </c>
      <c r="E286" s="2">
        <f t="shared" si="129"/>
        <v>14</v>
      </c>
      <c r="F286" s="2">
        <f t="shared" si="129"/>
        <v>37</v>
      </c>
      <c r="G286" s="2">
        <f t="shared" si="129"/>
        <v>32</v>
      </c>
      <c r="H286" s="2">
        <f t="shared" si="129"/>
        <v>24</v>
      </c>
      <c r="I286" s="2">
        <f t="shared" si="129"/>
        <v>30</v>
      </c>
      <c r="J286" s="2">
        <f t="shared" si="129"/>
        <v>40</v>
      </c>
      <c r="K286" s="2">
        <f t="shared" si="129"/>
        <v>45</v>
      </c>
      <c r="L286" s="2">
        <f t="shared" si="129"/>
        <v>32</v>
      </c>
      <c r="M286" s="2">
        <f t="shared" si="129"/>
        <v>51</v>
      </c>
      <c r="N286" s="2">
        <f t="shared" si="129"/>
        <v>37</v>
      </c>
      <c r="O286" s="2">
        <f t="shared" si="129"/>
        <v>49</v>
      </c>
      <c r="P286" s="15">
        <f t="shared" si="129"/>
        <v>420</v>
      </c>
      <c r="Q286" t="str">
        <f t="shared" si="128"/>
        <v>Общий итог291437322430404532513749420</v>
      </c>
    </row>
    <row r="287" spans="2:17" x14ac:dyDescent="0.3">
      <c r="Q287" t="str">
        <f t="shared" si="128"/>
        <v/>
      </c>
    </row>
    <row r="288" spans="2:17" x14ac:dyDescent="0.3">
      <c r="Q288" t="str">
        <f t="shared" si="128"/>
        <v/>
      </c>
    </row>
    <row r="289" spans="2:17" x14ac:dyDescent="0.3">
      <c r="B289" s="7" t="s">
        <v>146</v>
      </c>
      <c r="Q289" t="str">
        <f t="shared" si="128"/>
        <v>1009900947</v>
      </c>
    </row>
    <row r="290" spans="2:17" x14ac:dyDescent="0.3">
      <c r="B290" s="11" t="s">
        <v>17</v>
      </c>
      <c r="C290" s="11" t="s">
        <v>0</v>
      </c>
      <c r="D290" s="12" t="s">
        <v>2</v>
      </c>
      <c r="E290" s="12" t="s">
        <v>3</v>
      </c>
      <c r="F290" s="12" t="s">
        <v>13</v>
      </c>
      <c r="G290" s="12" t="s">
        <v>4</v>
      </c>
      <c r="H290" s="12" t="s">
        <v>5</v>
      </c>
      <c r="I290" s="12" t="s">
        <v>6</v>
      </c>
      <c r="J290" s="12" t="s">
        <v>7</v>
      </c>
      <c r="K290" s="12" t="s">
        <v>8</v>
      </c>
      <c r="L290" s="12" t="s">
        <v>9</v>
      </c>
      <c r="M290" s="12" t="s">
        <v>10</v>
      </c>
      <c r="N290" s="12" t="s">
        <v>11</v>
      </c>
      <c r="O290" s="12" t="s">
        <v>12</v>
      </c>
      <c r="P290" s="14" t="s">
        <v>1</v>
      </c>
      <c r="Q290" t="str">
        <f t="shared" si="128"/>
        <v>НоменклатураАртикулЯнварь  Февраль  МартАпрель  Май  Июнь  Июль  Август  Сентябрь  Октябрь  Ноябрь  Декабрь  Итог</v>
      </c>
    </row>
    <row r="291" spans="2:17" x14ac:dyDescent="0.3">
      <c r="B291" s="8" t="s">
        <v>149</v>
      </c>
      <c r="C291" s="5">
        <v>1009900947</v>
      </c>
      <c r="D291" s="1"/>
      <c r="E291" s="1">
        <v>1</v>
      </c>
      <c r="F291" s="1">
        <v>2</v>
      </c>
      <c r="G291" s="1">
        <v>1</v>
      </c>
      <c r="H291" s="1"/>
      <c r="I291" s="1"/>
      <c r="J291" s="1">
        <v>1</v>
      </c>
      <c r="K291" s="1"/>
      <c r="L291" s="1"/>
      <c r="M291" s="1"/>
      <c r="N291" s="1"/>
      <c r="O291" s="1"/>
      <c r="P291" s="14">
        <f>SUM(D291:O291)</f>
        <v>5</v>
      </c>
      <c r="Q291" t="str">
        <f t="shared" si="128"/>
        <v>Фильтр масляный 1009900947100990094712115</v>
      </c>
    </row>
    <row r="292" spans="2:17" x14ac:dyDescent="0.3">
      <c r="B292" s="5" t="s">
        <v>149</v>
      </c>
      <c r="C292" s="5">
        <v>1009900947</v>
      </c>
      <c r="D292" s="1"/>
      <c r="E292" s="1"/>
      <c r="F292" s="1"/>
      <c r="G292" s="1"/>
      <c r="H292" s="1"/>
      <c r="I292" s="1"/>
      <c r="J292" s="1">
        <v>1</v>
      </c>
      <c r="K292" s="1"/>
      <c r="L292" s="1"/>
      <c r="M292" s="1"/>
      <c r="N292" s="1"/>
      <c r="O292" s="1"/>
      <c r="P292" s="14">
        <f t="shared" ref="P292:P297" si="130">SUM(D292:O292)</f>
        <v>1</v>
      </c>
      <c r="Q292" t="str">
        <f t="shared" si="128"/>
        <v>Фильтр масляный 1009900947100990094711</v>
      </c>
    </row>
    <row r="293" spans="2:17" x14ac:dyDescent="0.3">
      <c r="B293" s="5" t="s">
        <v>151</v>
      </c>
      <c r="C293" s="5">
        <v>92567</v>
      </c>
      <c r="D293" s="1"/>
      <c r="E293" s="1"/>
      <c r="F293" s="1"/>
      <c r="G293" s="1"/>
      <c r="H293" s="1"/>
      <c r="I293" s="1"/>
      <c r="J293" s="1"/>
      <c r="K293" s="1"/>
      <c r="L293" s="1"/>
      <c r="M293" s="1">
        <v>1</v>
      </c>
      <c r="N293" s="1">
        <v>1</v>
      </c>
      <c r="O293" s="1"/>
      <c r="P293" s="14">
        <f t="shared" si="130"/>
        <v>2</v>
      </c>
      <c r="Q293" t="str">
        <f t="shared" si="128"/>
        <v>Фильтр масляный 9256792567112</v>
      </c>
    </row>
    <row r="294" spans="2:17" x14ac:dyDescent="0.3">
      <c r="B294" s="5" t="s">
        <v>152</v>
      </c>
      <c r="C294" s="5" t="s">
        <v>147</v>
      </c>
      <c r="D294" s="1">
        <v>6</v>
      </c>
      <c r="E294" s="1">
        <v>10</v>
      </c>
      <c r="F294" s="1">
        <v>23</v>
      </c>
      <c r="G294" s="1">
        <v>21</v>
      </c>
      <c r="H294" s="1">
        <v>17</v>
      </c>
      <c r="I294" s="1">
        <v>18</v>
      </c>
      <c r="J294" s="1">
        <v>25</v>
      </c>
      <c r="K294" s="1">
        <v>40</v>
      </c>
      <c r="L294" s="1">
        <v>51</v>
      </c>
      <c r="M294" s="1">
        <v>49</v>
      </c>
      <c r="N294" s="1">
        <v>29</v>
      </c>
      <c r="O294" s="1">
        <v>41</v>
      </c>
      <c r="P294" s="14">
        <f t="shared" si="130"/>
        <v>330</v>
      </c>
      <c r="Q294" t="str">
        <f t="shared" si="128"/>
        <v>Фильтр масляный DIFA 5502DIFA550261023211718254051492941330</v>
      </c>
    </row>
    <row r="295" spans="2:17" x14ac:dyDescent="0.3">
      <c r="B295" s="5" t="s">
        <v>153</v>
      </c>
      <c r="C295" s="5" t="s">
        <v>147</v>
      </c>
      <c r="D295" s="1">
        <v>4</v>
      </c>
      <c r="E295" s="1">
        <v>3</v>
      </c>
      <c r="F295" s="1">
        <v>8</v>
      </c>
      <c r="G295" s="1">
        <v>3</v>
      </c>
      <c r="H295" s="1">
        <v>3</v>
      </c>
      <c r="I295" s="1">
        <v>1</v>
      </c>
      <c r="J295" s="1">
        <v>3</v>
      </c>
      <c r="K295" s="1"/>
      <c r="L295" s="1"/>
      <c r="M295" s="1"/>
      <c r="N295" s="1"/>
      <c r="O295" s="1"/>
      <c r="P295" s="14">
        <f t="shared" si="130"/>
        <v>25</v>
      </c>
      <c r="Q295" t="str">
        <f t="shared" si="128"/>
        <v>Фильтр масляный DIFA5502DIFA5502438331325</v>
      </c>
    </row>
    <row r="296" spans="2:17" x14ac:dyDescent="0.3">
      <c r="B296" s="5" t="s">
        <v>156</v>
      </c>
      <c r="C296" s="5" t="s">
        <v>148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>
        <v>1</v>
      </c>
      <c r="O296" s="1"/>
      <c r="P296" s="14">
        <f t="shared" si="130"/>
        <v>1</v>
      </c>
      <c r="Q296" t="str">
        <f t="shared" si="128"/>
        <v>Фильтр масляный LS50031KLS50031K11</v>
      </c>
    </row>
    <row r="297" spans="2:17" x14ac:dyDescent="0.3">
      <c r="B297" s="5" t="s">
        <v>15</v>
      </c>
      <c r="C297" s="5"/>
      <c r="D297" s="1">
        <f t="shared" ref="D297:O297" si="131">SUM(D291:D296)</f>
        <v>10</v>
      </c>
      <c r="E297" s="1">
        <f t="shared" si="131"/>
        <v>14</v>
      </c>
      <c r="F297" s="1">
        <f t="shared" si="131"/>
        <v>33</v>
      </c>
      <c r="G297" s="1">
        <f t="shared" si="131"/>
        <v>25</v>
      </c>
      <c r="H297" s="1">
        <f t="shared" si="131"/>
        <v>20</v>
      </c>
      <c r="I297" s="1">
        <f t="shared" si="131"/>
        <v>19</v>
      </c>
      <c r="J297" s="1">
        <f t="shared" si="131"/>
        <v>30</v>
      </c>
      <c r="K297" s="1">
        <f t="shared" si="131"/>
        <v>40</v>
      </c>
      <c r="L297" s="1">
        <f t="shared" si="131"/>
        <v>51</v>
      </c>
      <c r="M297" s="1">
        <f t="shared" si="131"/>
        <v>50</v>
      </c>
      <c r="N297" s="1">
        <f t="shared" si="131"/>
        <v>31</v>
      </c>
      <c r="O297" s="1">
        <f t="shared" si="131"/>
        <v>41</v>
      </c>
      <c r="P297" s="14">
        <f t="shared" si="130"/>
        <v>364</v>
      </c>
      <c r="Q297" t="str">
        <f t="shared" si="128"/>
        <v>Итог ПРОДАЖА101433252019304051503141364</v>
      </c>
    </row>
    <row r="298" spans="2:17" x14ac:dyDescent="0.3">
      <c r="B298" s="11" t="s">
        <v>17</v>
      </c>
      <c r="C298" s="11" t="s">
        <v>0</v>
      </c>
      <c r="D298" s="13" t="s">
        <v>2</v>
      </c>
      <c r="E298" s="13" t="s">
        <v>3</v>
      </c>
      <c r="F298" s="13" t="s">
        <v>13</v>
      </c>
      <c r="G298" s="13" t="s">
        <v>4</v>
      </c>
      <c r="H298" s="13" t="s">
        <v>5</v>
      </c>
      <c r="I298" s="13" t="s">
        <v>6</v>
      </c>
      <c r="J298" s="13" t="s">
        <v>7</v>
      </c>
      <c r="K298" s="13" t="s">
        <v>8</v>
      </c>
      <c r="L298" s="13" t="s">
        <v>9</v>
      </c>
      <c r="M298" s="13" t="s">
        <v>10</v>
      </c>
      <c r="N298" s="13" t="s">
        <v>11</v>
      </c>
      <c r="O298" s="13" t="s">
        <v>12</v>
      </c>
      <c r="P298" s="12"/>
      <c r="Q298" t="str">
        <f t="shared" si="128"/>
        <v xml:space="preserve">НоменклатураАртикулЯнварь  Февраль  МартАпрель  Май  Июнь  Июль  Август  Сентябрь  Октябрь  Ноябрь  Декабрь  </v>
      </c>
    </row>
    <row r="299" spans="2:17" x14ac:dyDescent="0.3">
      <c r="B299" s="5" t="s">
        <v>149</v>
      </c>
      <c r="C299" s="5">
        <v>1009900947</v>
      </c>
      <c r="D299" s="1">
        <v>1</v>
      </c>
      <c r="E299" s="1"/>
      <c r="F299" s="1">
        <v>1</v>
      </c>
      <c r="G299" s="1">
        <v>1</v>
      </c>
      <c r="H299" s="1"/>
      <c r="I299" s="1"/>
      <c r="J299" s="1">
        <v>1</v>
      </c>
      <c r="K299" s="1"/>
      <c r="L299" s="1"/>
      <c r="M299" s="1"/>
      <c r="N299" s="1"/>
      <c r="O299" s="1"/>
      <c r="P299" s="14">
        <f t="shared" ref="P299:P303" si="132">SUM(D299:O299)</f>
        <v>4</v>
      </c>
      <c r="Q299" t="str">
        <f t="shared" ref="Q299:Q303" si="133">_xlfn.CONCAT(B299,C299,D299,E299,F299,G299,H299,I299,J299,K299,L299,M299,N299,O299,P299)</f>
        <v>Фильтр масляный 1009900947100990094711114</v>
      </c>
    </row>
    <row r="300" spans="2:17" x14ac:dyDescent="0.3">
      <c r="B300" s="5" t="s">
        <v>149</v>
      </c>
      <c r="C300" s="5">
        <v>1009900947</v>
      </c>
      <c r="D300" s="1"/>
      <c r="E300" s="1">
        <v>1</v>
      </c>
      <c r="F300" s="1"/>
      <c r="G300" s="1"/>
      <c r="H300" s="1"/>
      <c r="I300" s="1"/>
      <c r="J300" s="1"/>
      <c r="K300" s="1"/>
      <c r="L300" s="1"/>
      <c r="M300" s="1"/>
      <c r="N300" s="1">
        <v>1</v>
      </c>
      <c r="O300" s="1"/>
      <c r="P300" s="14">
        <f t="shared" si="132"/>
        <v>2</v>
      </c>
      <c r="Q300" t="str">
        <f t="shared" si="133"/>
        <v>Фильтр масляный 10099009471009900947112</v>
      </c>
    </row>
    <row r="301" spans="2:17" x14ac:dyDescent="0.3">
      <c r="B301" s="5" t="s">
        <v>150</v>
      </c>
      <c r="C301" s="5" t="s">
        <v>158</v>
      </c>
      <c r="D301" s="1"/>
      <c r="E301" s="1"/>
      <c r="F301" s="1"/>
      <c r="G301" s="1"/>
      <c r="H301" s="1"/>
      <c r="I301" s="1">
        <v>2</v>
      </c>
      <c r="J301" s="1">
        <v>1</v>
      </c>
      <c r="K301" s="1"/>
      <c r="L301" s="1">
        <v>1</v>
      </c>
      <c r="M301" s="1">
        <v>3</v>
      </c>
      <c r="N301" s="1"/>
      <c r="O301" s="1">
        <v>2</v>
      </c>
      <c r="P301" s="14">
        <f t="shared" si="132"/>
        <v>9</v>
      </c>
      <c r="Q301" t="str">
        <f t="shared" si="133"/>
        <v>Фильтр масляный 5266016GB104211329</v>
      </c>
    </row>
    <row r="302" spans="2:17" x14ac:dyDescent="0.3">
      <c r="B302" s="5" t="s">
        <v>151</v>
      </c>
      <c r="C302" s="5">
        <v>92567</v>
      </c>
      <c r="D302" s="1"/>
      <c r="E302" s="1">
        <v>4</v>
      </c>
      <c r="F302" s="1">
        <v>2</v>
      </c>
      <c r="G302" s="1">
        <v>5</v>
      </c>
      <c r="H302" s="1">
        <v>1</v>
      </c>
      <c r="I302" s="1">
        <v>6</v>
      </c>
      <c r="J302" s="1">
        <v>3</v>
      </c>
      <c r="K302" s="1">
        <v>3</v>
      </c>
      <c r="L302" s="1">
        <v>2</v>
      </c>
      <c r="M302" s="1">
        <v>1</v>
      </c>
      <c r="N302" s="1"/>
      <c r="O302" s="1">
        <v>1</v>
      </c>
      <c r="P302" s="14">
        <f t="shared" si="132"/>
        <v>28</v>
      </c>
      <c r="Q302" t="str">
        <f t="shared" si="133"/>
        <v>Фильтр масляный 9256792567425163321128</v>
      </c>
    </row>
    <row r="303" spans="2:17" x14ac:dyDescent="0.3">
      <c r="B303" s="5" t="s">
        <v>152</v>
      </c>
      <c r="C303" s="5" t="s">
        <v>147</v>
      </c>
      <c r="D303" s="1">
        <v>10</v>
      </c>
      <c r="E303" s="1"/>
      <c r="F303" s="1">
        <v>14</v>
      </c>
      <c r="G303" s="1">
        <v>5</v>
      </c>
      <c r="H303" s="1">
        <v>11</v>
      </c>
      <c r="I303" s="1">
        <v>12</v>
      </c>
      <c r="J303" s="1">
        <v>12</v>
      </c>
      <c r="K303" s="1">
        <v>19</v>
      </c>
      <c r="L303" s="1">
        <v>25</v>
      </c>
      <c r="M303" s="1">
        <v>11</v>
      </c>
      <c r="N303" s="1">
        <v>27</v>
      </c>
      <c r="O303" s="1">
        <v>42</v>
      </c>
      <c r="P303" s="14">
        <f t="shared" si="132"/>
        <v>188</v>
      </c>
      <c r="Q303" t="str">
        <f t="shared" si="133"/>
        <v>Фильтр масляный DIFA 5502DIFA5502101451112121925112742188</v>
      </c>
    </row>
    <row r="304" spans="2:17" x14ac:dyDescent="0.3">
      <c r="B304" s="5" t="s">
        <v>153</v>
      </c>
      <c r="C304" s="10">
        <v>5502</v>
      </c>
      <c r="D304" s="1"/>
      <c r="E304" s="1"/>
      <c r="F304" s="1"/>
      <c r="G304" s="1"/>
      <c r="H304" s="1"/>
      <c r="I304" s="1"/>
      <c r="J304" s="1"/>
      <c r="K304" s="1">
        <v>1</v>
      </c>
      <c r="L304" s="1"/>
      <c r="M304" s="1"/>
      <c r="N304" s="1"/>
      <c r="O304" s="1"/>
      <c r="P304" s="14">
        <f>SUM(D304:O304)</f>
        <v>1</v>
      </c>
      <c r="Q304" t="str">
        <f t="shared" si="128"/>
        <v>Фильтр масляный DIFA5502550211</v>
      </c>
    </row>
    <row r="305" spans="2:17" x14ac:dyDescent="0.3">
      <c r="B305" s="5" t="s">
        <v>153</v>
      </c>
      <c r="C305" s="5" t="s">
        <v>147</v>
      </c>
      <c r="D305" s="1">
        <v>3</v>
      </c>
      <c r="E305" s="1">
        <v>2</v>
      </c>
      <c r="F305" s="1">
        <v>3</v>
      </c>
      <c r="G305" s="1"/>
      <c r="H305" s="1">
        <v>6</v>
      </c>
      <c r="I305" s="1">
        <v>4</v>
      </c>
      <c r="J305" s="1">
        <v>1</v>
      </c>
      <c r="K305" s="1"/>
      <c r="L305" s="1">
        <v>3</v>
      </c>
      <c r="M305" s="1">
        <v>3</v>
      </c>
      <c r="N305" s="1"/>
      <c r="O305" s="1">
        <v>1</v>
      </c>
      <c r="P305" s="14">
        <f t="shared" ref="P305:P310" si="134">SUM(D305:O305)</f>
        <v>26</v>
      </c>
      <c r="Q305" t="str">
        <f t="shared" si="128"/>
        <v>Фильтр масляный DIFA5502DIFA550232364133126</v>
      </c>
    </row>
    <row r="306" spans="2:17" x14ac:dyDescent="0.3">
      <c r="B306" s="5" t="s">
        <v>154</v>
      </c>
      <c r="C306" s="5" t="s">
        <v>159</v>
      </c>
      <c r="D306" s="1">
        <v>16</v>
      </c>
      <c r="E306" s="1"/>
      <c r="F306" s="1">
        <v>2</v>
      </c>
      <c r="G306" s="1"/>
      <c r="H306" s="1"/>
      <c r="I306" s="1"/>
      <c r="J306" s="1"/>
      <c r="K306" s="1"/>
      <c r="L306" s="1"/>
      <c r="M306" s="1"/>
      <c r="N306" s="1"/>
      <c r="O306" s="1"/>
      <c r="P306" s="14">
        <f t="shared" si="134"/>
        <v>18</v>
      </c>
      <c r="Q306" t="str">
        <f t="shared" si="128"/>
        <v>Фильтр масляный EKO-02.248EKO-02.24816218</v>
      </c>
    </row>
    <row r="307" spans="2:17" x14ac:dyDescent="0.3">
      <c r="B307" s="5" t="s">
        <v>155</v>
      </c>
      <c r="C307" s="5" t="s">
        <v>160</v>
      </c>
      <c r="D307" s="1"/>
      <c r="E307" s="1"/>
      <c r="F307" s="1"/>
      <c r="G307" s="1"/>
      <c r="H307" s="1"/>
      <c r="I307" s="1"/>
      <c r="J307" s="1"/>
      <c r="K307" s="1"/>
      <c r="L307" s="1"/>
      <c r="M307" s="1">
        <v>2</v>
      </c>
      <c r="N307" s="1">
        <v>1</v>
      </c>
      <c r="O307" s="1"/>
      <c r="P307" s="14">
        <f t="shared" si="134"/>
        <v>3</v>
      </c>
      <c r="Q307" t="str">
        <f t="shared" si="128"/>
        <v>Фильтр масляный LF17356LF17356213</v>
      </c>
    </row>
    <row r="308" spans="2:17" x14ac:dyDescent="0.3">
      <c r="B308" s="5" t="s">
        <v>156</v>
      </c>
      <c r="C308" s="5" t="s">
        <v>148</v>
      </c>
      <c r="D308" s="1"/>
      <c r="E308" s="1">
        <v>2</v>
      </c>
      <c r="F308" s="1"/>
      <c r="G308" s="1">
        <v>5</v>
      </c>
      <c r="H308" s="1"/>
      <c r="I308" s="1"/>
      <c r="J308" s="1"/>
      <c r="K308" s="1"/>
      <c r="L308" s="1"/>
      <c r="M308" s="1"/>
      <c r="N308" s="1"/>
      <c r="O308" s="1">
        <v>5</v>
      </c>
      <c r="P308" s="14">
        <f t="shared" si="134"/>
        <v>12</v>
      </c>
      <c r="Q308" t="str">
        <f t="shared" si="128"/>
        <v>Фильтр масляный LS50031KLS50031K25512</v>
      </c>
    </row>
    <row r="309" spans="2:17" x14ac:dyDescent="0.3">
      <c r="B309" s="5" t="s">
        <v>157</v>
      </c>
      <c r="C309" s="5" t="s">
        <v>147</v>
      </c>
      <c r="D309" s="1"/>
      <c r="E309" s="1"/>
      <c r="F309" s="1"/>
      <c r="G309" s="1"/>
      <c r="H309" s="1"/>
      <c r="I309" s="1"/>
      <c r="J309" s="1"/>
      <c r="K309" s="1"/>
      <c r="L309" s="1"/>
      <c r="M309" s="1">
        <v>2</v>
      </c>
      <c r="N309" s="1"/>
      <c r="O309" s="1">
        <v>2</v>
      </c>
      <c r="P309" s="14">
        <f t="shared" si="134"/>
        <v>4</v>
      </c>
      <c r="Q309" t="str">
        <f t="shared" si="128"/>
        <v>Фильтр сменный для маслаDIFA5502224</v>
      </c>
    </row>
    <row r="310" spans="2:17" x14ac:dyDescent="0.3">
      <c r="B310" s="5" t="s">
        <v>16</v>
      </c>
      <c r="C310" s="5"/>
      <c r="D310" s="1">
        <f t="shared" ref="D310:O310" si="135">SUM(D304:D309)</f>
        <v>19</v>
      </c>
      <c r="E310" s="1">
        <f t="shared" si="135"/>
        <v>4</v>
      </c>
      <c r="F310" s="1">
        <f t="shared" si="135"/>
        <v>5</v>
      </c>
      <c r="G310" s="1">
        <f t="shared" si="135"/>
        <v>5</v>
      </c>
      <c r="H310" s="1">
        <f t="shared" si="135"/>
        <v>6</v>
      </c>
      <c r="I310" s="1">
        <f t="shared" si="135"/>
        <v>4</v>
      </c>
      <c r="J310" s="1">
        <f t="shared" si="135"/>
        <v>1</v>
      </c>
      <c r="K310" s="1">
        <f t="shared" si="135"/>
        <v>1</v>
      </c>
      <c r="L310" s="1">
        <f t="shared" si="135"/>
        <v>3</v>
      </c>
      <c r="M310" s="1">
        <f t="shared" si="135"/>
        <v>7</v>
      </c>
      <c r="N310" s="1">
        <f t="shared" si="135"/>
        <v>1</v>
      </c>
      <c r="O310" s="1">
        <f t="shared" si="135"/>
        <v>8</v>
      </c>
      <c r="P310" s="14">
        <f t="shared" si="134"/>
        <v>64</v>
      </c>
      <c r="Q310" t="str">
        <f t="shared" ref="Q310:Q311" si="136">_xlfn.CONCAT(B310,C310,D310,E310,F310,G310,H310,I310,J310,K310,L310,M310,N310,O310,P310)</f>
        <v>Итог СПИСАНИЕ194556411371864</v>
      </c>
    </row>
    <row r="311" spans="2:17" x14ac:dyDescent="0.3">
      <c r="B311" s="6" t="s">
        <v>14</v>
      </c>
      <c r="C311" s="6"/>
      <c r="D311" s="2">
        <f t="shared" ref="D311:P311" si="137">D310+D297</f>
        <v>29</v>
      </c>
      <c r="E311" s="2">
        <f t="shared" si="137"/>
        <v>18</v>
      </c>
      <c r="F311" s="2">
        <f t="shared" si="137"/>
        <v>38</v>
      </c>
      <c r="G311" s="2">
        <f t="shared" si="137"/>
        <v>30</v>
      </c>
      <c r="H311" s="2">
        <f t="shared" si="137"/>
        <v>26</v>
      </c>
      <c r="I311" s="2">
        <f t="shared" si="137"/>
        <v>23</v>
      </c>
      <c r="J311" s="2">
        <f t="shared" si="137"/>
        <v>31</v>
      </c>
      <c r="K311" s="2">
        <f t="shared" si="137"/>
        <v>41</v>
      </c>
      <c r="L311" s="2">
        <f t="shared" si="137"/>
        <v>54</v>
      </c>
      <c r="M311" s="2">
        <f t="shared" si="137"/>
        <v>57</v>
      </c>
      <c r="N311" s="2">
        <f t="shared" si="137"/>
        <v>32</v>
      </c>
      <c r="O311" s="2">
        <f t="shared" si="137"/>
        <v>49</v>
      </c>
      <c r="P311" s="15">
        <f t="shared" si="137"/>
        <v>428</v>
      </c>
      <c r="Q311" t="str">
        <f t="shared" si="136"/>
        <v>Общий итог291838302623314154573249428</v>
      </c>
    </row>
    <row r="312" spans="2:17" x14ac:dyDescent="0.3">
      <c r="Q312" t="str">
        <f t="shared" si="118"/>
        <v/>
      </c>
    </row>
    <row r="313" spans="2:17" x14ac:dyDescent="0.3">
      <c r="Q313" t="str">
        <f t="shared" si="118"/>
        <v/>
      </c>
    </row>
    <row r="314" spans="2:17" x14ac:dyDescent="0.3">
      <c r="B314" s="7" t="s">
        <v>162</v>
      </c>
      <c r="Q314" t="str">
        <f t="shared" si="118"/>
        <v>1000400428</v>
      </c>
    </row>
    <row r="315" spans="2:17" x14ac:dyDescent="0.3">
      <c r="B315" s="11" t="s">
        <v>17</v>
      </c>
      <c r="C315" s="11" t="s">
        <v>0</v>
      </c>
      <c r="D315" s="12" t="s">
        <v>2</v>
      </c>
      <c r="E315" s="12" t="s">
        <v>3</v>
      </c>
      <c r="F315" s="12" t="s">
        <v>13</v>
      </c>
      <c r="G315" s="12" t="s">
        <v>4</v>
      </c>
      <c r="H315" s="12" t="s">
        <v>5</v>
      </c>
      <c r="I315" s="12" t="s">
        <v>6</v>
      </c>
      <c r="J315" s="12" t="s">
        <v>7</v>
      </c>
      <c r="K315" s="12" t="s">
        <v>8</v>
      </c>
      <c r="L315" s="12" t="s">
        <v>9</v>
      </c>
      <c r="M315" s="12" t="s">
        <v>10</v>
      </c>
      <c r="N315" s="12" t="s">
        <v>11</v>
      </c>
      <c r="O315" s="12" t="s">
        <v>12</v>
      </c>
      <c r="P315" s="14" t="s">
        <v>1</v>
      </c>
      <c r="Q315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316" spans="2:17" x14ac:dyDescent="0.3">
      <c r="B316" s="5" t="s">
        <v>219</v>
      </c>
      <c r="C316" s="5" t="s">
        <v>161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</v>
      </c>
      <c r="P316" s="14">
        <f t="shared" ref="P316" si="138">SUM(D316:O316)</f>
        <v>30</v>
      </c>
      <c r="Q316" t="str">
        <f t="shared" ref="Q316" si="139">_xlfn.CONCAT(B316,C316,D316,E316,F316,G316,H316,I316,J316,K316,L316,M316,N316,O316,P316)</f>
        <v>Фильтр топливный ST20047ST200473030</v>
      </c>
    </row>
    <row r="317" spans="2:17" x14ac:dyDescent="0.3">
      <c r="B317" s="5" t="s">
        <v>220</v>
      </c>
      <c r="C317" s="5" t="s">
        <v>161</v>
      </c>
      <c r="D317" s="1"/>
      <c r="E317" s="1"/>
      <c r="F317" s="1"/>
      <c r="G317" s="1"/>
      <c r="H317" s="1"/>
      <c r="I317" s="1"/>
      <c r="J317" s="1">
        <v>10</v>
      </c>
      <c r="K317" s="1"/>
      <c r="L317" s="1"/>
      <c r="M317" s="1"/>
      <c r="N317" s="1"/>
      <c r="O317" s="1"/>
      <c r="P317" s="14">
        <f t="shared" ref="P317:P318" si="140">SUM(D317:O317)</f>
        <v>10</v>
      </c>
      <c r="Q317" t="str">
        <f t="shared" si="118"/>
        <v>Фильтр топливный ST20047 STALST200471010</v>
      </c>
    </row>
    <row r="318" spans="2:17" x14ac:dyDescent="0.3">
      <c r="B318" s="5" t="s">
        <v>15</v>
      </c>
      <c r="C318" s="5"/>
      <c r="D318" s="1">
        <f>SUM(D316:D317)</f>
        <v>0</v>
      </c>
      <c r="E318" s="1">
        <f t="shared" ref="E318:O318" si="141">SUM(E316:E317)</f>
        <v>0</v>
      </c>
      <c r="F318" s="1">
        <f t="shared" si="141"/>
        <v>0</v>
      </c>
      <c r="G318" s="1">
        <f t="shared" si="141"/>
        <v>0</v>
      </c>
      <c r="H318" s="1">
        <f t="shared" si="141"/>
        <v>0</v>
      </c>
      <c r="I318" s="1">
        <f t="shared" si="141"/>
        <v>0</v>
      </c>
      <c r="J318" s="1">
        <f t="shared" si="141"/>
        <v>10</v>
      </c>
      <c r="K318" s="1">
        <f t="shared" si="141"/>
        <v>0</v>
      </c>
      <c r="L318" s="1">
        <f t="shared" si="141"/>
        <v>0</v>
      </c>
      <c r="M318" s="1">
        <f t="shared" si="141"/>
        <v>0</v>
      </c>
      <c r="N318" s="1">
        <f t="shared" si="141"/>
        <v>0</v>
      </c>
      <c r="O318" s="1">
        <f t="shared" si="141"/>
        <v>30</v>
      </c>
      <c r="P318" s="14">
        <f t="shared" si="140"/>
        <v>40</v>
      </c>
      <c r="Q318" t="str">
        <f t="shared" si="118"/>
        <v>Итог ПРОДАЖА0000001000003040</v>
      </c>
    </row>
    <row r="319" spans="2:17" x14ac:dyDescent="0.3">
      <c r="B319" s="11" t="s">
        <v>17</v>
      </c>
      <c r="C319" s="11" t="s">
        <v>0</v>
      </c>
      <c r="D319" s="13" t="s">
        <v>2</v>
      </c>
      <c r="E319" s="13" t="s">
        <v>3</v>
      </c>
      <c r="F319" s="13" t="s">
        <v>13</v>
      </c>
      <c r="G319" s="13" t="s">
        <v>4</v>
      </c>
      <c r="H319" s="13" t="s">
        <v>5</v>
      </c>
      <c r="I319" s="13" t="s">
        <v>6</v>
      </c>
      <c r="J319" s="13" t="s">
        <v>7</v>
      </c>
      <c r="K319" s="13" t="s">
        <v>8</v>
      </c>
      <c r="L319" s="13" t="s">
        <v>9</v>
      </c>
      <c r="M319" s="13" t="s">
        <v>10</v>
      </c>
      <c r="N319" s="13" t="s">
        <v>11</v>
      </c>
      <c r="O319" s="13" t="s">
        <v>12</v>
      </c>
      <c r="P319" s="12"/>
      <c r="Q319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320" spans="2:17" x14ac:dyDescent="0.3">
      <c r="B320" s="5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4">
        <f t="shared" ref="P320:P321" si="142">SUM(D320:O320)</f>
        <v>0</v>
      </c>
      <c r="Q320" t="str">
        <f t="shared" si="118"/>
        <v>0</v>
      </c>
    </row>
    <row r="321" spans="2:17" x14ac:dyDescent="0.3">
      <c r="B321" s="5" t="s">
        <v>16</v>
      </c>
      <c r="C321" s="5"/>
      <c r="D321" s="1">
        <f t="shared" ref="D321:O321" si="143">SUM(D320:D320)</f>
        <v>0</v>
      </c>
      <c r="E321" s="1">
        <f t="shared" si="143"/>
        <v>0</v>
      </c>
      <c r="F321" s="1">
        <f t="shared" si="143"/>
        <v>0</v>
      </c>
      <c r="G321" s="1">
        <f t="shared" si="143"/>
        <v>0</v>
      </c>
      <c r="H321" s="1">
        <f t="shared" si="143"/>
        <v>0</v>
      </c>
      <c r="I321" s="1">
        <f t="shared" si="143"/>
        <v>0</v>
      </c>
      <c r="J321" s="1">
        <f t="shared" si="143"/>
        <v>0</v>
      </c>
      <c r="K321" s="1">
        <f t="shared" si="143"/>
        <v>0</v>
      </c>
      <c r="L321" s="1">
        <f t="shared" si="143"/>
        <v>0</v>
      </c>
      <c r="M321" s="1">
        <f t="shared" si="143"/>
        <v>0</v>
      </c>
      <c r="N321" s="1">
        <f t="shared" si="143"/>
        <v>0</v>
      </c>
      <c r="O321" s="1">
        <f t="shared" si="143"/>
        <v>0</v>
      </c>
      <c r="P321" s="14">
        <f t="shared" si="142"/>
        <v>0</v>
      </c>
      <c r="Q321" t="str">
        <f t="shared" si="118"/>
        <v>Итог СПИСАНИЕ0000000000000</v>
      </c>
    </row>
    <row r="322" spans="2:17" x14ac:dyDescent="0.3">
      <c r="B322" s="6" t="s">
        <v>14</v>
      </c>
      <c r="C322" s="6"/>
      <c r="D322" s="2">
        <f t="shared" ref="D322:P322" si="144">D321+D318</f>
        <v>0</v>
      </c>
      <c r="E322" s="2">
        <f t="shared" si="144"/>
        <v>0</v>
      </c>
      <c r="F322" s="2">
        <f t="shared" si="144"/>
        <v>0</v>
      </c>
      <c r="G322" s="2">
        <f t="shared" si="144"/>
        <v>0</v>
      </c>
      <c r="H322" s="2">
        <f t="shared" si="144"/>
        <v>0</v>
      </c>
      <c r="I322" s="2">
        <f t="shared" si="144"/>
        <v>0</v>
      </c>
      <c r="J322" s="2">
        <f t="shared" si="144"/>
        <v>10</v>
      </c>
      <c r="K322" s="2">
        <f t="shared" si="144"/>
        <v>0</v>
      </c>
      <c r="L322" s="2">
        <f t="shared" si="144"/>
        <v>0</v>
      </c>
      <c r="M322" s="2">
        <f t="shared" si="144"/>
        <v>0</v>
      </c>
      <c r="N322" s="2">
        <f t="shared" si="144"/>
        <v>0</v>
      </c>
      <c r="O322" s="2">
        <f t="shared" si="144"/>
        <v>30</v>
      </c>
      <c r="P322" s="15">
        <f t="shared" si="144"/>
        <v>40</v>
      </c>
      <c r="Q322" t="str">
        <f t="shared" si="118"/>
        <v>Общий итог0000001000003040</v>
      </c>
    </row>
    <row r="323" spans="2:17" x14ac:dyDescent="0.3">
      <c r="Q323" t="str">
        <f t="shared" si="118"/>
        <v/>
      </c>
    </row>
    <row r="324" spans="2:17" x14ac:dyDescent="0.3">
      <c r="Q324" t="str">
        <f t="shared" si="118"/>
        <v/>
      </c>
    </row>
    <row r="325" spans="2:17" x14ac:dyDescent="0.3">
      <c r="B325" s="7" t="s">
        <v>163</v>
      </c>
      <c r="Q325" t="str">
        <f t="shared" si="118"/>
        <v>1000400457</v>
      </c>
    </row>
    <row r="326" spans="2:17" x14ac:dyDescent="0.3">
      <c r="B326" s="11" t="s">
        <v>17</v>
      </c>
      <c r="C326" s="11" t="s">
        <v>0</v>
      </c>
      <c r="D326" s="12" t="s">
        <v>2</v>
      </c>
      <c r="E326" s="12" t="s">
        <v>3</v>
      </c>
      <c r="F326" s="12" t="s">
        <v>13</v>
      </c>
      <c r="G326" s="12" t="s">
        <v>4</v>
      </c>
      <c r="H326" s="12" t="s">
        <v>5</v>
      </c>
      <c r="I326" s="12" t="s">
        <v>6</v>
      </c>
      <c r="J326" s="12" t="s">
        <v>7</v>
      </c>
      <c r="K326" s="12" t="s">
        <v>8</v>
      </c>
      <c r="L326" s="12" t="s">
        <v>9</v>
      </c>
      <c r="M326" s="12" t="s">
        <v>10</v>
      </c>
      <c r="N326" s="12" t="s">
        <v>11</v>
      </c>
      <c r="O326" s="12" t="s">
        <v>12</v>
      </c>
      <c r="P326" s="14" t="s">
        <v>1</v>
      </c>
      <c r="Q326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327" spans="2:17" x14ac:dyDescent="0.3">
      <c r="B327" s="5" t="s">
        <v>165</v>
      </c>
      <c r="C327" s="5">
        <v>5262311</v>
      </c>
      <c r="D327" s="1"/>
      <c r="E327" s="1"/>
      <c r="F327" s="1"/>
      <c r="G327" s="1"/>
      <c r="H327" s="1"/>
      <c r="I327" s="1"/>
      <c r="J327" s="1"/>
      <c r="K327" s="1"/>
      <c r="L327" s="1"/>
      <c r="M327" s="1">
        <v>3</v>
      </c>
      <c r="N327" s="1">
        <v>1</v>
      </c>
      <c r="O327" s="1">
        <v>4</v>
      </c>
      <c r="P327" s="14">
        <f t="shared" ref="P327:P328" si="145">SUM(D327:O327)</f>
        <v>8</v>
      </c>
      <c r="Q327" t="str">
        <f t="shared" si="118"/>
        <v>Фильтр топливный 100040045752623113148</v>
      </c>
    </row>
    <row r="328" spans="2:17" x14ac:dyDescent="0.3">
      <c r="B328" s="5" t="s">
        <v>165</v>
      </c>
      <c r="C328" s="5">
        <v>5262311</v>
      </c>
      <c r="D328" s="1"/>
      <c r="E328" s="1"/>
      <c r="F328" s="1"/>
      <c r="G328" s="1"/>
      <c r="H328" s="1"/>
      <c r="I328" s="1"/>
      <c r="J328" s="1">
        <v>6</v>
      </c>
      <c r="K328" s="1"/>
      <c r="L328" s="1"/>
      <c r="M328" s="1"/>
      <c r="N328" s="1"/>
      <c r="O328" s="1"/>
      <c r="P328" s="14">
        <f t="shared" si="145"/>
        <v>6</v>
      </c>
      <c r="Q328" t="str">
        <f t="shared" ref="Q328" si="146">_xlfn.CONCAT(B328,C328,D328,E328,F328,G328,H328,I328,J328,K328,L328,M328,N328,O328,P328)</f>
        <v>Фильтр топливный 1000400457526231166</v>
      </c>
    </row>
    <row r="329" spans="2:17" x14ac:dyDescent="0.3">
      <c r="B329" s="5" t="s">
        <v>221</v>
      </c>
      <c r="C329" s="5" t="s">
        <v>164</v>
      </c>
      <c r="D329" s="1"/>
      <c r="E329" s="1">
        <v>3</v>
      </c>
      <c r="F329" s="1"/>
      <c r="G329" s="1"/>
      <c r="H329" s="1"/>
      <c r="I329" s="1"/>
      <c r="J329" s="1"/>
      <c r="K329" s="1"/>
      <c r="L329" s="1"/>
      <c r="M329" s="1"/>
      <c r="N329" s="1">
        <v>2</v>
      </c>
      <c r="O329" s="1">
        <v>2</v>
      </c>
      <c r="P329" s="14">
        <f t="shared" ref="P329" si="147">SUM(D329:O329)</f>
        <v>7</v>
      </c>
      <c r="Q329" t="str">
        <f t="shared" ref="Q329" si="148">_xlfn.CONCAT(B329,C329,D329,E329,F329,G329,H329,I329,J329,K329,L329,M329,N329,O329,P329)</f>
        <v>Фильтр топливный DIFA 6501DIFA 65013227</v>
      </c>
    </row>
    <row r="330" spans="2:17" x14ac:dyDescent="0.3">
      <c r="B330" s="5" t="s">
        <v>15</v>
      </c>
      <c r="C330" s="5"/>
      <c r="D330" s="1">
        <f t="shared" ref="D330:O330" si="149">SUM(D327:D329)</f>
        <v>0</v>
      </c>
      <c r="E330" s="1">
        <f t="shared" si="149"/>
        <v>3</v>
      </c>
      <c r="F330" s="1">
        <f t="shared" si="149"/>
        <v>0</v>
      </c>
      <c r="G330" s="1">
        <f t="shared" si="149"/>
        <v>0</v>
      </c>
      <c r="H330" s="1">
        <f t="shared" si="149"/>
        <v>0</v>
      </c>
      <c r="I330" s="1">
        <f t="shared" si="149"/>
        <v>0</v>
      </c>
      <c r="J330" s="1">
        <f t="shared" si="149"/>
        <v>6</v>
      </c>
      <c r="K330" s="1">
        <f t="shared" si="149"/>
        <v>0</v>
      </c>
      <c r="L330" s="1">
        <f t="shared" si="149"/>
        <v>0</v>
      </c>
      <c r="M330" s="1">
        <f t="shared" si="149"/>
        <v>3</v>
      </c>
      <c r="N330" s="1">
        <f t="shared" si="149"/>
        <v>3</v>
      </c>
      <c r="O330" s="1">
        <f t="shared" si="149"/>
        <v>6</v>
      </c>
      <c r="P330" s="14">
        <f t="shared" ref="P330" si="150">SUM(D330:O330)</f>
        <v>21</v>
      </c>
      <c r="Q330" t="str">
        <f t="shared" si="118"/>
        <v>Итог ПРОДАЖА03000060033621</v>
      </c>
    </row>
    <row r="331" spans="2:17" x14ac:dyDescent="0.3">
      <c r="B331" s="11" t="s">
        <v>17</v>
      </c>
      <c r="C331" s="11" t="s">
        <v>0</v>
      </c>
      <c r="D331" s="13" t="s">
        <v>2</v>
      </c>
      <c r="E331" s="13" t="s">
        <v>3</v>
      </c>
      <c r="F331" s="13" t="s">
        <v>13</v>
      </c>
      <c r="G331" s="13" t="s">
        <v>4</v>
      </c>
      <c r="H331" s="13" t="s">
        <v>5</v>
      </c>
      <c r="I331" s="13" t="s">
        <v>6</v>
      </c>
      <c r="J331" s="13" t="s">
        <v>7</v>
      </c>
      <c r="K331" s="13" t="s">
        <v>8</v>
      </c>
      <c r="L331" s="13" t="s">
        <v>9</v>
      </c>
      <c r="M331" s="13" t="s">
        <v>10</v>
      </c>
      <c r="N331" s="13" t="s">
        <v>11</v>
      </c>
      <c r="O331" s="13" t="s">
        <v>12</v>
      </c>
      <c r="P331" s="12"/>
      <c r="Q331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332" spans="2:17" x14ac:dyDescent="0.3">
      <c r="B332" s="5" t="s">
        <v>165</v>
      </c>
      <c r="C332" s="10">
        <v>5262311</v>
      </c>
      <c r="D332" s="1"/>
      <c r="E332" s="1"/>
      <c r="F332" s="1"/>
      <c r="G332" s="1"/>
      <c r="H332" s="1"/>
      <c r="I332" s="1">
        <v>1</v>
      </c>
      <c r="J332" s="1">
        <v>2</v>
      </c>
      <c r="K332" s="1"/>
      <c r="L332" s="1">
        <v>6</v>
      </c>
      <c r="M332" s="1">
        <v>8</v>
      </c>
      <c r="N332" s="1">
        <v>3</v>
      </c>
      <c r="O332" s="1"/>
      <c r="P332" s="14">
        <f>SUM(D332:O332)</f>
        <v>20</v>
      </c>
      <c r="Q332" t="str">
        <f t="shared" si="118"/>
        <v>Фильтр топливный 100040045752623111268320</v>
      </c>
    </row>
    <row r="333" spans="2:17" x14ac:dyDescent="0.3">
      <c r="B333" s="5" t="s">
        <v>165</v>
      </c>
      <c r="C333" s="5">
        <v>1000400457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7</v>
      </c>
      <c r="P333" s="14">
        <f t="shared" ref="P333" si="151">SUM(D333:O333)</f>
        <v>7</v>
      </c>
      <c r="Q333" t="str">
        <f t="shared" si="118"/>
        <v>Фильтр топливный 1000400457100040045777</v>
      </c>
    </row>
    <row r="334" spans="2:17" x14ac:dyDescent="0.3">
      <c r="B334" s="5" t="s">
        <v>16</v>
      </c>
      <c r="C334" s="5"/>
      <c r="D334" s="1">
        <f t="shared" ref="D334:O334" si="152">SUM(D332:D333)</f>
        <v>0</v>
      </c>
      <c r="E334" s="1">
        <f t="shared" si="152"/>
        <v>0</v>
      </c>
      <c r="F334" s="1">
        <f t="shared" si="152"/>
        <v>0</v>
      </c>
      <c r="G334" s="1">
        <f t="shared" si="152"/>
        <v>0</v>
      </c>
      <c r="H334" s="1">
        <f t="shared" si="152"/>
        <v>0</v>
      </c>
      <c r="I334" s="1">
        <f t="shared" si="152"/>
        <v>1</v>
      </c>
      <c r="J334" s="1">
        <f t="shared" si="152"/>
        <v>2</v>
      </c>
      <c r="K334" s="1">
        <f t="shared" si="152"/>
        <v>0</v>
      </c>
      <c r="L334" s="1">
        <f t="shared" si="152"/>
        <v>6</v>
      </c>
      <c r="M334" s="1">
        <f t="shared" si="152"/>
        <v>8</v>
      </c>
      <c r="N334" s="1">
        <f t="shared" si="152"/>
        <v>3</v>
      </c>
      <c r="O334" s="1">
        <f t="shared" si="152"/>
        <v>7</v>
      </c>
      <c r="P334" s="14">
        <f t="shared" ref="P334" si="153">SUM(D334:O334)</f>
        <v>27</v>
      </c>
      <c r="Q334" t="str">
        <f t="shared" si="118"/>
        <v>Итог СПИСАНИЕ00000120683727</v>
      </c>
    </row>
    <row r="335" spans="2:17" x14ac:dyDescent="0.3">
      <c r="B335" s="6" t="s">
        <v>14</v>
      </c>
      <c r="C335" s="6"/>
      <c r="D335" s="2">
        <f t="shared" ref="D335:P335" si="154">D334+D330</f>
        <v>0</v>
      </c>
      <c r="E335" s="2">
        <f t="shared" si="154"/>
        <v>3</v>
      </c>
      <c r="F335" s="2">
        <f t="shared" si="154"/>
        <v>0</v>
      </c>
      <c r="G335" s="2">
        <f t="shared" si="154"/>
        <v>0</v>
      </c>
      <c r="H335" s="2">
        <f t="shared" si="154"/>
        <v>0</v>
      </c>
      <c r="I335" s="2">
        <f t="shared" si="154"/>
        <v>1</v>
      </c>
      <c r="J335" s="2">
        <f t="shared" si="154"/>
        <v>8</v>
      </c>
      <c r="K335" s="2">
        <f t="shared" si="154"/>
        <v>0</v>
      </c>
      <c r="L335" s="2">
        <f t="shared" si="154"/>
        <v>6</v>
      </c>
      <c r="M335" s="2">
        <f t="shared" si="154"/>
        <v>11</v>
      </c>
      <c r="N335" s="2">
        <f t="shared" si="154"/>
        <v>6</v>
      </c>
      <c r="O335" s="2">
        <f t="shared" si="154"/>
        <v>13</v>
      </c>
      <c r="P335" s="15">
        <f t="shared" si="154"/>
        <v>48</v>
      </c>
      <c r="Q335" t="str">
        <f t="shared" si="118"/>
        <v>Общий итог0300018061161348</v>
      </c>
    </row>
    <row r="336" spans="2:17" x14ac:dyDescent="0.3">
      <c r="Q336" t="str">
        <f t="shared" si="118"/>
        <v/>
      </c>
    </row>
    <row r="337" spans="2:17" x14ac:dyDescent="0.3">
      <c r="Q337" t="str">
        <f t="shared" si="118"/>
        <v/>
      </c>
    </row>
    <row r="338" spans="2:17" x14ac:dyDescent="0.3">
      <c r="B338" s="7" t="s">
        <v>166</v>
      </c>
      <c r="Q338" t="str">
        <f t="shared" si="118"/>
        <v>1000300679</v>
      </c>
    </row>
    <row r="339" spans="2:17" x14ac:dyDescent="0.3">
      <c r="B339" s="11" t="s">
        <v>17</v>
      </c>
      <c r="C339" s="11" t="s">
        <v>0</v>
      </c>
      <c r="D339" s="12" t="s">
        <v>2</v>
      </c>
      <c r="E339" s="12" t="s">
        <v>3</v>
      </c>
      <c r="F339" s="12" t="s">
        <v>13</v>
      </c>
      <c r="G339" s="12" t="s">
        <v>4</v>
      </c>
      <c r="H339" s="12" t="s">
        <v>5</v>
      </c>
      <c r="I339" s="12" t="s">
        <v>6</v>
      </c>
      <c r="J339" s="12" t="s">
        <v>7</v>
      </c>
      <c r="K339" s="12" t="s">
        <v>8</v>
      </c>
      <c r="L339" s="12" t="s">
        <v>9</v>
      </c>
      <c r="M339" s="12" t="s">
        <v>10</v>
      </c>
      <c r="N339" s="12" t="s">
        <v>11</v>
      </c>
      <c r="O339" s="12" t="s">
        <v>12</v>
      </c>
      <c r="P339" s="14" t="s">
        <v>1</v>
      </c>
      <c r="Q339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340" spans="2:17" x14ac:dyDescent="0.3">
      <c r="B340" s="8" t="s">
        <v>169</v>
      </c>
      <c r="C340" s="5">
        <v>1000300679</v>
      </c>
      <c r="D340" s="1"/>
      <c r="E340" s="1"/>
      <c r="F340" s="1"/>
      <c r="G340" s="1"/>
      <c r="H340" s="1"/>
      <c r="I340" s="1"/>
      <c r="J340" s="1"/>
      <c r="K340" s="1"/>
      <c r="L340" s="1"/>
      <c r="M340" s="1">
        <v>1</v>
      </c>
      <c r="N340" s="1">
        <v>2</v>
      </c>
      <c r="O340" s="1">
        <v>2</v>
      </c>
      <c r="P340" s="14">
        <f>SUM(D340:O340)</f>
        <v>5</v>
      </c>
      <c r="Q340" t="str">
        <f t="shared" si="118"/>
        <v>Фильтр масляный 100030067910003006791225</v>
      </c>
    </row>
    <row r="341" spans="2:17" x14ac:dyDescent="0.3">
      <c r="B341" s="8" t="s">
        <v>170</v>
      </c>
      <c r="C341" s="5" t="s">
        <v>167</v>
      </c>
      <c r="D341" s="1"/>
      <c r="E341" s="1"/>
      <c r="F341" s="1"/>
      <c r="G341" s="1"/>
      <c r="H341" s="1"/>
      <c r="I341" s="1">
        <v>2</v>
      </c>
      <c r="J341" s="1"/>
      <c r="K341" s="1"/>
      <c r="L341" s="1"/>
      <c r="M341" s="1"/>
      <c r="N341" s="1"/>
      <c r="O341" s="1"/>
      <c r="P341" s="14">
        <f>SUM(D341:O341)</f>
        <v>2</v>
      </c>
      <c r="Q341" t="str">
        <f t="shared" ref="Q341" si="155">_xlfn.CONCAT(B341,C341,D341,E341,F341,G341,H341,I341,J341,K341,L341,M341,N341,O341,P341)</f>
        <v>Фильтр масляный 5399594CJ6176X22</v>
      </c>
    </row>
    <row r="342" spans="2:17" x14ac:dyDescent="0.3">
      <c r="B342" s="8" t="s">
        <v>171</v>
      </c>
      <c r="C342" s="5" t="s">
        <v>168</v>
      </c>
      <c r="D342" s="1"/>
      <c r="E342" s="1"/>
      <c r="F342" s="1"/>
      <c r="G342" s="1"/>
      <c r="H342" s="1"/>
      <c r="I342" s="1"/>
      <c r="J342" s="1">
        <v>1</v>
      </c>
      <c r="K342" s="1"/>
      <c r="L342" s="1"/>
      <c r="M342" s="1">
        <v>3</v>
      </c>
      <c r="N342" s="1">
        <v>4</v>
      </c>
      <c r="O342" s="1">
        <v>5</v>
      </c>
      <c r="P342" s="14">
        <f>SUM(D342:O342)</f>
        <v>13</v>
      </c>
      <c r="Q342" t="str">
        <f t="shared" ref="Q342" si="156">_xlfn.CONCAT(B342,C342,D342,E342,F342,G342,H342,I342,J342,K342,L342,M342,N342,O342,P342)</f>
        <v>Фильтр масляный LS32883KLS32883K134513</v>
      </c>
    </row>
    <row r="343" spans="2:17" x14ac:dyDescent="0.3">
      <c r="B343" s="8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4">
        <f>SUM(D343:O343)</f>
        <v>0</v>
      </c>
      <c r="Q343" t="str">
        <f t="shared" si="118"/>
        <v>0</v>
      </c>
    </row>
    <row r="344" spans="2:17" x14ac:dyDescent="0.3">
      <c r="B344" s="5" t="s">
        <v>15</v>
      </c>
      <c r="C344" s="5"/>
      <c r="D344" s="1">
        <f>SUM(D340:D343)</f>
        <v>0</v>
      </c>
      <c r="E344" s="1">
        <f t="shared" ref="E344:O344" si="157">SUM(E340:E343)</f>
        <v>0</v>
      </c>
      <c r="F344" s="1">
        <f t="shared" si="157"/>
        <v>0</v>
      </c>
      <c r="G344" s="1">
        <f t="shared" si="157"/>
        <v>0</v>
      </c>
      <c r="H344" s="1">
        <f t="shared" si="157"/>
        <v>0</v>
      </c>
      <c r="I344" s="1">
        <f t="shared" si="157"/>
        <v>2</v>
      </c>
      <c r="J344" s="1">
        <f t="shared" si="157"/>
        <v>1</v>
      </c>
      <c r="K344" s="1">
        <f t="shared" si="157"/>
        <v>0</v>
      </c>
      <c r="L344" s="1">
        <f t="shared" si="157"/>
        <v>0</v>
      </c>
      <c r="M344" s="1">
        <f t="shared" si="157"/>
        <v>4</v>
      </c>
      <c r="N344" s="1">
        <f t="shared" si="157"/>
        <v>6</v>
      </c>
      <c r="O344" s="1">
        <f t="shared" si="157"/>
        <v>7</v>
      </c>
      <c r="P344" s="14">
        <f t="shared" ref="P344" si="158">SUM(D344:O344)</f>
        <v>20</v>
      </c>
      <c r="Q344" t="str">
        <f t="shared" si="118"/>
        <v>Итог ПРОДАЖА00000210046720</v>
      </c>
    </row>
    <row r="345" spans="2:17" x14ac:dyDescent="0.3">
      <c r="B345" s="11" t="s">
        <v>17</v>
      </c>
      <c r="C345" s="11" t="s">
        <v>0</v>
      </c>
      <c r="D345" s="13" t="s">
        <v>2</v>
      </c>
      <c r="E345" s="13" t="s">
        <v>3</v>
      </c>
      <c r="F345" s="13" t="s">
        <v>13</v>
      </c>
      <c r="G345" s="13" t="s">
        <v>4</v>
      </c>
      <c r="H345" s="13" t="s">
        <v>5</v>
      </c>
      <c r="I345" s="13" t="s">
        <v>6</v>
      </c>
      <c r="J345" s="13" t="s">
        <v>7</v>
      </c>
      <c r="K345" s="13" t="s">
        <v>8</v>
      </c>
      <c r="L345" s="13" t="s">
        <v>9</v>
      </c>
      <c r="M345" s="13" t="s">
        <v>10</v>
      </c>
      <c r="N345" s="13" t="s">
        <v>11</v>
      </c>
      <c r="O345" s="13" t="s">
        <v>12</v>
      </c>
      <c r="P345" s="12"/>
      <c r="Q345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346" spans="2:17" x14ac:dyDescent="0.3">
      <c r="B346" s="5" t="s">
        <v>169</v>
      </c>
      <c r="C346" s="10">
        <v>1000300679</v>
      </c>
      <c r="D346" s="1"/>
      <c r="E346" s="1"/>
      <c r="F346" s="1"/>
      <c r="G346" s="1"/>
      <c r="H346" s="1"/>
      <c r="I346" s="1"/>
      <c r="J346" s="1"/>
      <c r="K346" s="1"/>
      <c r="L346" s="1">
        <v>3</v>
      </c>
      <c r="M346" s="1">
        <v>2</v>
      </c>
      <c r="N346" s="1">
        <v>5</v>
      </c>
      <c r="O346" s="1">
        <v>5</v>
      </c>
      <c r="P346" s="14">
        <f>SUM(D346:O346)</f>
        <v>15</v>
      </c>
      <c r="Q346" t="str">
        <f t="shared" si="118"/>
        <v>Фильтр масляный 10003006791000300679325515</v>
      </c>
    </row>
    <row r="347" spans="2:17" x14ac:dyDescent="0.3">
      <c r="B347" s="5" t="s">
        <v>170</v>
      </c>
      <c r="C347" s="10" t="s">
        <v>167</v>
      </c>
      <c r="D347" s="1"/>
      <c r="E347" s="1"/>
      <c r="F347" s="1"/>
      <c r="G347" s="1"/>
      <c r="H347" s="1"/>
      <c r="I347" s="1">
        <v>1</v>
      </c>
      <c r="J347" s="1">
        <v>1</v>
      </c>
      <c r="K347" s="1"/>
      <c r="L347" s="1">
        <v>1</v>
      </c>
      <c r="M347" s="1">
        <v>1</v>
      </c>
      <c r="N347" s="1"/>
      <c r="O347" s="1"/>
      <c r="P347" s="14">
        <f>SUM(D347:O347)</f>
        <v>4</v>
      </c>
      <c r="Q347" t="str">
        <f t="shared" ref="Q347" si="159">_xlfn.CONCAT(B347,C347,D347,E347,F347,G347,H347,I347,J347,K347,L347,M347,N347,O347,P347)</f>
        <v>Фильтр масляный 5399594CJ6176X11114</v>
      </c>
    </row>
    <row r="348" spans="2:17" x14ac:dyDescent="0.3">
      <c r="B348" s="5" t="s">
        <v>171</v>
      </c>
      <c r="C348" s="10" t="s">
        <v>168</v>
      </c>
      <c r="D348" s="1"/>
      <c r="E348" s="1"/>
      <c r="F348" s="1"/>
      <c r="G348" s="1"/>
      <c r="H348" s="1"/>
      <c r="I348" s="1"/>
      <c r="J348" s="1"/>
      <c r="K348" s="1"/>
      <c r="L348" s="1">
        <v>2</v>
      </c>
      <c r="M348" s="1">
        <v>9</v>
      </c>
      <c r="N348" s="1">
        <v>1</v>
      </c>
      <c r="O348" s="1">
        <v>6</v>
      </c>
      <c r="P348" s="14">
        <f>SUM(D348:O348)</f>
        <v>18</v>
      </c>
      <c r="Q348" t="str">
        <f t="shared" ref="Q348" si="160">_xlfn.CONCAT(B348,C348,D348,E348,F348,G348,H348,I348,J348,K348,L348,M348,N348,O348,P348)</f>
        <v>Фильтр масляный LS32883KLS32883K291618</v>
      </c>
    </row>
    <row r="349" spans="2:17" x14ac:dyDescent="0.3">
      <c r="B349" s="5" t="s">
        <v>16</v>
      </c>
      <c r="C349" s="5"/>
      <c r="D349" s="1">
        <f t="shared" ref="D349:O349" si="161">SUM(D346:D348)</f>
        <v>0</v>
      </c>
      <c r="E349" s="1">
        <f t="shared" si="161"/>
        <v>0</v>
      </c>
      <c r="F349" s="1">
        <f t="shared" si="161"/>
        <v>0</v>
      </c>
      <c r="G349" s="1">
        <f t="shared" si="161"/>
        <v>0</v>
      </c>
      <c r="H349" s="1">
        <f t="shared" si="161"/>
        <v>0</v>
      </c>
      <c r="I349" s="1">
        <f t="shared" si="161"/>
        <v>1</v>
      </c>
      <c r="J349" s="1">
        <f t="shared" si="161"/>
        <v>1</v>
      </c>
      <c r="K349" s="1">
        <f t="shared" si="161"/>
        <v>0</v>
      </c>
      <c r="L349" s="1">
        <f t="shared" si="161"/>
        <v>6</v>
      </c>
      <c r="M349" s="1">
        <f t="shared" si="161"/>
        <v>12</v>
      </c>
      <c r="N349" s="1">
        <f t="shared" si="161"/>
        <v>6</v>
      </c>
      <c r="O349" s="1">
        <f t="shared" si="161"/>
        <v>11</v>
      </c>
      <c r="P349" s="14">
        <f t="shared" ref="P349" si="162">SUM(D349:O349)</f>
        <v>37</v>
      </c>
      <c r="Q349" t="str">
        <f t="shared" si="118"/>
        <v>Итог СПИСАНИЕ0000011061261137</v>
      </c>
    </row>
    <row r="350" spans="2:17" x14ac:dyDescent="0.3">
      <c r="B350" s="6" t="s">
        <v>14</v>
      </c>
      <c r="C350" s="6"/>
      <c r="D350" s="2">
        <f t="shared" ref="D350:P350" si="163">D349+D344</f>
        <v>0</v>
      </c>
      <c r="E350" s="2">
        <f t="shared" si="163"/>
        <v>0</v>
      </c>
      <c r="F350" s="2">
        <f t="shared" si="163"/>
        <v>0</v>
      </c>
      <c r="G350" s="2">
        <f t="shared" si="163"/>
        <v>0</v>
      </c>
      <c r="H350" s="2">
        <f t="shared" si="163"/>
        <v>0</v>
      </c>
      <c r="I350" s="2">
        <f t="shared" si="163"/>
        <v>3</v>
      </c>
      <c r="J350" s="2">
        <f t="shared" si="163"/>
        <v>2</v>
      </c>
      <c r="K350" s="2">
        <f t="shared" si="163"/>
        <v>0</v>
      </c>
      <c r="L350" s="2">
        <f t="shared" si="163"/>
        <v>6</v>
      </c>
      <c r="M350" s="2">
        <f t="shared" si="163"/>
        <v>16</v>
      </c>
      <c r="N350" s="2">
        <f t="shared" si="163"/>
        <v>12</v>
      </c>
      <c r="O350" s="2">
        <f t="shared" si="163"/>
        <v>18</v>
      </c>
      <c r="P350" s="15">
        <f t="shared" si="163"/>
        <v>57</v>
      </c>
      <c r="Q350" t="str">
        <f t="shared" si="118"/>
        <v>Общий итог00000320616121857</v>
      </c>
    </row>
    <row r="351" spans="2:17" x14ac:dyDescent="0.3">
      <c r="Q351" t="str">
        <f t="shared" si="118"/>
        <v/>
      </c>
    </row>
    <row r="352" spans="2:17" x14ac:dyDescent="0.3">
      <c r="Q352" t="str">
        <f t="shared" si="118"/>
        <v/>
      </c>
    </row>
    <row r="353" spans="2:17" x14ac:dyDescent="0.3">
      <c r="B353" s="7" t="s">
        <v>172</v>
      </c>
      <c r="Q353" t="str">
        <f t="shared" si="118"/>
        <v>1010500489</v>
      </c>
    </row>
    <row r="354" spans="2:17" x14ac:dyDescent="0.3">
      <c r="B354" s="11" t="s">
        <v>17</v>
      </c>
      <c r="C354" s="11" t="s">
        <v>0</v>
      </c>
      <c r="D354" s="12" t="s">
        <v>2</v>
      </c>
      <c r="E354" s="12" t="s">
        <v>3</v>
      </c>
      <c r="F354" s="12" t="s">
        <v>13</v>
      </c>
      <c r="G354" s="12" t="s">
        <v>4</v>
      </c>
      <c r="H354" s="12" t="s">
        <v>5</v>
      </c>
      <c r="I354" s="12" t="s">
        <v>6</v>
      </c>
      <c r="J354" s="12" t="s">
        <v>7</v>
      </c>
      <c r="K354" s="12" t="s">
        <v>8</v>
      </c>
      <c r="L354" s="12" t="s">
        <v>9</v>
      </c>
      <c r="M354" s="12" t="s">
        <v>10</v>
      </c>
      <c r="N354" s="12" t="s">
        <v>11</v>
      </c>
      <c r="O354" s="12" t="s">
        <v>12</v>
      </c>
      <c r="P354" s="14" t="s">
        <v>1</v>
      </c>
      <c r="Q354" t="str">
        <f t="shared" si="118"/>
        <v>НоменклатураАртикулЯнварь  Февраль  МартАпрель  Май  Июнь  Июль  Август  Сентябрь  Октябрь  Ноябрь  Декабрь  Итог</v>
      </c>
    </row>
    <row r="355" spans="2:17" x14ac:dyDescent="0.3">
      <c r="B355" s="8" t="s">
        <v>222</v>
      </c>
      <c r="C355" s="5">
        <v>1010500489</v>
      </c>
      <c r="D355" s="1">
        <v>1</v>
      </c>
      <c r="E355" s="1"/>
      <c r="F355" s="1"/>
      <c r="G355" s="1"/>
      <c r="H355" s="1"/>
      <c r="I355" s="1"/>
      <c r="J355" s="1"/>
      <c r="K355" s="1"/>
      <c r="L355" s="1"/>
      <c r="M355" s="1"/>
      <c r="N355" s="1">
        <v>1</v>
      </c>
      <c r="O355" s="1"/>
      <c r="P355" s="14">
        <f>SUM(D355:O355)</f>
        <v>2</v>
      </c>
      <c r="Q355" t="str">
        <f t="shared" si="118"/>
        <v>Фильтр-сапун в сборе 10105004891010500489112</v>
      </c>
    </row>
    <row r="356" spans="2:17" x14ac:dyDescent="0.3">
      <c r="B356" s="5" t="s">
        <v>15</v>
      </c>
      <c r="C356" s="5"/>
      <c r="D356" s="1">
        <f t="shared" ref="D356:O356" si="164">SUM(D355:D355)</f>
        <v>1</v>
      </c>
      <c r="E356" s="1">
        <f t="shared" si="164"/>
        <v>0</v>
      </c>
      <c r="F356" s="1">
        <f t="shared" si="164"/>
        <v>0</v>
      </c>
      <c r="G356" s="1">
        <f t="shared" si="164"/>
        <v>0</v>
      </c>
      <c r="H356" s="1">
        <f t="shared" si="164"/>
        <v>0</v>
      </c>
      <c r="I356" s="1">
        <f t="shared" si="164"/>
        <v>0</v>
      </c>
      <c r="J356" s="1">
        <f t="shared" si="164"/>
        <v>0</v>
      </c>
      <c r="K356" s="1">
        <f t="shared" si="164"/>
        <v>0</v>
      </c>
      <c r="L356" s="1">
        <f t="shared" si="164"/>
        <v>0</v>
      </c>
      <c r="M356" s="1">
        <f t="shared" si="164"/>
        <v>0</v>
      </c>
      <c r="N356" s="1">
        <f t="shared" si="164"/>
        <v>1</v>
      </c>
      <c r="O356" s="1">
        <f t="shared" si="164"/>
        <v>0</v>
      </c>
      <c r="P356" s="14">
        <f t="shared" ref="P356" si="165">SUM(D356:O356)</f>
        <v>2</v>
      </c>
      <c r="Q356" t="str">
        <f t="shared" si="118"/>
        <v>Итог ПРОДАЖА1000000000102</v>
      </c>
    </row>
    <row r="357" spans="2:17" x14ac:dyDescent="0.3">
      <c r="B357" s="11" t="s">
        <v>17</v>
      </c>
      <c r="C357" s="11" t="s">
        <v>0</v>
      </c>
      <c r="D357" s="13" t="s">
        <v>2</v>
      </c>
      <c r="E357" s="13" t="s">
        <v>3</v>
      </c>
      <c r="F357" s="13" t="s">
        <v>13</v>
      </c>
      <c r="G357" s="13" t="s">
        <v>4</v>
      </c>
      <c r="H357" s="13" t="s">
        <v>5</v>
      </c>
      <c r="I357" s="13" t="s">
        <v>6</v>
      </c>
      <c r="J357" s="13" t="s">
        <v>7</v>
      </c>
      <c r="K357" s="13" t="s">
        <v>8</v>
      </c>
      <c r="L357" s="13" t="s">
        <v>9</v>
      </c>
      <c r="M357" s="13" t="s">
        <v>10</v>
      </c>
      <c r="N357" s="13" t="s">
        <v>11</v>
      </c>
      <c r="O357" s="13" t="s">
        <v>12</v>
      </c>
      <c r="P357" s="12"/>
      <c r="Q357" t="str">
        <f t="shared" si="118"/>
        <v xml:space="preserve">НоменклатураАртикулЯнварь  Февраль  МартАпрель  Май  Июнь  Июль  Август  Сентябрь  Октябрь  Ноябрь  Декабрь  </v>
      </c>
    </row>
    <row r="358" spans="2:17" x14ac:dyDescent="0.3">
      <c r="B358" s="5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4">
        <f t="shared" ref="P358" si="166">SUM(D358:O358)</f>
        <v>0</v>
      </c>
      <c r="Q358" t="str">
        <f t="shared" si="118"/>
        <v>0</v>
      </c>
    </row>
    <row r="359" spans="2:17" x14ac:dyDescent="0.3">
      <c r="B359" s="5" t="s">
        <v>16</v>
      </c>
      <c r="C359" s="5"/>
      <c r="D359" s="1">
        <f t="shared" ref="D359:O359" si="167">SUM(D358:D358)</f>
        <v>0</v>
      </c>
      <c r="E359" s="1">
        <f t="shared" si="167"/>
        <v>0</v>
      </c>
      <c r="F359" s="1">
        <f t="shared" si="167"/>
        <v>0</v>
      </c>
      <c r="G359" s="1">
        <f t="shared" si="167"/>
        <v>0</v>
      </c>
      <c r="H359" s="1">
        <f t="shared" si="167"/>
        <v>0</v>
      </c>
      <c r="I359" s="1">
        <f t="shared" si="167"/>
        <v>0</v>
      </c>
      <c r="J359" s="1">
        <f t="shared" si="167"/>
        <v>0</v>
      </c>
      <c r="K359" s="1">
        <f t="shared" si="167"/>
        <v>0</v>
      </c>
      <c r="L359" s="1">
        <f t="shared" si="167"/>
        <v>0</v>
      </c>
      <c r="M359" s="1">
        <f t="shared" si="167"/>
        <v>0</v>
      </c>
      <c r="N359" s="1">
        <f t="shared" si="167"/>
        <v>0</v>
      </c>
      <c r="O359" s="1">
        <f t="shared" si="167"/>
        <v>0</v>
      </c>
      <c r="P359" s="14">
        <f t="shared" ref="P359" si="168">SUM(D359:O359)</f>
        <v>0</v>
      </c>
      <c r="Q359" t="str">
        <f t="shared" si="118"/>
        <v>Итог СПИСАНИЕ0000000000000</v>
      </c>
    </row>
    <row r="360" spans="2:17" x14ac:dyDescent="0.3">
      <c r="B360" s="6" t="s">
        <v>14</v>
      </c>
      <c r="C360" s="6"/>
      <c r="D360" s="2">
        <f t="shared" ref="D360:P360" si="169">D359+D356</f>
        <v>1</v>
      </c>
      <c r="E360" s="2">
        <f t="shared" si="169"/>
        <v>0</v>
      </c>
      <c r="F360" s="2">
        <f t="shared" si="169"/>
        <v>0</v>
      </c>
      <c r="G360" s="2">
        <f t="shared" si="169"/>
        <v>0</v>
      </c>
      <c r="H360" s="2">
        <f t="shared" si="169"/>
        <v>0</v>
      </c>
      <c r="I360" s="2">
        <f t="shared" si="169"/>
        <v>0</v>
      </c>
      <c r="J360" s="2">
        <f t="shared" si="169"/>
        <v>0</v>
      </c>
      <c r="K360" s="2">
        <f t="shared" si="169"/>
        <v>0</v>
      </c>
      <c r="L360" s="2">
        <f t="shared" si="169"/>
        <v>0</v>
      </c>
      <c r="M360" s="2">
        <f t="shared" si="169"/>
        <v>0</v>
      </c>
      <c r="N360" s="2">
        <f t="shared" si="169"/>
        <v>1</v>
      </c>
      <c r="O360" s="2">
        <f t="shared" si="169"/>
        <v>0</v>
      </c>
      <c r="P360" s="15">
        <f t="shared" si="169"/>
        <v>2</v>
      </c>
      <c r="Q360" t="str">
        <f t="shared" si="118"/>
        <v>Общий итог1000000000102</v>
      </c>
    </row>
    <row r="361" spans="2:17" x14ac:dyDescent="0.3">
      <c r="Q361" t="str">
        <f t="shared" ref="Q361:Q451" si="170">_xlfn.CONCAT(B361,C361,D361,E361,F361,G361,H361,I361,J361,K361,L361,M361,N361,O361,P361)</f>
        <v/>
      </c>
    </row>
    <row r="362" spans="2:17" x14ac:dyDescent="0.3">
      <c r="Q362" t="str">
        <f t="shared" si="170"/>
        <v/>
      </c>
    </row>
    <row r="363" spans="2:17" x14ac:dyDescent="0.3">
      <c r="B363" s="7" t="s">
        <v>173</v>
      </c>
      <c r="Q363" t="str">
        <f t="shared" si="170"/>
        <v>1010601571</v>
      </c>
    </row>
    <row r="364" spans="2:17" x14ac:dyDescent="0.3">
      <c r="B364" s="11" t="s">
        <v>17</v>
      </c>
      <c r="C364" s="11" t="s">
        <v>0</v>
      </c>
      <c r="D364" s="12" t="s">
        <v>2</v>
      </c>
      <c r="E364" s="12" t="s">
        <v>3</v>
      </c>
      <c r="F364" s="12" t="s">
        <v>13</v>
      </c>
      <c r="G364" s="12" t="s">
        <v>4</v>
      </c>
      <c r="H364" s="12" t="s">
        <v>5</v>
      </c>
      <c r="I364" s="12" t="s">
        <v>6</v>
      </c>
      <c r="J364" s="12" t="s">
        <v>7</v>
      </c>
      <c r="K364" s="12" t="s">
        <v>8</v>
      </c>
      <c r="L364" s="12" t="s">
        <v>9</v>
      </c>
      <c r="M364" s="12" t="s">
        <v>10</v>
      </c>
      <c r="N364" s="12" t="s">
        <v>11</v>
      </c>
      <c r="O364" s="12" t="s">
        <v>12</v>
      </c>
      <c r="P364" s="14" t="s">
        <v>1</v>
      </c>
      <c r="Q364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365" spans="2:17" x14ac:dyDescent="0.3">
      <c r="B365" s="8" t="s">
        <v>175</v>
      </c>
      <c r="C365" s="5">
        <v>1010601571</v>
      </c>
      <c r="D365" s="1">
        <v>2</v>
      </c>
      <c r="E365" s="1">
        <v>16</v>
      </c>
      <c r="F365" s="1">
        <v>46</v>
      </c>
      <c r="G365" s="1">
        <v>19</v>
      </c>
      <c r="H365" s="1">
        <v>7</v>
      </c>
      <c r="I365" s="1">
        <v>8</v>
      </c>
      <c r="J365" s="1">
        <v>1</v>
      </c>
      <c r="K365" s="1">
        <v>6</v>
      </c>
      <c r="L365" s="1">
        <v>9</v>
      </c>
      <c r="M365" s="1">
        <v>29</v>
      </c>
      <c r="N365" s="1">
        <v>7</v>
      </c>
      <c r="O365" s="1">
        <v>6</v>
      </c>
      <c r="P365" s="14">
        <f>SUM(D365:O365)</f>
        <v>156</v>
      </c>
      <c r="Q365" t="str">
        <f t="shared" si="170"/>
        <v>Фильтр гидравлический 101060157110106015712164619781692976156</v>
      </c>
    </row>
    <row r="366" spans="2:17" x14ac:dyDescent="0.3">
      <c r="B366" s="5" t="s">
        <v>175</v>
      </c>
      <c r="C366" s="5">
        <v>1010601571</v>
      </c>
      <c r="D366" s="1">
        <v>20</v>
      </c>
      <c r="E366" s="1">
        <v>7</v>
      </c>
      <c r="F366" s="1">
        <v>13</v>
      </c>
      <c r="G366" s="1">
        <v>1</v>
      </c>
      <c r="H366" s="1">
        <v>2</v>
      </c>
      <c r="I366" s="1">
        <v>44</v>
      </c>
      <c r="J366" s="1">
        <v>31</v>
      </c>
      <c r="K366" s="1">
        <v>8</v>
      </c>
      <c r="L366" s="1">
        <v>3</v>
      </c>
      <c r="M366" s="1">
        <v>12</v>
      </c>
      <c r="N366" s="1">
        <v>9</v>
      </c>
      <c r="O366" s="1">
        <v>6</v>
      </c>
      <c r="P366" s="14">
        <f t="shared" ref="P366:P367" si="171">SUM(D366:O366)</f>
        <v>156</v>
      </c>
      <c r="Q366" t="str">
        <f t="shared" si="170"/>
        <v>Фильтр гидравлический 1010601571101060157120713124431831296156</v>
      </c>
    </row>
    <row r="367" spans="2:17" x14ac:dyDescent="0.3">
      <c r="B367" s="5" t="s">
        <v>175</v>
      </c>
      <c r="C367" s="5">
        <v>1010601571</v>
      </c>
      <c r="D367" s="1"/>
      <c r="E367" s="1"/>
      <c r="F367" s="1"/>
      <c r="G367" s="1"/>
      <c r="H367" s="1"/>
      <c r="I367" s="1">
        <v>4</v>
      </c>
      <c r="J367" s="1">
        <v>3</v>
      </c>
      <c r="K367" s="1">
        <v>2</v>
      </c>
      <c r="L367" s="1"/>
      <c r="M367" s="1"/>
      <c r="N367" s="1"/>
      <c r="O367" s="1"/>
      <c r="P367" s="14">
        <f t="shared" si="171"/>
        <v>9</v>
      </c>
      <c r="Q367" t="str">
        <f t="shared" ref="Q367" si="172">_xlfn.CONCAT(B367,C367,D367,E367,F367,G367,H367,I367,J367,K367,L367,M367,N367,O367,P367)</f>
        <v>Фильтр гидравлический 101060157110106015714329</v>
      </c>
    </row>
    <row r="368" spans="2:17" x14ac:dyDescent="0.3">
      <c r="B368" s="5" t="s">
        <v>177</v>
      </c>
      <c r="C368" s="5" t="s">
        <v>174</v>
      </c>
      <c r="D368" s="1">
        <v>12</v>
      </c>
      <c r="E368" s="1">
        <v>1</v>
      </c>
      <c r="F368" s="1"/>
      <c r="G368" s="1"/>
      <c r="H368" s="1">
        <v>3</v>
      </c>
      <c r="I368" s="1"/>
      <c r="J368" s="1"/>
      <c r="K368" s="1"/>
      <c r="L368" s="1"/>
      <c r="M368" s="1"/>
      <c r="N368" s="1"/>
      <c r="O368" s="1"/>
      <c r="P368" s="14">
        <f t="shared" ref="P368" si="173">SUM(D368:O368)</f>
        <v>16</v>
      </c>
      <c r="Q368" t="str">
        <f t="shared" ref="Q368" si="174">_xlfn.CONCAT(B368,C368,D368,E368,F368,G368,H368,I368,J368,K368,L368,M368,N368,O368,P368)</f>
        <v>Фильтр гидравлический RF-4949RF-4949121316</v>
      </c>
    </row>
    <row r="369" spans="2:17" x14ac:dyDescent="0.3">
      <c r="B369" s="5" t="s">
        <v>15</v>
      </c>
      <c r="C369" s="5"/>
      <c r="D369" s="1">
        <f t="shared" ref="D369:O369" si="175">SUM(D365:D368)</f>
        <v>34</v>
      </c>
      <c r="E369" s="1">
        <f t="shared" si="175"/>
        <v>24</v>
      </c>
      <c r="F369" s="1">
        <f t="shared" si="175"/>
        <v>59</v>
      </c>
      <c r="G369" s="1">
        <f t="shared" si="175"/>
        <v>20</v>
      </c>
      <c r="H369" s="1">
        <f t="shared" si="175"/>
        <v>12</v>
      </c>
      <c r="I369" s="1">
        <f t="shared" si="175"/>
        <v>56</v>
      </c>
      <c r="J369" s="1">
        <f t="shared" si="175"/>
        <v>35</v>
      </c>
      <c r="K369" s="1">
        <f t="shared" si="175"/>
        <v>16</v>
      </c>
      <c r="L369" s="1">
        <f t="shared" si="175"/>
        <v>12</v>
      </c>
      <c r="M369" s="1">
        <f t="shared" si="175"/>
        <v>41</v>
      </c>
      <c r="N369" s="1">
        <f t="shared" si="175"/>
        <v>16</v>
      </c>
      <c r="O369" s="1">
        <f t="shared" si="175"/>
        <v>12</v>
      </c>
      <c r="P369" s="14">
        <f t="shared" ref="P369" si="176">SUM(D369:O369)</f>
        <v>337</v>
      </c>
      <c r="Q369" t="str">
        <f t="shared" si="170"/>
        <v>Итог ПРОДАЖА342459201256351612411612337</v>
      </c>
    </row>
    <row r="370" spans="2:17" x14ac:dyDescent="0.3">
      <c r="B370" s="11" t="s">
        <v>17</v>
      </c>
      <c r="C370" s="11" t="s">
        <v>0</v>
      </c>
      <c r="D370" s="13" t="s">
        <v>2</v>
      </c>
      <c r="E370" s="13" t="s">
        <v>3</v>
      </c>
      <c r="F370" s="13" t="s">
        <v>13</v>
      </c>
      <c r="G370" s="13" t="s">
        <v>4</v>
      </c>
      <c r="H370" s="13" t="s">
        <v>5</v>
      </c>
      <c r="I370" s="13" t="s">
        <v>6</v>
      </c>
      <c r="J370" s="13" t="s">
        <v>7</v>
      </c>
      <c r="K370" s="13" t="s">
        <v>8</v>
      </c>
      <c r="L370" s="13" t="s">
        <v>9</v>
      </c>
      <c r="M370" s="13" t="s">
        <v>10</v>
      </c>
      <c r="N370" s="13" t="s">
        <v>11</v>
      </c>
      <c r="O370" s="13" t="s">
        <v>12</v>
      </c>
      <c r="P370" s="12"/>
      <c r="Q370" t="str">
        <f t="shared" si="170"/>
        <v xml:space="preserve">НоменклатураАртикулЯнварь  Февраль  МартАпрель  Май  Июнь  Июль  Август  Сентябрь  Октябрь  Ноябрь  Декабрь  </v>
      </c>
    </row>
    <row r="371" spans="2:17" x14ac:dyDescent="0.3">
      <c r="B371" s="5" t="s">
        <v>175</v>
      </c>
      <c r="C371" s="10">
        <v>1010601571</v>
      </c>
      <c r="D371" s="1"/>
      <c r="E371" s="1">
        <v>12</v>
      </c>
      <c r="F371" s="1">
        <v>3</v>
      </c>
      <c r="G371" s="1">
        <v>14</v>
      </c>
      <c r="H371" s="1">
        <v>15</v>
      </c>
      <c r="I371" s="1">
        <v>4</v>
      </c>
      <c r="J371" s="1">
        <v>13</v>
      </c>
      <c r="K371" s="1">
        <v>3</v>
      </c>
      <c r="L371" s="1">
        <v>15</v>
      </c>
      <c r="M371" s="1">
        <v>31</v>
      </c>
      <c r="N371" s="1">
        <v>27</v>
      </c>
      <c r="O371" s="1">
        <v>31</v>
      </c>
      <c r="P371" s="14">
        <f>SUM(D371:O371)</f>
        <v>168</v>
      </c>
      <c r="Q371" t="str">
        <f t="shared" si="170"/>
        <v>Фильтр гидравлический 101060157110106015711231415413315312731168</v>
      </c>
    </row>
    <row r="372" spans="2:17" x14ac:dyDescent="0.3">
      <c r="B372" s="5" t="s">
        <v>175</v>
      </c>
      <c r="C372" s="5">
        <v>1010601571</v>
      </c>
      <c r="D372" s="1">
        <v>6</v>
      </c>
      <c r="E372" s="1"/>
      <c r="F372" s="1">
        <v>3</v>
      </c>
      <c r="G372" s="1"/>
      <c r="H372" s="1"/>
      <c r="I372" s="1">
        <v>1</v>
      </c>
      <c r="J372" s="1">
        <v>4</v>
      </c>
      <c r="K372" s="1"/>
      <c r="L372" s="1">
        <v>1</v>
      </c>
      <c r="M372" s="1">
        <v>2</v>
      </c>
      <c r="N372" s="1"/>
      <c r="O372" s="1">
        <v>1</v>
      </c>
      <c r="P372" s="14">
        <f t="shared" ref="P372" si="177">SUM(D372:O372)</f>
        <v>18</v>
      </c>
      <c r="Q372" t="str">
        <f t="shared" ref="Q372:Q373" si="178">_xlfn.CONCAT(B372,C372,D372,E372,F372,G372,H372,I372,J372,K372,L372,M372,N372,O372,P372)</f>
        <v>Фильтр гидравлический 10106015711010601571631412118</v>
      </c>
    </row>
    <row r="373" spans="2:17" x14ac:dyDescent="0.3">
      <c r="B373" s="5" t="s">
        <v>176</v>
      </c>
      <c r="C373" s="10" t="s">
        <v>178</v>
      </c>
      <c r="D373" s="1"/>
      <c r="E373" s="1">
        <v>1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4">
        <f>SUM(D373:O373)</f>
        <v>1</v>
      </c>
      <c r="Q373" t="str">
        <f t="shared" si="178"/>
        <v>Фильтр гидравлический HLX-8049HLX-804911</v>
      </c>
    </row>
    <row r="374" spans="2:17" x14ac:dyDescent="0.3">
      <c r="B374" s="5" t="s">
        <v>177</v>
      </c>
      <c r="C374" s="5" t="s">
        <v>174</v>
      </c>
      <c r="D374" s="1"/>
      <c r="E374" s="1">
        <v>1</v>
      </c>
      <c r="F374" s="1"/>
      <c r="G374" s="1">
        <v>2</v>
      </c>
      <c r="H374" s="1">
        <v>2</v>
      </c>
      <c r="I374" s="1">
        <v>2</v>
      </c>
      <c r="J374" s="1">
        <v>1</v>
      </c>
      <c r="K374" s="1"/>
      <c r="L374" s="1"/>
      <c r="M374" s="1">
        <v>2</v>
      </c>
      <c r="N374" s="1"/>
      <c r="O374" s="1">
        <v>1</v>
      </c>
      <c r="P374" s="14">
        <f t="shared" ref="P374" si="179">SUM(D374:O374)</f>
        <v>11</v>
      </c>
      <c r="Q374" t="str">
        <f t="shared" si="170"/>
        <v>Фильтр гидравлический RF-4949RF-4949122212111</v>
      </c>
    </row>
    <row r="375" spans="2:17" x14ac:dyDescent="0.3">
      <c r="B375" s="5" t="s">
        <v>16</v>
      </c>
      <c r="C375" s="5"/>
      <c r="D375" s="1">
        <f t="shared" ref="D375:O375" si="180">SUM(D371:D374)</f>
        <v>6</v>
      </c>
      <c r="E375" s="1">
        <f t="shared" si="180"/>
        <v>14</v>
      </c>
      <c r="F375" s="1">
        <f t="shared" si="180"/>
        <v>6</v>
      </c>
      <c r="G375" s="1">
        <f t="shared" si="180"/>
        <v>16</v>
      </c>
      <c r="H375" s="1">
        <f t="shared" si="180"/>
        <v>17</v>
      </c>
      <c r="I375" s="1">
        <f t="shared" si="180"/>
        <v>7</v>
      </c>
      <c r="J375" s="1">
        <f t="shared" si="180"/>
        <v>18</v>
      </c>
      <c r="K375" s="1">
        <f t="shared" si="180"/>
        <v>3</v>
      </c>
      <c r="L375" s="1">
        <f t="shared" si="180"/>
        <v>16</v>
      </c>
      <c r="M375" s="1">
        <f t="shared" si="180"/>
        <v>35</v>
      </c>
      <c r="N375" s="1">
        <f t="shared" si="180"/>
        <v>27</v>
      </c>
      <c r="O375" s="1">
        <f t="shared" si="180"/>
        <v>33</v>
      </c>
      <c r="P375" s="14">
        <f t="shared" ref="P375" si="181">SUM(D375:O375)</f>
        <v>198</v>
      </c>
      <c r="Q375" t="str">
        <f t="shared" si="170"/>
        <v>Итог СПИСАНИЕ61461617718316352733198</v>
      </c>
    </row>
    <row r="376" spans="2:17" x14ac:dyDescent="0.3">
      <c r="B376" s="6" t="s">
        <v>14</v>
      </c>
      <c r="C376" s="6"/>
      <c r="D376" s="2">
        <f t="shared" ref="D376:P376" si="182">D375+D369</f>
        <v>40</v>
      </c>
      <c r="E376" s="2">
        <f t="shared" si="182"/>
        <v>38</v>
      </c>
      <c r="F376" s="2">
        <f t="shared" si="182"/>
        <v>65</v>
      </c>
      <c r="G376" s="2">
        <f t="shared" si="182"/>
        <v>36</v>
      </c>
      <c r="H376" s="2">
        <f t="shared" si="182"/>
        <v>29</v>
      </c>
      <c r="I376" s="2">
        <f t="shared" si="182"/>
        <v>63</v>
      </c>
      <c r="J376" s="2">
        <f t="shared" si="182"/>
        <v>53</v>
      </c>
      <c r="K376" s="2">
        <f t="shared" si="182"/>
        <v>19</v>
      </c>
      <c r="L376" s="2">
        <f t="shared" si="182"/>
        <v>28</v>
      </c>
      <c r="M376" s="2">
        <f t="shared" si="182"/>
        <v>76</v>
      </c>
      <c r="N376" s="2">
        <f t="shared" si="182"/>
        <v>43</v>
      </c>
      <c r="O376" s="2">
        <f t="shared" si="182"/>
        <v>45</v>
      </c>
      <c r="P376" s="15">
        <f t="shared" si="182"/>
        <v>535</v>
      </c>
      <c r="Q376" t="str">
        <f t="shared" si="170"/>
        <v>Общий итог403865362963531928764345535</v>
      </c>
    </row>
    <row r="377" spans="2:17" x14ac:dyDescent="0.3">
      <c r="Q377" t="str">
        <f t="shared" si="170"/>
        <v/>
      </c>
    </row>
    <row r="378" spans="2:17" x14ac:dyDescent="0.3">
      <c r="Q378" t="str">
        <f t="shared" si="170"/>
        <v/>
      </c>
    </row>
    <row r="379" spans="2:17" x14ac:dyDescent="0.3">
      <c r="B379" s="7" t="s">
        <v>182</v>
      </c>
      <c r="Q379" t="str">
        <f t="shared" si="170"/>
        <v>1019902592</v>
      </c>
    </row>
    <row r="380" spans="2:17" x14ac:dyDescent="0.3">
      <c r="B380" s="11" t="s">
        <v>17</v>
      </c>
      <c r="C380" s="11" t="s">
        <v>0</v>
      </c>
      <c r="D380" s="12" t="s">
        <v>2</v>
      </c>
      <c r="E380" s="12" t="s">
        <v>3</v>
      </c>
      <c r="F380" s="12" t="s">
        <v>13</v>
      </c>
      <c r="G380" s="12" t="s">
        <v>4</v>
      </c>
      <c r="H380" s="12" t="s">
        <v>5</v>
      </c>
      <c r="I380" s="12" t="s">
        <v>6</v>
      </c>
      <c r="J380" s="12" t="s">
        <v>7</v>
      </c>
      <c r="K380" s="12" t="s">
        <v>8</v>
      </c>
      <c r="L380" s="12" t="s">
        <v>9</v>
      </c>
      <c r="M380" s="12" t="s">
        <v>10</v>
      </c>
      <c r="N380" s="12" t="s">
        <v>11</v>
      </c>
      <c r="O380" s="12" t="s">
        <v>12</v>
      </c>
      <c r="P380" s="14" t="s">
        <v>1</v>
      </c>
      <c r="Q380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381" spans="2:17" x14ac:dyDescent="0.3">
      <c r="B381" s="8" t="s">
        <v>223</v>
      </c>
      <c r="C381" s="5">
        <v>1010602080</v>
      </c>
      <c r="D381" s="1"/>
      <c r="E381" s="1"/>
      <c r="F381" s="1"/>
      <c r="G381" s="1"/>
      <c r="H381" s="1"/>
      <c r="I381" s="1"/>
      <c r="J381" s="1"/>
      <c r="K381" s="1"/>
      <c r="L381" s="1"/>
      <c r="M381" s="1">
        <v>14</v>
      </c>
      <c r="N381" s="1">
        <v>21</v>
      </c>
      <c r="O381" s="1">
        <v>14</v>
      </c>
      <c r="P381" s="14">
        <f>SUM(D381:O381)</f>
        <v>49</v>
      </c>
      <c r="Q381" t="str">
        <f t="shared" si="170"/>
        <v>Фильтр гидравлический 1010602080101060208014211449</v>
      </c>
    </row>
    <row r="382" spans="2:17" x14ac:dyDescent="0.3">
      <c r="B382" s="5" t="s">
        <v>183</v>
      </c>
      <c r="C382" s="5" t="s">
        <v>179</v>
      </c>
      <c r="D382" s="1"/>
      <c r="E382" s="1"/>
      <c r="F382" s="1">
        <v>10</v>
      </c>
      <c r="G382" s="1"/>
      <c r="H382" s="1">
        <v>1</v>
      </c>
      <c r="I382" s="1">
        <v>44</v>
      </c>
      <c r="J382" s="1">
        <v>29</v>
      </c>
      <c r="K382" s="1">
        <v>4</v>
      </c>
      <c r="L382" s="1">
        <v>1</v>
      </c>
      <c r="M382" s="1"/>
      <c r="N382" s="1">
        <v>1</v>
      </c>
      <c r="O382" s="1"/>
      <c r="P382" s="14">
        <f t="shared" ref="P382" si="183">SUM(D382:O382)</f>
        <v>90</v>
      </c>
      <c r="Q382" t="str">
        <f t="shared" si="170"/>
        <v>Фильтр гидравлический G-0055D005ONG-0055D005ON101442941190</v>
      </c>
    </row>
    <row r="383" spans="2:17" x14ac:dyDescent="0.3">
      <c r="B383" s="8" t="s">
        <v>183</v>
      </c>
      <c r="C383" s="5" t="s">
        <v>179</v>
      </c>
      <c r="D383" s="1">
        <v>12</v>
      </c>
      <c r="E383" s="1">
        <v>1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4">
        <f>SUM(D383:O383)</f>
        <v>13</v>
      </c>
      <c r="Q383" t="str">
        <f t="shared" ref="Q383:Q384" si="184">_xlfn.CONCAT(B383,C383,D383,E383,F383,G383,H383,I383,J383,K383,L383,M383,N383,O383,P383)</f>
        <v>Фильтр гидравлический G-0055D005ONG-0055D005ON12113</v>
      </c>
    </row>
    <row r="384" spans="2:17" x14ac:dyDescent="0.3">
      <c r="B384" s="5" t="s">
        <v>183</v>
      </c>
      <c r="C384" s="5" t="s">
        <v>179</v>
      </c>
      <c r="D384" s="1"/>
      <c r="E384" s="1">
        <v>18</v>
      </c>
      <c r="F384" s="1">
        <v>39</v>
      </c>
      <c r="G384" s="1">
        <v>56</v>
      </c>
      <c r="H384" s="1">
        <v>11</v>
      </c>
      <c r="I384" s="1">
        <v>5</v>
      </c>
      <c r="J384" s="1">
        <v>1</v>
      </c>
      <c r="K384" s="1"/>
      <c r="L384" s="1"/>
      <c r="M384" s="1">
        <v>1</v>
      </c>
      <c r="N384" s="1"/>
      <c r="O384" s="1"/>
      <c r="P384" s="14">
        <f t="shared" ref="P384" si="185">SUM(D384:O384)</f>
        <v>131</v>
      </c>
      <c r="Q384" t="str">
        <f t="shared" si="184"/>
        <v>Фильтр гидравлический G-0055D005ONG-0055D005ON18395611511131</v>
      </c>
    </row>
    <row r="385" spans="2:17" x14ac:dyDescent="0.3">
      <c r="B385" s="8" t="s">
        <v>185</v>
      </c>
      <c r="C385" s="5" t="s">
        <v>180</v>
      </c>
      <c r="D385" s="1">
        <v>19</v>
      </c>
      <c r="E385" s="1">
        <v>10</v>
      </c>
      <c r="F385" s="1">
        <v>15</v>
      </c>
      <c r="G385" s="1">
        <v>4</v>
      </c>
      <c r="H385" s="1"/>
      <c r="I385" s="1">
        <v>3</v>
      </c>
      <c r="J385" s="1">
        <v>2</v>
      </c>
      <c r="K385" s="1"/>
      <c r="L385" s="1">
        <v>3</v>
      </c>
      <c r="M385" s="1">
        <v>6</v>
      </c>
      <c r="N385" s="1">
        <v>1</v>
      </c>
      <c r="O385" s="1">
        <v>3</v>
      </c>
      <c r="P385" s="14">
        <f>SUM(D385:O385)</f>
        <v>66</v>
      </c>
      <c r="Q385" t="str">
        <f t="shared" ref="Q385:Q386" si="186">_xlfn.CONCAT(B385,C385,D385,E385,F385,G385,H385,I385,J385,K385,L385,M385,N385,O385,P385)</f>
        <v>Фильтр гидравлический RF-4390RF-4390191015432361366</v>
      </c>
    </row>
    <row r="386" spans="2:17" x14ac:dyDescent="0.3">
      <c r="B386" s="5" t="s">
        <v>187</v>
      </c>
      <c r="C386" s="5" t="s">
        <v>181</v>
      </c>
      <c r="D386" s="1"/>
      <c r="E386" s="1"/>
      <c r="F386" s="1"/>
      <c r="G386" s="1"/>
      <c r="H386" s="1"/>
      <c r="I386" s="1"/>
      <c r="J386" s="1">
        <v>5</v>
      </c>
      <c r="K386" s="1">
        <v>4</v>
      </c>
      <c r="L386" s="1">
        <v>12</v>
      </c>
      <c r="M386" s="1">
        <v>20</v>
      </c>
      <c r="N386" s="1">
        <v>1</v>
      </c>
      <c r="O386" s="1">
        <v>15</v>
      </c>
      <c r="P386" s="14">
        <f t="shared" ref="P386" si="187">SUM(D386:O386)</f>
        <v>57</v>
      </c>
      <c r="Q386" t="str">
        <f t="shared" si="186"/>
        <v>Фильтр гидравлический ST38007ST3800754122011557</v>
      </c>
    </row>
    <row r="387" spans="2:17" x14ac:dyDescent="0.3">
      <c r="B387" s="8" t="s">
        <v>187</v>
      </c>
      <c r="C387" s="5" t="s">
        <v>181</v>
      </c>
      <c r="D387" s="1">
        <v>6</v>
      </c>
      <c r="E387" s="1">
        <v>5</v>
      </c>
      <c r="F387" s="1">
        <v>9</v>
      </c>
      <c r="G387" s="1">
        <v>9</v>
      </c>
      <c r="H387" s="1">
        <v>5</v>
      </c>
      <c r="I387" s="1"/>
      <c r="J387" s="1">
        <v>37</v>
      </c>
      <c r="K387" s="1">
        <v>18</v>
      </c>
      <c r="L387" s="1">
        <v>16</v>
      </c>
      <c r="M387" s="1">
        <v>13</v>
      </c>
      <c r="N387" s="1">
        <v>5</v>
      </c>
      <c r="O387" s="1">
        <v>4</v>
      </c>
      <c r="P387" s="14">
        <f>SUM(D387:O387)</f>
        <v>127</v>
      </c>
      <c r="Q387" t="str">
        <f t="shared" si="170"/>
        <v>Фильтр гидравлический ST38007ST38007659953718161354127</v>
      </c>
    </row>
    <row r="388" spans="2:17" x14ac:dyDescent="0.3">
      <c r="B388" s="5" t="s">
        <v>15</v>
      </c>
      <c r="C388" s="5"/>
      <c r="D388" s="1">
        <f t="shared" ref="D388:O388" si="188">SUM(D381:D387)</f>
        <v>37</v>
      </c>
      <c r="E388" s="1">
        <f t="shared" si="188"/>
        <v>34</v>
      </c>
      <c r="F388" s="1">
        <f t="shared" si="188"/>
        <v>73</v>
      </c>
      <c r="G388" s="1">
        <f t="shared" si="188"/>
        <v>69</v>
      </c>
      <c r="H388" s="1">
        <f t="shared" si="188"/>
        <v>17</v>
      </c>
      <c r="I388" s="1">
        <f t="shared" si="188"/>
        <v>52</v>
      </c>
      <c r="J388" s="1">
        <f t="shared" si="188"/>
        <v>74</v>
      </c>
      <c r="K388" s="1">
        <f t="shared" si="188"/>
        <v>26</v>
      </c>
      <c r="L388" s="1">
        <f t="shared" si="188"/>
        <v>32</v>
      </c>
      <c r="M388" s="1">
        <f t="shared" si="188"/>
        <v>54</v>
      </c>
      <c r="N388" s="1">
        <f t="shared" si="188"/>
        <v>29</v>
      </c>
      <c r="O388" s="1">
        <f t="shared" si="188"/>
        <v>36</v>
      </c>
      <c r="P388" s="14">
        <f t="shared" ref="P388" si="189">SUM(D388:O388)</f>
        <v>533</v>
      </c>
      <c r="Q388" t="str">
        <f t="shared" si="170"/>
        <v>Итог ПРОДАЖА373473691752742632542936533</v>
      </c>
    </row>
    <row r="389" spans="2:17" x14ac:dyDescent="0.3">
      <c r="B389" s="11" t="s">
        <v>17</v>
      </c>
      <c r="C389" s="11" t="s">
        <v>0</v>
      </c>
      <c r="D389" s="13" t="s">
        <v>2</v>
      </c>
      <c r="E389" s="13" t="s">
        <v>3</v>
      </c>
      <c r="F389" s="13" t="s">
        <v>13</v>
      </c>
      <c r="G389" s="13" t="s">
        <v>4</v>
      </c>
      <c r="H389" s="13" t="s">
        <v>5</v>
      </c>
      <c r="I389" s="13" t="s">
        <v>6</v>
      </c>
      <c r="J389" s="13" t="s">
        <v>7</v>
      </c>
      <c r="K389" s="13" t="s">
        <v>8</v>
      </c>
      <c r="L389" s="13" t="s">
        <v>9</v>
      </c>
      <c r="M389" s="13" t="s">
        <v>10</v>
      </c>
      <c r="N389" s="13" t="s">
        <v>11</v>
      </c>
      <c r="O389" s="13" t="s">
        <v>12</v>
      </c>
      <c r="P389" s="12"/>
      <c r="Q389" t="str">
        <f t="shared" si="170"/>
        <v xml:space="preserve">НоменклатураАртикулЯнварь  Февраль  МартАпрель  Май  Июнь  Июль  Август  Сентябрь  Октябрь  Ноябрь  Декабрь  </v>
      </c>
    </row>
    <row r="390" spans="2:17" x14ac:dyDescent="0.3">
      <c r="B390" s="5" t="s">
        <v>183</v>
      </c>
      <c r="C390" s="10" t="s">
        <v>179</v>
      </c>
      <c r="D390" s="1"/>
      <c r="E390" s="1">
        <v>2</v>
      </c>
      <c r="F390" s="1">
        <v>1</v>
      </c>
      <c r="G390" s="1"/>
      <c r="H390" s="1">
        <v>3</v>
      </c>
      <c r="I390" s="1">
        <v>1</v>
      </c>
      <c r="J390" s="1">
        <v>1</v>
      </c>
      <c r="K390" s="1"/>
      <c r="L390" s="1"/>
      <c r="M390" s="1">
        <v>2</v>
      </c>
      <c r="N390" s="1"/>
      <c r="O390" s="1">
        <v>2</v>
      </c>
      <c r="P390" s="14">
        <f>SUM(D390:O390)</f>
        <v>12</v>
      </c>
      <c r="Q390" t="str">
        <f t="shared" si="170"/>
        <v>Фильтр гидравлический G-0055D005ONG-0055D005ON213112212</v>
      </c>
    </row>
    <row r="391" spans="2:17" x14ac:dyDescent="0.3">
      <c r="B391" s="5" t="s">
        <v>183</v>
      </c>
      <c r="C391" s="5" t="s">
        <v>179</v>
      </c>
      <c r="D391" s="1"/>
      <c r="E391" s="1"/>
      <c r="F391" s="1">
        <v>2</v>
      </c>
      <c r="G391" s="1"/>
      <c r="H391" s="1"/>
      <c r="I391" s="1">
        <v>3</v>
      </c>
      <c r="J391" s="1">
        <v>4</v>
      </c>
      <c r="K391" s="1"/>
      <c r="L391" s="1">
        <v>6</v>
      </c>
      <c r="M391" s="1">
        <v>7</v>
      </c>
      <c r="N391" s="1"/>
      <c r="O391" s="1"/>
      <c r="P391" s="14">
        <f t="shared" ref="P391:P392" si="190">SUM(D391:O391)</f>
        <v>22</v>
      </c>
      <c r="Q391" t="str">
        <f t="shared" si="170"/>
        <v>Фильтр гидравлический G-0055D005ONG-0055D005ON2346722</v>
      </c>
    </row>
    <row r="392" spans="2:17" x14ac:dyDescent="0.3">
      <c r="B392" s="5" t="s">
        <v>183</v>
      </c>
      <c r="C392" s="5" t="s">
        <v>179</v>
      </c>
      <c r="D392" s="1"/>
      <c r="E392" s="1">
        <v>2</v>
      </c>
      <c r="F392" s="1">
        <v>6</v>
      </c>
      <c r="G392" s="1">
        <v>9</v>
      </c>
      <c r="H392" s="1">
        <v>8</v>
      </c>
      <c r="I392" s="1">
        <v>2</v>
      </c>
      <c r="J392" s="1">
        <v>10</v>
      </c>
      <c r="K392" s="1"/>
      <c r="L392" s="1">
        <v>1</v>
      </c>
      <c r="M392" s="1">
        <v>6</v>
      </c>
      <c r="N392" s="1">
        <v>11</v>
      </c>
      <c r="O392" s="1">
        <v>5</v>
      </c>
      <c r="P392" s="14">
        <f t="shared" si="190"/>
        <v>60</v>
      </c>
      <c r="Q392" t="str">
        <f t="shared" ref="Q392:Q397" si="191">_xlfn.CONCAT(B392,C392,D392,E392,F392,G392,H392,I392,J392,K392,L392,M392,N392,O392,P392)</f>
        <v>Фильтр гидравлический G-0055D005ONG-0055D005ON26982101611560</v>
      </c>
    </row>
    <row r="393" spans="2:17" x14ac:dyDescent="0.3">
      <c r="B393" s="8" t="s">
        <v>184</v>
      </c>
      <c r="C393" s="5" t="s">
        <v>188</v>
      </c>
      <c r="D393" s="1"/>
      <c r="E393" s="1"/>
      <c r="F393" s="1"/>
      <c r="G393" s="1"/>
      <c r="H393" s="1"/>
      <c r="I393" s="1"/>
      <c r="J393" s="1"/>
      <c r="K393" s="1"/>
      <c r="L393" s="1"/>
      <c r="M393" s="1">
        <v>1</v>
      </c>
      <c r="N393" s="1"/>
      <c r="O393" s="1"/>
      <c r="P393" s="14">
        <f>SUM(D393:O393)</f>
        <v>1</v>
      </c>
      <c r="Q393" t="str">
        <f t="shared" si="191"/>
        <v>Фильтр гидравлический P764665P76466511</v>
      </c>
    </row>
    <row r="394" spans="2:17" x14ac:dyDescent="0.3">
      <c r="B394" s="5" t="s">
        <v>185</v>
      </c>
      <c r="C394" s="5" t="s">
        <v>180</v>
      </c>
      <c r="D394" s="1"/>
      <c r="E394" s="1"/>
      <c r="F394" s="1"/>
      <c r="G394" s="1">
        <v>3</v>
      </c>
      <c r="H394" s="1">
        <v>2</v>
      </c>
      <c r="I394" s="1">
        <v>2</v>
      </c>
      <c r="J394" s="1">
        <v>1</v>
      </c>
      <c r="K394" s="1">
        <v>2</v>
      </c>
      <c r="L394" s="1"/>
      <c r="M394" s="1">
        <v>5</v>
      </c>
      <c r="N394" s="1">
        <v>1</v>
      </c>
      <c r="O394" s="1">
        <v>3</v>
      </c>
      <c r="P394" s="14">
        <f t="shared" ref="P394" si="192">SUM(D394:O394)</f>
        <v>19</v>
      </c>
      <c r="Q394" t="str">
        <f t="shared" si="191"/>
        <v>Фильтр гидравлический RF-4390RF-43903221251319</v>
      </c>
    </row>
    <row r="395" spans="2:17" x14ac:dyDescent="0.3">
      <c r="B395" s="8" t="s">
        <v>186</v>
      </c>
      <c r="C395" s="5" t="s">
        <v>189</v>
      </c>
      <c r="D395" s="1">
        <v>1</v>
      </c>
      <c r="E395" s="1">
        <v>1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4">
        <f>SUM(D395:O395)</f>
        <v>2</v>
      </c>
      <c r="Q395" t="str">
        <f t="shared" si="191"/>
        <v>Фильтр гидравлический SH75205SH75205112</v>
      </c>
    </row>
    <row r="396" spans="2:17" x14ac:dyDescent="0.3">
      <c r="B396" s="5" t="s">
        <v>187</v>
      </c>
      <c r="C396" s="5" t="s">
        <v>181</v>
      </c>
      <c r="D396" s="1"/>
      <c r="E396" s="1"/>
      <c r="F396" s="1"/>
      <c r="G396" s="1"/>
      <c r="H396" s="1"/>
      <c r="I396" s="1"/>
      <c r="J396" s="1"/>
      <c r="K396" s="1"/>
      <c r="L396" s="1"/>
      <c r="M396" s="1">
        <v>3</v>
      </c>
      <c r="N396" s="1">
        <v>7</v>
      </c>
      <c r="O396" s="1">
        <v>5</v>
      </c>
      <c r="P396" s="14">
        <f t="shared" ref="P396" si="193">SUM(D396:O396)</f>
        <v>15</v>
      </c>
      <c r="Q396" t="str">
        <f t="shared" si="191"/>
        <v>Фильтр гидравлический ST38007ST3800737515</v>
      </c>
    </row>
    <row r="397" spans="2:17" x14ac:dyDescent="0.3">
      <c r="B397" s="8" t="s">
        <v>187</v>
      </c>
      <c r="C397" s="5" t="s">
        <v>181</v>
      </c>
      <c r="D397" s="1"/>
      <c r="E397" s="1"/>
      <c r="F397" s="1"/>
      <c r="G397" s="1"/>
      <c r="H397" s="1"/>
      <c r="I397" s="1"/>
      <c r="J397" s="1"/>
      <c r="K397" s="1"/>
      <c r="L397" s="1">
        <v>8</v>
      </c>
      <c r="M397" s="1">
        <v>9</v>
      </c>
      <c r="N397" s="1">
        <v>5</v>
      </c>
      <c r="O397" s="1">
        <v>7</v>
      </c>
      <c r="P397" s="14">
        <f>SUM(D397:O397)</f>
        <v>29</v>
      </c>
      <c r="Q397" t="str">
        <f t="shared" si="191"/>
        <v>Фильтр гидравлический ST38007ST38007895729</v>
      </c>
    </row>
    <row r="398" spans="2:17" x14ac:dyDescent="0.3">
      <c r="B398" s="5" t="s">
        <v>16</v>
      </c>
      <c r="C398" s="5"/>
      <c r="D398" s="1">
        <f t="shared" ref="D398:O398" si="194">SUM(D390:D397)</f>
        <v>1</v>
      </c>
      <c r="E398" s="1">
        <f t="shared" si="194"/>
        <v>5</v>
      </c>
      <c r="F398" s="1">
        <f t="shared" si="194"/>
        <v>9</v>
      </c>
      <c r="G398" s="1">
        <f t="shared" si="194"/>
        <v>12</v>
      </c>
      <c r="H398" s="1">
        <f t="shared" si="194"/>
        <v>13</v>
      </c>
      <c r="I398" s="1">
        <f t="shared" si="194"/>
        <v>8</v>
      </c>
      <c r="J398" s="1">
        <f t="shared" si="194"/>
        <v>16</v>
      </c>
      <c r="K398" s="1">
        <f t="shared" si="194"/>
        <v>2</v>
      </c>
      <c r="L398" s="1">
        <f t="shared" si="194"/>
        <v>15</v>
      </c>
      <c r="M398" s="1">
        <f t="shared" si="194"/>
        <v>33</v>
      </c>
      <c r="N398" s="1">
        <f t="shared" si="194"/>
        <v>24</v>
      </c>
      <c r="O398" s="1">
        <f t="shared" si="194"/>
        <v>22</v>
      </c>
      <c r="P398" s="14">
        <f t="shared" ref="P398" si="195">SUM(D398:O398)</f>
        <v>160</v>
      </c>
      <c r="Q398" t="str">
        <f t="shared" si="170"/>
        <v>Итог СПИСАНИЕ1591213816215332422160</v>
      </c>
    </row>
    <row r="399" spans="2:17" x14ac:dyDescent="0.3">
      <c r="B399" s="6" t="s">
        <v>14</v>
      </c>
      <c r="C399" s="6"/>
      <c r="D399" s="2">
        <f t="shared" ref="D399:P399" si="196">D398+D388</f>
        <v>38</v>
      </c>
      <c r="E399" s="2">
        <f t="shared" si="196"/>
        <v>39</v>
      </c>
      <c r="F399" s="2">
        <f t="shared" si="196"/>
        <v>82</v>
      </c>
      <c r="G399" s="2">
        <f t="shared" si="196"/>
        <v>81</v>
      </c>
      <c r="H399" s="2">
        <f t="shared" si="196"/>
        <v>30</v>
      </c>
      <c r="I399" s="2">
        <f t="shared" si="196"/>
        <v>60</v>
      </c>
      <c r="J399" s="2">
        <f t="shared" si="196"/>
        <v>90</v>
      </c>
      <c r="K399" s="2">
        <f t="shared" si="196"/>
        <v>28</v>
      </c>
      <c r="L399" s="2">
        <f t="shared" si="196"/>
        <v>47</v>
      </c>
      <c r="M399" s="2">
        <f t="shared" si="196"/>
        <v>87</v>
      </c>
      <c r="N399" s="2">
        <f t="shared" si="196"/>
        <v>53</v>
      </c>
      <c r="O399" s="2">
        <f t="shared" si="196"/>
        <v>58</v>
      </c>
      <c r="P399" s="15">
        <f t="shared" si="196"/>
        <v>693</v>
      </c>
      <c r="Q399" t="str">
        <f t="shared" si="170"/>
        <v>Общий итог383982813060902847875358693</v>
      </c>
    </row>
    <row r="400" spans="2:17" x14ac:dyDescent="0.3">
      <c r="Q400" t="str">
        <f t="shared" ref="Q400:Q416" si="197">_xlfn.CONCAT(B400,C400,D400,E400,F400,G400,H400,I400,J400,K400,L400,M400,N400,O400,P400)</f>
        <v/>
      </c>
    </row>
    <row r="401" spans="2:17" x14ac:dyDescent="0.3">
      <c r="Q401" t="str">
        <f t="shared" si="197"/>
        <v/>
      </c>
    </row>
    <row r="402" spans="2:17" x14ac:dyDescent="0.3">
      <c r="B402" s="7" t="s">
        <v>190</v>
      </c>
      <c r="Q402" t="str">
        <f t="shared" si="197"/>
        <v>1019902593</v>
      </c>
    </row>
    <row r="403" spans="2:17" x14ac:dyDescent="0.3">
      <c r="B403" s="11" t="s">
        <v>17</v>
      </c>
      <c r="C403" s="11" t="s">
        <v>0</v>
      </c>
      <c r="D403" s="12" t="s">
        <v>2</v>
      </c>
      <c r="E403" s="12" t="s">
        <v>3</v>
      </c>
      <c r="F403" s="12" t="s">
        <v>13</v>
      </c>
      <c r="G403" s="12" t="s">
        <v>4</v>
      </c>
      <c r="H403" s="12" t="s">
        <v>5</v>
      </c>
      <c r="I403" s="12" t="s">
        <v>6</v>
      </c>
      <c r="J403" s="12" t="s">
        <v>7</v>
      </c>
      <c r="K403" s="12" t="s">
        <v>8</v>
      </c>
      <c r="L403" s="12" t="s">
        <v>9</v>
      </c>
      <c r="M403" s="12" t="s">
        <v>10</v>
      </c>
      <c r="N403" s="12" t="s">
        <v>11</v>
      </c>
      <c r="O403" s="12" t="s">
        <v>12</v>
      </c>
      <c r="P403" s="14" t="s">
        <v>1</v>
      </c>
      <c r="Q403" t="str">
        <f t="shared" si="197"/>
        <v>НоменклатураАртикулЯнварь  Февраль  МартАпрель  Май  Июнь  Июль  Август  Сентябрь  Октябрь  Ноябрь  Декабрь  Итог</v>
      </c>
    </row>
    <row r="404" spans="2:17" x14ac:dyDescent="0.3">
      <c r="B404" s="8" t="s">
        <v>224</v>
      </c>
      <c r="C404" s="5" t="s">
        <v>191</v>
      </c>
      <c r="D404" s="1"/>
      <c r="E404" s="1"/>
      <c r="F404" s="1"/>
      <c r="G404" s="1"/>
      <c r="H404" s="1"/>
      <c r="I404" s="1"/>
      <c r="J404" s="1"/>
      <c r="K404" s="1"/>
      <c r="L404" s="1"/>
      <c r="M404" s="1">
        <v>14</v>
      </c>
      <c r="N404" s="1">
        <v>3</v>
      </c>
      <c r="O404" s="1">
        <v>1</v>
      </c>
      <c r="P404" s="14">
        <f>SUM(D404:O404)</f>
        <v>18</v>
      </c>
      <c r="Q404" t="str">
        <f t="shared" si="197"/>
        <v>Фильтр гидравлический D0095A10NHAD0095A10NHA143118</v>
      </c>
    </row>
    <row r="405" spans="2:17" x14ac:dyDescent="0.3">
      <c r="B405" s="5" t="s">
        <v>194</v>
      </c>
      <c r="C405" s="5" t="s">
        <v>192</v>
      </c>
      <c r="D405" s="1">
        <v>33</v>
      </c>
      <c r="E405" s="1">
        <v>3</v>
      </c>
      <c r="F405" s="1">
        <v>4</v>
      </c>
      <c r="G405" s="1">
        <v>1</v>
      </c>
      <c r="H405" s="1"/>
      <c r="I405" s="1">
        <v>18</v>
      </c>
      <c r="J405" s="1">
        <v>19</v>
      </c>
      <c r="K405" s="1">
        <v>9</v>
      </c>
      <c r="L405" s="1">
        <v>14</v>
      </c>
      <c r="M405" s="1">
        <v>7</v>
      </c>
      <c r="N405" s="1">
        <v>2</v>
      </c>
      <c r="O405" s="1">
        <v>1</v>
      </c>
      <c r="P405" s="14">
        <f t="shared" ref="P405" si="198">SUM(D405:O405)</f>
        <v>111</v>
      </c>
      <c r="Q405" t="str">
        <f t="shared" si="197"/>
        <v>Фильтр гидравлический G-0095D005ONG-0095D005ON333411819914721111</v>
      </c>
    </row>
    <row r="406" spans="2:17" x14ac:dyDescent="0.3">
      <c r="B406" s="8" t="s">
        <v>194</v>
      </c>
      <c r="C406" s="5" t="s">
        <v>192</v>
      </c>
      <c r="D406" s="1">
        <v>2</v>
      </c>
      <c r="E406" s="1">
        <v>12</v>
      </c>
      <c r="F406" s="1">
        <v>23</v>
      </c>
      <c r="G406" s="1"/>
      <c r="H406" s="1">
        <v>1</v>
      </c>
      <c r="I406" s="1">
        <v>39</v>
      </c>
      <c r="J406" s="1"/>
      <c r="K406" s="1"/>
      <c r="L406" s="1"/>
      <c r="M406" s="1">
        <v>11</v>
      </c>
      <c r="N406" s="1"/>
      <c r="O406" s="1"/>
      <c r="P406" s="14">
        <f>SUM(D406:O406)</f>
        <v>88</v>
      </c>
      <c r="Q406" t="str">
        <f t="shared" si="197"/>
        <v>Фильтр гидравлический G-0095D005ONG-0095D005ON212231391188</v>
      </c>
    </row>
    <row r="407" spans="2:17" x14ac:dyDescent="0.3">
      <c r="B407" s="5" t="s">
        <v>194</v>
      </c>
      <c r="C407" s="5" t="s">
        <v>192</v>
      </c>
      <c r="D407" s="1">
        <v>1</v>
      </c>
      <c r="E407" s="1">
        <v>6</v>
      </c>
      <c r="F407" s="1">
        <v>9</v>
      </c>
      <c r="G407" s="1">
        <v>2</v>
      </c>
      <c r="H407" s="1"/>
      <c r="I407" s="1"/>
      <c r="J407" s="1"/>
      <c r="K407" s="1"/>
      <c r="L407" s="1"/>
      <c r="M407" s="1"/>
      <c r="N407" s="1"/>
      <c r="O407" s="1"/>
      <c r="P407" s="14">
        <f t="shared" ref="P407" si="199">SUM(D407:O407)</f>
        <v>18</v>
      </c>
      <c r="Q407" t="str">
        <f t="shared" si="197"/>
        <v>Фильтр гидравлический G-0095D005ONG-0095D005ON169218</v>
      </c>
    </row>
    <row r="408" spans="2:17" x14ac:dyDescent="0.3">
      <c r="B408" s="8" t="s">
        <v>195</v>
      </c>
      <c r="C408" s="5" t="s">
        <v>193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>
        <v>4</v>
      </c>
      <c r="O408" s="1">
        <v>5</v>
      </c>
      <c r="P408" s="14">
        <f>SUM(D408:O408)</f>
        <v>9</v>
      </c>
      <c r="Q408" t="str">
        <f t="shared" si="197"/>
        <v>Фильтр гидравлический TFH5323TFH5323459</v>
      </c>
    </row>
    <row r="409" spans="2:17" x14ac:dyDescent="0.3">
      <c r="B409" s="5" t="s">
        <v>15</v>
      </c>
      <c r="C409" s="5"/>
      <c r="D409" s="1">
        <f t="shared" ref="D409:O409" si="200">SUM(D404:D408)</f>
        <v>36</v>
      </c>
      <c r="E409" s="1">
        <f t="shared" si="200"/>
        <v>21</v>
      </c>
      <c r="F409" s="1">
        <f t="shared" si="200"/>
        <v>36</v>
      </c>
      <c r="G409" s="1">
        <f t="shared" si="200"/>
        <v>3</v>
      </c>
      <c r="H409" s="1">
        <f t="shared" si="200"/>
        <v>1</v>
      </c>
      <c r="I409" s="1">
        <f t="shared" si="200"/>
        <v>57</v>
      </c>
      <c r="J409" s="1">
        <f t="shared" si="200"/>
        <v>19</v>
      </c>
      <c r="K409" s="1">
        <f t="shared" si="200"/>
        <v>9</v>
      </c>
      <c r="L409" s="1">
        <f t="shared" si="200"/>
        <v>14</v>
      </c>
      <c r="M409" s="1">
        <f t="shared" si="200"/>
        <v>32</v>
      </c>
      <c r="N409" s="1">
        <f t="shared" si="200"/>
        <v>9</v>
      </c>
      <c r="O409" s="1">
        <f t="shared" si="200"/>
        <v>7</v>
      </c>
      <c r="P409" s="14">
        <f t="shared" ref="P409" si="201">SUM(D409:O409)</f>
        <v>244</v>
      </c>
      <c r="Q409" t="str">
        <f t="shared" si="197"/>
        <v>Итог ПРОДАЖА3621363157199143297244</v>
      </c>
    </row>
    <row r="410" spans="2:17" x14ac:dyDescent="0.3">
      <c r="B410" s="11" t="s">
        <v>17</v>
      </c>
      <c r="C410" s="11" t="s">
        <v>0</v>
      </c>
      <c r="D410" s="13" t="s">
        <v>2</v>
      </c>
      <c r="E410" s="13" t="s">
        <v>3</v>
      </c>
      <c r="F410" s="13" t="s">
        <v>13</v>
      </c>
      <c r="G410" s="13" t="s">
        <v>4</v>
      </c>
      <c r="H410" s="13" t="s">
        <v>5</v>
      </c>
      <c r="I410" s="13" t="s">
        <v>6</v>
      </c>
      <c r="J410" s="13" t="s">
        <v>7</v>
      </c>
      <c r="K410" s="13" t="s">
        <v>8</v>
      </c>
      <c r="L410" s="13" t="s">
        <v>9</v>
      </c>
      <c r="M410" s="13" t="s">
        <v>10</v>
      </c>
      <c r="N410" s="13" t="s">
        <v>11</v>
      </c>
      <c r="O410" s="13" t="s">
        <v>12</v>
      </c>
      <c r="P410" s="12"/>
      <c r="Q410" t="str">
        <f t="shared" si="197"/>
        <v xml:space="preserve">НоменклатураАртикулЯнварь  Февраль  МартАпрель  Май  Июнь  Июль  Август  Сентябрь  Октябрь  Ноябрь  Декабрь  </v>
      </c>
    </row>
    <row r="411" spans="2:17" x14ac:dyDescent="0.3">
      <c r="B411" s="5" t="s">
        <v>194</v>
      </c>
      <c r="C411" s="10" t="s">
        <v>192</v>
      </c>
      <c r="D411" s="1"/>
      <c r="E411" s="1">
        <v>1</v>
      </c>
      <c r="F411" s="1">
        <v>1</v>
      </c>
      <c r="G411" s="1"/>
      <c r="H411" s="1">
        <v>3</v>
      </c>
      <c r="I411" s="1">
        <v>1</v>
      </c>
      <c r="J411" s="1">
        <v>5</v>
      </c>
      <c r="K411" s="1"/>
      <c r="L411" s="1"/>
      <c r="M411" s="1">
        <v>3</v>
      </c>
      <c r="N411" s="1">
        <v>1</v>
      </c>
      <c r="O411" s="1"/>
      <c r="P411" s="14">
        <f>SUM(D411:O411)</f>
        <v>15</v>
      </c>
      <c r="Q411" t="str">
        <f t="shared" si="197"/>
        <v>Фильтр гидравлический G-0095D005ONG-0095D005ON113153115</v>
      </c>
    </row>
    <row r="412" spans="2:17" x14ac:dyDescent="0.3">
      <c r="B412" s="5" t="s">
        <v>194</v>
      </c>
      <c r="C412" s="5" t="s">
        <v>192</v>
      </c>
      <c r="D412" s="1">
        <v>1</v>
      </c>
      <c r="E412" s="1"/>
      <c r="F412" s="1">
        <v>2</v>
      </c>
      <c r="G412" s="1"/>
      <c r="H412" s="1"/>
      <c r="I412" s="1">
        <v>1</v>
      </c>
      <c r="J412" s="1">
        <v>1</v>
      </c>
      <c r="K412" s="1"/>
      <c r="L412" s="1">
        <v>2</v>
      </c>
      <c r="M412" s="1">
        <v>11</v>
      </c>
      <c r="N412" s="1"/>
      <c r="O412" s="1">
        <v>1</v>
      </c>
      <c r="P412" s="14">
        <f t="shared" ref="P412:P413" si="202">SUM(D412:O412)</f>
        <v>19</v>
      </c>
      <c r="Q412" t="str">
        <f t="shared" si="197"/>
        <v>Фильтр гидравлический G-0095D005ONG-0095D005ON1211211119</v>
      </c>
    </row>
    <row r="413" spans="2:17" x14ac:dyDescent="0.3">
      <c r="B413" s="5" t="s">
        <v>194</v>
      </c>
      <c r="C413" s="5" t="s">
        <v>192</v>
      </c>
      <c r="D413" s="1"/>
      <c r="E413" s="1">
        <v>1</v>
      </c>
      <c r="F413" s="1">
        <v>5</v>
      </c>
      <c r="G413" s="1">
        <v>10</v>
      </c>
      <c r="H413" s="1">
        <v>9</v>
      </c>
      <c r="I413" s="1">
        <v>1</v>
      </c>
      <c r="J413" s="1">
        <v>8</v>
      </c>
      <c r="K413" s="1">
        <v>2</v>
      </c>
      <c r="L413" s="1">
        <v>3</v>
      </c>
      <c r="M413" s="1">
        <v>4</v>
      </c>
      <c r="N413" s="1">
        <v>10</v>
      </c>
      <c r="O413" s="1">
        <v>3</v>
      </c>
      <c r="P413" s="14">
        <f t="shared" si="202"/>
        <v>56</v>
      </c>
      <c r="Q413" t="str">
        <f t="shared" si="197"/>
        <v>Фильтр гидравлический G-0095D005ONG-0095D005ON151091823410356</v>
      </c>
    </row>
    <row r="414" spans="2:17" x14ac:dyDescent="0.3">
      <c r="B414" s="8" t="s">
        <v>195</v>
      </c>
      <c r="C414" s="5" t="s">
        <v>193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2</v>
      </c>
      <c r="P414" s="14">
        <f>SUM(D414:O414)</f>
        <v>2</v>
      </c>
      <c r="Q414" t="str">
        <f t="shared" si="197"/>
        <v>Фильтр гидравлический TFH5323TFH532322</v>
      </c>
    </row>
    <row r="415" spans="2:17" x14ac:dyDescent="0.3">
      <c r="B415" s="5" t="s">
        <v>16</v>
      </c>
      <c r="C415" s="5"/>
      <c r="D415" s="1">
        <f t="shared" ref="D415:O415" si="203">SUM(D411:D414)</f>
        <v>1</v>
      </c>
      <c r="E415" s="1">
        <f t="shared" si="203"/>
        <v>2</v>
      </c>
      <c r="F415" s="1">
        <f t="shared" si="203"/>
        <v>8</v>
      </c>
      <c r="G415" s="1">
        <f t="shared" si="203"/>
        <v>10</v>
      </c>
      <c r="H415" s="1">
        <f t="shared" si="203"/>
        <v>12</v>
      </c>
      <c r="I415" s="1">
        <f t="shared" si="203"/>
        <v>3</v>
      </c>
      <c r="J415" s="1">
        <f t="shared" si="203"/>
        <v>14</v>
      </c>
      <c r="K415" s="1">
        <f t="shared" si="203"/>
        <v>2</v>
      </c>
      <c r="L415" s="1">
        <f t="shared" si="203"/>
        <v>5</v>
      </c>
      <c r="M415" s="1">
        <f t="shared" si="203"/>
        <v>18</v>
      </c>
      <c r="N415" s="1">
        <f t="shared" si="203"/>
        <v>11</v>
      </c>
      <c r="O415" s="1">
        <f t="shared" si="203"/>
        <v>6</v>
      </c>
      <c r="P415" s="14">
        <f t="shared" ref="P415" si="204">SUM(D415:O415)</f>
        <v>92</v>
      </c>
      <c r="Q415" t="str">
        <f t="shared" si="197"/>
        <v>Итог СПИСАНИЕ1281012314251811692</v>
      </c>
    </row>
    <row r="416" spans="2:17" x14ac:dyDescent="0.3">
      <c r="B416" s="6" t="s">
        <v>14</v>
      </c>
      <c r="C416" s="6"/>
      <c r="D416" s="2">
        <f t="shared" ref="D416:P416" si="205">D415+D409</f>
        <v>37</v>
      </c>
      <c r="E416" s="2">
        <f t="shared" si="205"/>
        <v>23</v>
      </c>
      <c r="F416" s="2">
        <f t="shared" si="205"/>
        <v>44</v>
      </c>
      <c r="G416" s="2">
        <f t="shared" si="205"/>
        <v>13</v>
      </c>
      <c r="H416" s="2">
        <f t="shared" si="205"/>
        <v>13</v>
      </c>
      <c r="I416" s="2">
        <f t="shared" si="205"/>
        <v>60</v>
      </c>
      <c r="J416" s="2">
        <f t="shared" si="205"/>
        <v>33</v>
      </c>
      <c r="K416" s="2">
        <f t="shared" si="205"/>
        <v>11</v>
      </c>
      <c r="L416" s="2">
        <f t="shared" si="205"/>
        <v>19</v>
      </c>
      <c r="M416" s="2">
        <f t="shared" si="205"/>
        <v>50</v>
      </c>
      <c r="N416" s="2">
        <f t="shared" si="205"/>
        <v>20</v>
      </c>
      <c r="O416" s="2">
        <f t="shared" si="205"/>
        <v>13</v>
      </c>
      <c r="P416" s="15">
        <f t="shared" si="205"/>
        <v>336</v>
      </c>
      <c r="Q416" t="str">
        <f t="shared" si="197"/>
        <v>Общий итог372344131360331119502013336</v>
      </c>
    </row>
    <row r="417" spans="2:17" x14ac:dyDescent="0.3">
      <c r="Q417" t="str">
        <f t="shared" si="170"/>
        <v/>
      </c>
    </row>
    <row r="418" spans="2:17" x14ac:dyDescent="0.3">
      <c r="Q418" t="str">
        <f t="shared" si="170"/>
        <v/>
      </c>
    </row>
    <row r="419" spans="2:17" x14ac:dyDescent="0.3">
      <c r="B419" s="7" t="s">
        <v>196</v>
      </c>
      <c r="Q419" t="str">
        <f t="shared" si="170"/>
        <v>1019902594</v>
      </c>
    </row>
    <row r="420" spans="2:17" x14ac:dyDescent="0.3">
      <c r="B420" s="11" t="s">
        <v>17</v>
      </c>
      <c r="C420" s="11" t="s">
        <v>0</v>
      </c>
      <c r="D420" s="12" t="s">
        <v>2</v>
      </c>
      <c r="E420" s="12" t="s">
        <v>3</v>
      </c>
      <c r="F420" s="12" t="s">
        <v>13</v>
      </c>
      <c r="G420" s="12" t="s">
        <v>4</v>
      </c>
      <c r="H420" s="12" t="s">
        <v>5</v>
      </c>
      <c r="I420" s="12" t="s">
        <v>6</v>
      </c>
      <c r="J420" s="12" t="s">
        <v>7</v>
      </c>
      <c r="K420" s="12" t="s">
        <v>8</v>
      </c>
      <c r="L420" s="12" t="s">
        <v>9</v>
      </c>
      <c r="M420" s="12" t="s">
        <v>10</v>
      </c>
      <c r="N420" s="12" t="s">
        <v>11</v>
      </c>
      <c r="O420" s="12" t="s">
        <v>12</v>
      </c>
      <c r="P420" s="14" t="s">
        <v>1</v>
      </c>
      <c r="Q420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421" spans="2:17" x14ac:dyDescent="0.3">
      <c r="B421" s="8" t="s">
        <v>198</v>
      </c>
      <c r="C421" s="5">
        <v>1019902594</v>
      </c>
      <c r="D421" s="1">
        <v>2</v>
      </c>
      <c r="E421" s="1"/>
      <c r="F421" s="1">
        <v>2</v>
      </c>
      <c r="G421" s="1">
        <v>1</v>
      </c>
      <c r="H421" s="1"/>
      <c r="I421" s="1"/>
      <c r="J421" s="1"/>
      <c r="K421" s="1"/>
      <c r="L421" s="1">
        <v>1</v>
      </c>
      <c r="M421" s="1">
        <v>2</v>
      </c>
      <c r="N421" s="1"/>
      <c r="O421" s="1"/>
      <c r="P421" s="14">
        <f>SUM(D421:O421)</f>
        <v>8</v>
      </c>
      <c r="Q421" t="str">
        <f t="shared" ref="Q421" si="206">_xlfn.CONCAT(B421,C421,D421,E421,F421,G421,H421,I421,J421,K421,L421,M421,N421,O421,P421)</f>
        <v>Фильтр гидравлический 10199025941019902594221128</v>
      </c>
    </row>
    <row r="422" spans="2:17" x14ac:dyDescent="0.3">
      <c r="B422" s="8" t="s">
        <v>199</v>
      </c>
      <c r="C422" s="5" t="s">
        <v>197</v>
      </c>
      <c r="D422" s="1">
        <v>5</v>
      </c>
      <c r="E422" s="1">
        <v>2</v>
      </c>
      <c r="F422" s="1">
        <v>1</v>
      </c>
      <c r="G422" s="1">
        <v>18</v>
      </c>
      <c r="H422" s="1">
        <v>1</v>
      </c>
      <c r="I422" s="1"/>
      <c r="J422" s="1"/>
      <c r="K422" s="1">
        <v>8</v>
      </c>
      <c r="L422" s="1">
        <v>2</v>
      </c>
      <c r="M422" s="1"/>
      <c r="N422" s="1">
        <v>1</v>
      </c>
      <c r="O422" s="1">
        <v>2</v>
      </c>
      <c r="P422" s="14">
        <f>SUM(D422:O422)</f>
        <v>40</v>
      </c>
      <c r="Q422" t="str">
        <f t="shared" si="170"/>
        <v>Фильтр гидравлический HF28948HF28948521181821240</v>
      </c>
    </row>
    <row r="423" spans="2:17" x14ac:dyDescent="0.3">
      <c r="B423" s="5" t="s">
        <v>15</v>
      </c>
      <c r="C423" s="5"/>
      <c r="D423" s="1">
        <f>SUM(D421:D422)</f>
        <v>7</v>
      </c>
      <c r="E423" s="1">
        <f t="shared" ref="E423:O423" si="207">SUM(E421:E422)</f>
        <v>2</v>
      </c>
      <c r="F423" s="1">
        <f t="shared" si="207"/>
        <v>3</v>
      </c>
      <c r="G423" s="1">
        <f t="shared" si="207"/>
        <v>19</v>
      </c>
      <c r="H423" s="1">
        <f t="shared" si="207"/>
        <v>1</v>
      </c>
      <c r="I423" s="1">
        <f t="shared" si="207"/>
        <v>0</v>
      </c>
      <c r="J423" s="1">
        <f t="shared" si="207"/>
        <v>0</v>
      </c>
      <c r="K423" s="1">
        <f t="shared" si="207"/>
        <v>8</v>
      </c>
      <c r="L423" s="1">
        <f t="shared" si="207"/>
        <v>3</v>
      </c>
      <c r="M423" s="1">
        <f t="shared" si="207"/>
        <v>2</v>
      </c>
      <c r="N423" s="1">
        <f t="shared" si="207"/>
        <v>1</v>
      </c>
      <c r="O423" s="1">
        <f t="shared" si="207"/>
        <v>2</v>
      </c>
      <c r="P423" s="14">
        <f t="shared" ref="P423" si="208">SUM(D423:O423)</f>
        <v>48</v>
      </c>
      <c r="Q423" t="str">
        <f t="shared" si="170"/>
        <v>Итог ПРОДАЖА723191008321248</v>
      </c>
    </row>
    <row r="424" spans="2:17" x14ac:dyDescent="0.3">
      <c r="B424" s="11" t="s">
        <v>17</v>
      </c>
      <c r="C424" s="11" t="s">
        <v>0</v>
      </c>
      <c r="D424" s="13" t="s">
        <v>2</v>
      </c>
      <c r="E424" s="13" t="s">
        <v>3</v>
      </c>
      <c r="F424" s="13" t="s">
        <v>13</v>
      </c>
      <c r="G424" s="13" t="s">
        <v>4</v>
      </c>
      <c r="H424" s="13" t="s">
        <v>5</v>
      </c>
      <c r="I424" s="13" t="s">
        <v>6</v>
      </c>
      <c r="J424" s="13" t="s">
        <v>7</v>
      </c>
      <c r="K424" s="13" t="s">
        <v>8</v>
      </c>
      <c r="L424" s="13" t="s">
        <v>9</v>
      </c>
      <c r="M424" s="13" t="s">
        <v>10</v>
      </c>
      <c r="N424" s="13" t="s">
        <v>11</v>
      </c>
      <c r="O424" s="13" t="s">
        <v>12</v>
      </c>
      <c r="P424" s="12"/>
      <c r="Q424" t="str">
        <f t="shared" si="170"/>
        <v xml:space="preserve">НоменклатураАртикулЯнварь  Февраль  МартАпрель  Май  Июнь  Июль  Август  Сентябрь  Октябрь  Ноябрь  Декабрь  </v>
      </c>
    </row>
    <row r="425" spans="2:17" x14ac:dyDescent="0.3">
      <c r="B425" s="5" t="s">
        <v>198</v>
      </c>
      <c r="C425" s="5">
        <v>1019902594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>
        <v>1</v>
      </c>
      <c r="O425" s="1"/>
      <c r="P425" s="14">
        <f t="shared" ref="P425:P426" si="209">SUM(D425:O425)</f>
        <v>1</v>
      </c>
      <c r="Q425" t="str">
        <f t="shared" si="170"/>
        <v>Фильтр гидравлический 1019902594101990259411</v>
      </c>
    </row>
    <row r="426" spans="2:17" x14ac:dyDescent="0.3">
      <c r="B426" s="5" t="s">
        <v>199</v>
      </c>
      <c r="C426" s="5" t="s">
        <v>197</v>
      </c>
      <c r="D426" s="1"/>
      <c r="E426" s="1"/>
      <c r="F426" s="1"/>
      <c r="G426" s="1"/>
      <c r="H426" s="1"/>
      <c r="I426" s="1"/>
      <c r="J426" s="1">
        <v>1</v>
      </c>
      <c r="K426" s="1"/>
      <c r="L426" s="1">
        <v>1</v>
      </c>
      <c r="M426" s="1">
        <v>3</v>
      </c>
      <c r="N426" s="1">
        <v>3</v>
      </c>
      <c r="O426" s="1"/>
      <c r="P426" s="14">
        <f t="shared" si="209"/>
        <v>8</v>
      </c>
      <c r="Q426" t="str">
        <f t="shared" ref="Q426" si="210">_xlfn.CONCAT(B426,C426,D426,E426,F426,G426,H426,I426,J426,K426,L426,M426,N426,O426,P426)</f>
        <v>Фильтр гидравлический HF28948HF2894811338</v>
      </c>
    </row>
    <row r="427" spans="2:17" x14ac:dyDescent="0.3">
      <c r="B427" s="5" t="s">
        <v>16</v>
      </c>
      <c r="C427" s="5"/>
      <c r="D427" s="1">
        <f t="shared" ref="D427:O427" si="211">SUM(D425:D426)</f>
        <v>0</v>
      </c>
      <c r="E427" s="1">
        <f t="shared" si="211"/>
        <v>0</v>
      </c>
      <c r="F427" s="1">
        <f t="shared" si="211"/>
        <v>0</v>
      </c>
      <c r="G427" s="1">
        <f t="shared" si="211"/>
        <v>0</v>
      </c>
      <c r="H427" s="1">
        <f t="shared" si="211"/>
        <v>0</v>
      </c>
      <c r="I427" s="1">
        <f t="shared" si="211"/>
        <v>0</v>
      </c>
      <c r="J427" s="1">
        <f t="shared" si="211"/>
        <v>1</v>
      </c>
      <c r="K427" s="1">
        <f t="shared" si="211"/>
        <v>0</v>
      </c>
      <c r="L427" s="1">
        <f t="shared" si="211"/>
        <v>1</v>
      </c>
      <c r="M427" s="1">
        <f t="shared" si="211"/>
        <v>3</v>
      </c>
      <c r="N427" s="1">
        <f t="shared" si="211"/>
        <v>4</v>
      </c>
      <c r="O427" s="1">
        <f t="shared" si="211"/>
        <v>0</v>
      </c>
      <c r="P427" s="14">
        <f t="shared" ref="P427" si="212">SUM(D427:O427)</f>
        <v>9</v>
      </c>
      <c r="Q427" t="str">
        <f t="shared" si="170"/>
        <v>Итог СПИСАНИЕ0000001013409</v>
      </c>
    </row>
    <row r="428" spans="2:17" x14ac:dyDescent="0.3">
      <c r="B428" s="6" t="s">
        <v>14</v>
      </c>
      <c r="C428" s="6"/>
      <c r="D428" s="2">
        <f t="shared" ref="D428:P428" si="213">D427+D423</f>
        <v>7</v>
      </c>
      <c r="E428" s="2">
        <f t="shared" si="213"/>
        <v>2</v>
      </c>
      <c r="F428" s="2">
        <f t="shared" si="213"/>
        <v>3</v>
      </c>
      <c r="G428" s="2">
        <f t="shared" si="213"/>
        <v>19</v>
      </c>
      <c r="H428" s="2">
        <f t="shared" si="213"/>
        <v>1</v>
      </c>
      <c r="I428" s="2">
        <f t="shared" si="213"/>
        <v>0</v>
      </c>
      <c r="J428" s="2">
        <f t="shared" si="213"/>
        <v>1</v>
      </c>
      <c r="K428" s="2">
        <f t="shared" si="213"/>
        <v>8</v>
      </c>
      <c r="L428" s="2">
        <f t="shared" si="213"/>
        <v>4</v>
      </c>
      <c r="M428" s="2">
        <f t="shared" si="213"/>
        <v>5</v>
      </c>
      <c r="N428" s="2">
        <f t="shared" si="213"/>
        <v>5</v>
      </c>
      <c r="O428" s="2">
        <f t="shared" si="213"/>
        <v>2</v>
      </c>
      <c r="P428" s="15">
        <f t="shared" si="213"/>
        <v>57</v>
      </c>
      <c r="Q428" t="str">
        <f t="shared" si="170"/>
        <v>Общий итог723191018455257</v>
      </c>
    </row>
    <row r="429" spans="2:17" x14ac:dyDescent="0.3">
      <c r="Q429" t="str">
        <f t="shared" si="170"/>
        <v/>
      </c>
    </row>
    <row r="430" spans="2:17" x14ac:dyDescent="0.3">
      <c r="Q430" t="str">
        <f t="shared" si="170"/>
        <v/>
      </c>
    </row>
    <row r="431" spans="2:17" x14ac:dyDescent="0.3">
      <c r="B431" s="7" t="s">
        <v>200</v>
      </c>
      <c r="Q431" t="str">
        <f t="shared" si="170"/>
        <v>1010601865</v>
      </c>
    </row>
    <row r="432" spans="2:17" x14ac:dyDescent="0.3">
      <c r="B432" s="11" t="s">
        <v>17</v>
      </c>
      <c r="C432" s="11" t="s">
        <v>0</v>
      </c>
      <c r="D432" s="12" t="s">
        <v>2</v>
      </c>
      <c r="E432" s="12" t="s">
        <v>3</v>
      </c>
      <c r="F432" s="12" t="s">
        <v>13</v>
      </c>
      <c r="G432" s="12" t="s">
        <v>4</v>
      </c>
      <c r="H432" s="12" t="s">
        <v>5</v>
      </c>
      <c r="I432" s="12" t="s">
        <v>6</v>
      </c>
      <c r="J432" s="12" t="s">
        <v>7</v>
      </c>
      <c r="K432" s="12" t="s">
        <v>8</v>
      </c>
      <c r="L432" s="12" t="s">
        <v>9</v>
      </c>
      <c r="M432" s="12" t="s">
        <v>10</v>
      </c>
      <c r="N432" s="12" t="s">
        <v>11</v>
      </c>
      <c r="O432" s="12" t="s">
        <v>12</v>
      </c>
      <c r="P432" s="14" t="s">
        <v>1</v>
      </c>
      <c r="Q432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433" spans="2:17" x14ac:dyDescent="0.3">
      <c r="B433" s="8" t="s">
        <v>203</v>
      </c>
      <c r="C433" s="5">
        <v>1010601865</v>
      </c>
      <c r="D433" s="1"/>
      <c r="E433" s="1">
        <v>1</v>
      </c>
      <c r="F433" s="1">
        <v>11</v>
      </c>
      <c r="G433" s="1"/>
      <c r="H433" s="1">
        <v>2</v>
      </c>
      <c r="I433" s="1">
        <v>56</v>
      </c>
      <c r="J433" s="1">
        <v>2</v>
      </c>
      <c r="K433" s="1">
        <v>12</v>
      </c>
      <c r="L433" s="1">
        <v>19</v>
      </c>
      <c r="M433" s="1">
        <v>26</v>
      </c>
      <c r="N433" s="1">
        <v>26</v>
      </c>
      <c r="O433" s="1">
        <v>14</v>
      </c>
      <c r="P433" s="14">
        <f>SUM(D433:O433)</f>
        <v>169</v>
      </c>
      <c r="Q433" t="str">
        <f t="shared" si="170"/>
        <v>Фильтр гидравлический 1010601865101060186511125621219262614169</v>
      </c>
    </row>
    <row r="434" spans="2:17" x14ac:dyDescent="0.3">
      <c r="B434" s="5" t="s">
        <v>203</v>
      </c>
      <c r="C434" s="5">
        <v>1010601865</v>
      </c>
      <c r="D434" s="1">
        <v>2</v>
      </c>
      <c r="E434" s="1">
        <v>13</v>
      </c>
      <c r="F434" s="1">
        <v>43</v>
      </c>
      <c r="G434" s="1">
        <v>13</v>
      </c>
      <c r="H434" s="1">
        <v>8</v>
      </c>
      <c r="I434" s="1">
        <v>10</v>
      </c>
      <c r="J434" s="1">
        <v>4</v>
      </c>
      <c r="K434" s="1"/>
      <c r="L434" s="1"/>
      <c r="M434" s="1">
        <v>1</v>
      </c>
      <c r="N434" s="1">
        <v>1</v>
      </c>
      <c r="O434" s="1"/>
      <c r="P434" s="14">
        <f t="shared" ref="P434:P435" si="214">SUM(D434:O434)</f>
        <v>95</v>
      </c>
      <c r="Q434" t="str">
        <f t="shared" si="170"/>
        <v>Фильтр гидравлический 10106018651010601865213431381041195</v>
      </c>
    </row>
    <row r="435" spans="2:17" x14ac:dyDescent="0.3">
      <c r="B435" s="5" t="s">
        <v>204</v>
      </c>
      <c r="C435" s="5" t="s">
        <v>201</v>
      </c>
      <c r="D435" s="1">
        <v>24</v>
      </c>
      <c r="E435" s="1">
        <v>20</v>
      </c>
      <c r="F435" s="1">
        <v>6</v>
      </c>
      <c r="G435" s="1">
        <v>2</v>
      </c>
      <c r="H435" s="1">
        <v>3</v>
      </c>
      <c r="I435" s="1">
        <v>4</v>
      </c>
      <c r="J435" s="1"/>
      <c r="K435" s="1"/>
      <c r="L435" s="1"/>
      <c r="M435" s="1"/>
      <c r="N435" s="1"/>
      <c r="O435" s="1"/>
      <c r="P435" s="14">
        <f t="shared" si="214"/>
        <v>59</v>
      </c>
      <c r="Q435" t="str">
        <f t="shared" ref="Q435" si="215">_xlfn.CONCAT(B435,C435,D435,E435,F435,G435,H435,I435,J435,K435,L435,M435,N435,O435,P435)</f>
        <v>Фильтр гидравлический RF-4696RF-46962420623459</v>
      </c>
    </row>
    <row r="436" spans="2:17" x14ac:dyDescent="0.3">
      <c r="B436" s="5" t="s">
        <v>205</v>
      </c>
      <c r="C436" s="5" t="s">
        <v>202</v>
      </c>
      <c r="D436" s="1">
        <v>1</v>
      </c>
      <c r="E436" s="1"/>
      <c r="F436" s="1">
        <v>1</v>
      </c>
      <c r="G436" s="1">
        <v>1</v>
      </c>
      <c r="H436" s="1"/>
      <c r="I436" s="1"/>
      <c r="J436" s="1"/>
      <c r="K436" s="1"/>
      <c r="L436" s="1"/>
      <c r="M436" s="1"/>
      <c r="N436" s="1"/>
      <c r="O436" s="1"/>
      <c r="P436" s="14">
        <f t="shared" ref="P436" si="216">SUM(D436:O436)</f>
        <v>3</v>
      </c>
      <c r="Q436" t="str">
        <f t="shared" ref="Q436" si="217">_xlfn.CONCAT(B436,C436,D436,E436,F436,G436,H436,I436,J436,K436,L436,M436,N436,O436,P436)</f>
        <v>Фильтр гидравлический ST30057JST30057J1113</v>
      </c>
    </row>
    <row r="437" spans="2:17" x14ac:dyDescent="0.3">
      <c r="B437" s="5" t="s">
        <v>225</v>
      </c>
      <c r="C437" s="5" t="s">
        <v>202</v>
      </c>
      <c r="D437" s="1"/>
      <c r="E437" s="1"/>
      <c r="F437" s="1"/>
      <c r="G437" s="1"/>
      <c r="H437" s="1"/>
      <c r="I437" s="1"/>
      <c r="J437" s="1">
        <v>7</v>
      </c>
      <c r="K437" s="1">
        <v>18</v>
      </c>
      <c r="L437" s="1">
        <v>3</v>
      </c>
      <c r="M437" s="1">
        <v>26</v>
      </c>
      <c r="N437" s="1"/>
      <c r="O437" s="1">
        <v>16</v>
      </c>
      <c r="P437" s="14">
        <f t="shared" ref="P437:P438" si="218">SUM(D437:O437)</f>
        <v>70</v>
      </c>
      <c r="Q437" t="str">
        <f t="shared" si="170"/>
        <v>Фильтр гидравлический ST30057J ST30057J7183261670</v>
      </c>
    </row>
    <row r="438" spans="2:17" x14ac:dyDescent="0.3">
      <c r="B438" s="5" t="s">
        <v>15</v>
      </c>
      <c r="C438" s="5"/>
      <c r="D438" s="1">
        <f t="shared" ref="D438:O438" si="219">SUM(D433:D437)</f>
        <v>27</v>
      </c>
      <c r="E438" s="1">
        <f t="shared" si="219"/>
        <v>34</v>
      </c>
      <c r="F438" s="1">
        <f t="shared" si="219"/>
        <v>61</v>
      </c>
      <c r="G438" s="1">
        <f t="shared" si="219"/>
        <v>16</v>
      </c>
      <c r="H438" s="1">
        <f t="shared" si="219"/>
        <v>13</v>
      </c>
      <c r="I438" s="1">
        <f t="shared" si="219"/>
        <v>70</v>
      </c>
      <c r="J438" s="1">
        <f t="shared" si="219"/>
        <v>13</v>
      </c>
      <c r="K438" s="1">
        <f t="shared" si="219"/>
        <v>30</v>
      </c>
      <c r="L438" s="1">
        <f t="shared" si="219"/>
        <v>22</v>
      </c>
      <c r="M438" s="1">
        <f t="shared" si="219"/>
        <v>53</v>
      </c>
      <c r="N438" s="1">
        <f t="shared" si="219"/>
        <v>27</v>
      </c>
      <c r="O438" s="1">
        <f t="shared" si="219"/>
        <v>30</v>
      </c>
      <c r="P438" s="14">
        <f t="shared" si="218"/>
        <v>396</v>
      </c>
      <c r="Q438" t="str">
        <f t="shared" si="170"/>
        <v>Итог ПРОДАЖА273461161370133022532730396</v>
      </c>
    </row>
    <row r="439" spans="2:17" x14ac:dyDescent="0.3">
      <c r="B439" s="11" t="s">
        <v>17</v>
      </c>
      <c r="C439" s="11" t="s">
        <v>0</v>
      </c>
      <c r="D439" s="13" t="s">
        <v>2</v>
      </c>
      <c r="E439" s="13" t="s">
        <v>3</v>
      </c>
      <c r="F439" s="13" t="s">
        <v>13</v>
      </c>
      <c r="G439" s="13" t="s">
        <v>4</v>
      </c>
      <c r="H439" s="13" t="s">
        <v>5</v>
      </c>
      <c r="I439" s="13" t="s">
        <v>6</v>
      </c>
      <c r="J439" s="13" t="s">
        <v>7</v>
      </c>
      <c r="K439" s="13" t="s">
        <v>8</v>
      </c>
      <c r="L439" s="13" t="s">
        <v>9</v>
      </c>
      <c r="M439" s="13" t="s">
        <v>10</v>
      </c>
      <c r="N439" s="13" t="s">
        <v>11</v>
      </c>
      <c r="O439" s="13" t="s">
        <v>12</v>
      </c>
      <c r="P439" s="12"/>
      <c r="Q439" t="str">
        <f t="shared" si="170"/>
        <v xml:space="preserve">НоменклатураАртикулЯнварь  Февраль  МартАпрель  Май  Июнь  Июль  Август  Сентябрь  Октябрь  Ноябрь  Декабрь  </v>
      </c>
    </row>
    <row r="440" spans="2:17" x14ac:dyDescent="0.3">
      <c r="B440" s="5" t="s">
        <v>203</v>
      </c>
      <c r="C440" s="10" t="s">
        <v>206</v>
      </c>
      <c r="D440" s="1">
        <v>5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4">
        <f>SUM(D440:O440)</f>
        <v>5</v>
      </c>
      <c r="Q440" t="str">
        <f t="shared" si="170"/>
        <v>Фильтр гидравлический 1010601865CH-117855</v>
      </c>
    </row>
    <row r="441" spans="2:17" x14ac:dyDescent="0.3">
      <c r="B441" s="5" t="s">
        <v>203</v>
      </c>
      <c r="C441" s="5">
        <v>1010601865</v>
      </c>
      <c r="D441" s="1">
        <v>2</v>
      </c>
      <c r="E441" s="1">
        <v>3</v>
      </c>
      <c r="F441" s="1">
        <v>6</v>
      </c>
      <c r="G441" s="1">
        <v>15</v>
      </c>
      <c r="H441" s="1">
        <v>15</v>
      </c>
      <c r="I441" s="1">
        <v>4</v>
      </c>
      <c r="J441" s="1">
        <v>13</v>
      </c>
      <c r="K441" s="1">
        <v>3</v>
      </c>
      <c r="L441" s="1">
        <v>3</v>
      </c>
      <c r="M441" s="1">
        <v>8</v>
      </c>
      <c r="N441" s="1">
        <v>3</v>
      </c>
      <c r="O441" s="1">
        <v>6</v>
      </c>
      <c r="P441" s="14">
        <f t="shared" ref="P441" si="220">SUM(D441:O441)</f>
        <v>81</v>
      </c>
      <c r="Q441" t="str">
        <f t="shared" si="170"/>
        <v>Фильтр гидравлический 1010601865101060186523615154133383681</v>
      </c>
    </row>
    <row r="442" spans="2:17" x14ac:dyDescent="0.3">
      <c r="B442" s="5" t="s">
        <v>203</v>
      </c>
      <c r="C442" s="10">
        <v>1010601865</v>
      </c>
      <c r="D442" s="1">
        <v>1</v>
      </c>
      <c r="E442" s="1"/>
      <c r="F442" s="1">
        <v>2</v>
      </c>
      <c r="G442" s="1"/>
      <c r="H442" s="1"/>
      <c r="I442" s="1"/>
      <c r="J442" s="1">
        <v>6</v>
      </c>
      <c r="K442" s="1">
        <v>1</v>
      </c>
      <c r="L442" s="1">
        <v>5</v>
      </c>
      <c r="M442" s="1">
        <v>17</v>
      </c>
      <c r="N442" s="1">
        <v>7</v>
      </c>
      <c r="O442" s="1">
        <v>7</v>
      </c>
      <c r="P442" s="14">
        <f>SUM(D442:O442)</f>
        <v>46</v>
      </c>
      <c r="Q442" t="str">
        <f t="shared" ref="Q442:Q443" si="221">_xlfn.CONCAT(B442,C442,D442,E442,F442,G442,H442,I442,J442,K442,L442,M442,N442,O442,P442)</f>
        <v>Фильтр гидравлический 1010601865101060186512615177746</v>
      </c>
    </row>
    <row r="443" spans="2:17" x14ac:dyDescent="0.3">
      <c r="B443" s="5" t="s">
        <v>204</v>
      </c>
      <c r="C443" s="5" t="s">
        <v>201</v>
      </c>
      <c r="D443" s="1"/>
      <c r="E443" s="1">
        <v>1</v>
      </c>
      <c r="F443" s="1">
        <v>2</v>
      </c>
      <c r="G443" s="1"/>
      <c r="H443" s="1">
        <v>1</v>
      </c>
      <c r="I443" s="1">
        <v>1</v>
      </c>
      <c r="J443" s="1"/>
      <c r="K443" s="1"/>
      <c r="L443" s="1"/>
      <c r="M443" s="1">
        <v>1</v>
      </c>
      <c r="N443" s="1">
        <v>2</v>
      </c>
      <c r="O443" s="1">
        <v>2</v>
      </c>
      <c r="P443" s="14">
        <f t="shared" ref="P443" si="222">SUM(D443:O443)</f>
        <v>10</v>
      </c>
      <c r="Q443" t="str">
        <f t="shared" si="221"/>
        <v>Фильтр гидравлический RF-4696RF-4696121112210</v>
      </c>
    </row>
    <row r="444" spans="2:17" x14ac:dyDescent="0.3">
      <c r="B444" s="5" t="s">
        <v>205</v>
      </c>
      <c r="C444" s="10" t="s">
        <v>202</v>
      </c>
      <c r="D444" s="1"/>
      <c r="E444" s="1"/>
      <c r="F444" s="1"/>
      <c r="G444" s="1">
        <v>2</v>
      </c>
      <c r="H444" s="1">
        <v>2</v>
      </c>
      <c r="I444" s="1">
        <v>2</v>
      </c>
      <c r="J444" s="1">
        <v>1</v>
      </c>
      <c r="K444" s="1"/>
      <c r="L444" s="1"/>
      <c r="M444" s="1">
        <v>3</v>
      </c>
      <c r="N444" s="1"/>
      <c r="O444" s="1">
        <v>1</v>
      </c>
      <c r="P444" s="14">
        <f>SUM(D444:O444)</f>
        <v>11</v>
      </c>
      <c r="Q444" t="str">
        <f t="shared" ref="Q444:Q445" si="223">_xlfn.CONCAT(B444,C444,D444,E444,F444,G444,H444,I444,J444,K444,L444,M444,N444,O444,P444)</f>
        <v>Фильтр гидравлический ST30057JST30057J22213111</v>
      </c>
    </row>
    <row r="445" spans="2:17" x14ac:dyDescent="0.3">
      <c r="B445" s="5" t="s">
        <v>205</v>
      </c>
      <c r="C445" s="5" t="s">
        <v>202</v>
      </c>
      <c r="D445" s="1"/>
      <c r="E445" s="1"/>
      <c r="F445" s="1"/>
      <c r="G445" s="1"/>
      <c r="H445" s="1"/>
      <c r="I445" s="1"/>
      <c r="J445" s="1">
        <v>1</v>
      </c>
      <c r="K445" s="1">
        <v>1</v>
      </c>
      <c r="L445" s="1"/>
      <c r="M445" s="1">
        <v>5</v>
      </c>
      <c r="N445" s="1">
        <v>3</v>
      </c>
      <c r="O445" s="1"/>
      <c r="P445" s="14">
        <f t="shared" ref="P445" si="224">SUM(D445:O445)</f>
        <v>10</v>
      </c>
      <c r="Q445" t="str">
        <f t="shared" si="223"/>
        <v>Фильтр гидравлический ST30057JST30057J115310</v>
      </c>
    </row>
    <row r="446" spans="2:17" x14ac:dyDescent="0.3">
      <c r="B446" s="5" t="s">
        <v>16</v>
      </c>
      <c r="C446" s="5"/>
      <c r="D446" s="1">
        <f t="shared" ref="D446:O446" si="225">SUM(D440:D445)</f>
        <v>8</v>
      </c>
      <c r="E446" s="1">
        <f t="shared" si="225"/>
        <v>4</v>
      </c>
      <c r="F446" s="1">
        <f t="shared" si="225"/>
        <v>10</v>
      </c>
      <c r="G446" s="1">
        <f t="shared" si="225"/>
        <v>17</v>
      </c>
      <c r="H446" s="1">
        <f t="shared" si="225"/>
        <v>18</v>
      </c>
      <c r="I446" s="1">
        <f t="shared" si="225"/>
        <v>7</v>
      </c>
      <c r="J446" s="1">
        <f t="shared" si="225"/>
        <v>21</v>
      </c>
      <c r="K446" s="1">
        <f t="shared" si="225"/>
        <v>5</v>
      </c>
      <c r="L446" s="1">
        <f t="shared" si="225"/>
        <v>8</v>
      </c>
      <c r="M446" s="1">
        <f t="shared" si="225"/>
        <v>34</v>
      </c>
      <c r="N446" s="1">
        <f t="shared" si="225"/>
        <v>15</v>
      </c>
      <c r="O446" s="1">
        <f t="shared" si="225"/>
        <v>16</v>
      </c>
      <c r="P446" s="14">
        <f t="shared" ref="P446" si="226">SUM(D446:O446)</f>
        <v>163</v>
      </c>
      <c r="Q446" t="str">
        <f t="shared" si="170"/>
        <v>Итог СПИСАНИЕ8410171872158341516163</v>
      </c>
    </row>
    <row r="447" spans="2:17" x14ac:dyDescent="0.3">
      <c r="B447" s="6" t="s">
        <v>14</v>
      </c>
      <c r="C447" s="6"/>
      <c r="D447" s="2">
        <f t="shared" ref="D447:P447" si="227">D446+D438</f>
        <v>35</v>
      </c>
      <c r="E447" s="2">
        <f t="shared" si="227"/>
        <v>38</v>
      </c>
      <c r="F447" s="2">
        <f t="shared" si="227"/>
        <v>71</v>
      </c>
      <c r="G447" s="2">
        <f t="shared" si="227"/>
        <v>33</v>
      </c>
      <c r="H447" s="2">
        <f t="shared" si="227"/>
        <v>31</v>
      </c>
      <c r="I447" s="2">
        <f t="shared" si="227"/>
        <v>77</v>
      </c>
      <c r="J447" s="2">
        <f t="shared" si="227"/>
        <v>34</v>
      </c>
      <c r="K447" s="2">
        <f t="shared" si="227"/>
        <v>35</v>
      </c>
      <c r="L447" s="2">
        <f t="shared" si="227"/>
        <v>30</v>
      </c>
      <c r="M447" s="2">
        <f t="shared" si="227"/>
        <v>87</v>
      </c>
      <c r="N447" s="2">
        <f t="shared" si="227"/>
        <v>42</v>
      </c>
      <c r="O447" s="2">
        <f t="shared" si="227"/>
        <v>46</v>
      </c>
      <c r="P447" s="15">
        <f t="shared" si="227"/>
        <v>559</v>
      </c>
      <c r="Q447" t="str">
        <f t="shared" si="170"/>
        <v>Общий итог353871333177343530874246559</v>
      </c>
    </row>
    <row r="448" spans="2:17" x14ac:dyDescent="0.3">
      <c r="Q448" t="str">
        <f t="shared" si="170"/>
        <v/>
      </c>
    </row>
    <row r="449" spans="2:17" x14ac:dyDescent="0.3">
      <c r="Q449" t="str">
        <f t="shared" si="170"/>
        <v/>
      </c>
    </row>
    <row r="450" spans="2:17" x14ac:dyDescent="0.3">
      <c r="B450" s="7" t="s">
        <v>207</v>
      </c>
      <c r="Q450" t="str">
        <f t="shared" si="170"/>
        <v>1010600940</v>
      </c>
    </row>
    <row r="451" spans="2:17" x14ac:dyDescent="0.3">
      <c r="B451" s="11" t="s">
        <v>17</v>
      </c>
      <c r="C451" s="11" t="s">
        <v>0</v>
      </c>
      <c r="D451" s="12" t="s">
        <v>2</v>
      </c>
      <c r="E451" s="12" t="s">
        <v>3</v>
      </c>
      <c r="F451" s="12" t="s">
        <v>13</v>
      </c>
      <c r="G451" s="12" t="s">
        <v>4</v>
      </c>
      <c r="H451" s="12" t="s">
        <v>5</v>
      </c>
      <c r="I451" s="12" t="s">
        <v>6</v>
      </c>
      <c r="J451" s="12" t="s">
        <v>7</v>
      </c>
      <c r="K451" s="12" t="s">
        <v>8</v>
      </c>
      <c r="L451" s="12" t="s">
        <v>9</v>
      </c>
      <c r="M451" s="12" t="s">
        <v>10</v>
      </c>
      <c r="N451" s="12" t="s">
        <v>11</v>
      </c>
      <c r="O451" s="12" t="s">
        <v>12</v>
      </c>
      <c r="P451" s="14" t="s">
        <v>1</v>
      </c>
      <c r="Q451" t="str">
        <f t="shared" si="170"/>
        <v>НоменклатураАртикулЯнварь  Февраль  МартАпрель  Май  Июнь  Июль  Август  Сентябрь  Октябрь  Ноябрь  Декабрь  Итог</v>
      </c>
    </row>
    <row r="452" spans="2:17" x14ac:dyDescent="0.3">
      <c r="B452" s="8" t="s">
        <v>226</v>
      </c>
      <c r="C452" s="5" t="s">
        <v>208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2</v>
      </c>
      <c r="P452" s="14">
        <f>SUM(D452:O452)</f>
        <v>2</v>
      </c>
      <c r="Q452" t="str">
        <f t="shared" ref="Q452:Q479" si="228">_xlfn.CONCAT(B452,C452,D452,E452,F452,G452,H452,I452,J452,K452,L452,M452,N452,O452,P452)</f>
        <v>Фильтр гидравлический 0100MX010BN4HC28.07.00023922</v>
      </c>
    </row>
    <row r="453" spans="2:17" x14ac:dyDescent="0.3">
      <c r="B453" s="5" t="s">
        <v>227</v>
      </c>
      <c r="C453" s="5">
        <v>1010600940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2</v>
      </c>
      <c r="P453" s="14">
        <f t="shared" ref="P453:P454" si="229">SUM(D453:O453)</f>
        <v>2</v>
      </c>
      <c r="Q453" t="str">
        <f t="shared" si="228"/>
        <v>Фильтр гидравлический 1010600940101060094022</v>
      </c>
    </row>
    <row r="454" spans="2:17" x14ac:dyDescent="0.3">
      <c r="B454" s="5" t="s">
        <v>15</v>
      </c>
      <c r="C454" s="5"/>
      <c r="D454" s="1">
        <f t="shared" ref="D454:O454" si="230">SUM(D452:D453)</f>
        <v>0</v>
      </c>
      <c r="E454" s="1">
        <f t="shared" si="230"/>
        <v>0</v>
      </c>
      <c r="F454" s="1">
        <f t="shared" si="230"/>
        <v>0</v>
      </c>
      <c r="G454" s="1">
        <f t="shared" si="230"/>
        <v>0</v>
      </c>
      <c r="H454" s="1">
        <f t="shared" si="230"/>
        <v>0</v>
      </c>
      <c r="I454" s="1">
        <f t="shared" si="230"/>
        <v>0</v>
      </c>
      <c r="J454" s="1">
        <f t="shared" si="230"/>
        <v>0</v>
      </c>
      <c r="K454" s="1">
        <f t="shared" si="230"/>
        <v>0</v>
      </c>
      <c r="L454" s="1">
        <f t="shared" si="230"/>
        <v>0</v>
      </c>
      <c r="M454" s="1">
        <f t="shared" si="230"/>
        <v>0</v>
      </c>
      <c r="N454" s="1">
        <f t="shared" si="230"/>
        <v>0</v>
      </c>
      <c r="O454" s="1">
        <f t="shared" si="230"/>
        <v>4</v>
      </c>
      <c r="P454" s="14">
        <f t="shared" si="229"/>
        <v>4</v>
      </c>
      <c r="Q454" t="str">
        <f t="shared" si="228"/>
        <v>Итог ПРОДАЖА0000000000044</v>
      </c>
    </row>
    <row r="455" spans="2:17" x14ac:dyDescent="0.3">
      <c r="B455" s="11" t="s">
        <v>17</v>
      </c>
      <c r="C455" s="11" t="s">
        <v>0</v>
      </c>
      <c r="D455" s="13" t="s">
        <v>2</v>
      </c>
      <c r="E455" s="13" t="s">
        <v>3</v>
      </c>
      <c r="F455" s="13" t="s">
        <v>13</v>
      </c>
      <c r="G455" s="13" t="s">
        <v>4</v>
      </c>
      <c r="H455" s="13" t="s">
        <v>5</v>
      </c>
      <c r="I455" s="13" t="s">
        <v>6</v>
      </c>
      <c r="J455" s="13" t="s">
        <v>7</v>
      </c>
      <c r="K455" s="13" t="s">
        <v>8</v>
      </c>
      <c r="L455" s="13" t="s">
        <v>9</v>
      </c>
      <c r="M455" s="13" t="s">
        <v>10</v>
      </c>
      <c r="N455" s="13" t="s">
        <v>11</v>
      </c>
      <c r="O455" s="13" t="s">
        <v>12</v>
      </c>
      <c r="P455" s="12"/>
      <c r="Q455" t="str">
        <f t="shared" si="228"/>
        <v xml:space="preserve">НоменклатураАртикулЯнварь  Февраль  МартАпрель  Май  Июнь  Июль  Август  Сентябрь  Октябрь  Ноябрь  Декабрь  </v>
      </c>
    </row>
    <row r="456" spans="2:17" x14ac:dyDescent="0.3">
      <c r="B456" s="5"/>
      <c r="C456" s="10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4">
        <f>SUM(D456:O456)</f>
        <v>0</v>
      </c>
      <c r="Q456" t="str">
        <f t="shared" si="228"/>
        <v>0</v>
      </c>
    </row>
    <row r="457" spans="2:17" x14ac:dyDescent="0.3">
      <c r="B457" s="5" t="s">
        <v>16</v>
      </c>
      <c r="C457" s="5"/>
      <c r="D457" s="1">
        <f t="shared" ref="D457:O457" si="231">SUM(D456:D456)</f>
        <v>0</v>
      </c>
      <c r="E457" s="1">
        <f t="shared" si="231"/>
        <v>0</v>
      </c>
      <c r="F457" s="1">
        <f t="shared" si="231"/>
        <v>0</v>
      </c>
      <c r="G457" s="1">
        <f t="shared" si="231"/>
        <v>0</v>
      </c>
      <c r="H457" s="1">
        <f t="shared" si="231"/>
        <v>0</v>
      </c>
      <c r="I457" s="1">
        <f t="shared" si="231"/>
        <v>0</v>
      </c>
      <c r="J457" s="1">
        <f t="shared" si="231"/>
        <v>0</v>
      </c>
      <c r="K457" s="1">
        <f t="shared" si="231"/>
        <v>0</v>
      </c>
      <c r="L457" s="1">
        <f t="shared" si="231"/>
        <v>0</v>
      </c>
      <c r="M457" s="1">
        <f t="shared" si="231"/>
        <v>0</v>
      </c>
      <c r="N457" s="1">
        <f t="shared" si="231"/>
        <v>0</v>
      </c>
      <c r="O457" s="1">
        <f t="shared" si="231"/>
        <v>0</v>
      </c>
      <c r="P457" s="14">
        <f t="shared" ref="P457" si="232">SUM(D457:O457)</f>
        <v>0</v>
      </c>
      <c r="Q457" t="str">
        <f t="shared" si="228"/>
        <v>Итог СПИСАНИЕ0000000000000</v>
      </c>
    </row>
    <row r="458" spans="2:17" x14ac:dyDescent="0.3">
      <c r="B458" s="6" t="s">
        <v>14</v>
      </c>
      <c r="C458" s="6"/>
      <c r="D458" s="2">
        <f t="shared" ref="D458:P458" si="233">D457+D454</f>
        <v>0</v>
      </c>
      <c r="E458" s="2">
        <f t="shared" si="233"/>
        <v>0</v>
      </c>
      <c r="F458" s="2">
        <f t="shared" si="233"/>
        <v>0</v>
      </c>
      <c r="G458" s="2">
        <f t="shared" si="233"/>
        <v>0</v>
      </c>
      <c r="H458" s="2">
        <f t="shared" si="233"/>
        <v>0</v>
      </c>
      <c r="I458" s="2">
        <f t="shared" si="233"/>
        <v>0</v>
      </c>
      <c r="J458" s="2">
        <f t="shared" si="233"/>
        <v>0</v>
      </c>
      <c r="K458" s="2">
        <f t="shared" si="233"/>
        <v>0</v>
      </c>
      <c r="L458" s="2">
        <f t="shared" si="233"/>
        <v>0</v>
      </c>
      <c r="M458" s="2">
        <f t="shared" si="233"/>
        <v>0</v>
      </c>
      <c r="N458" s="2">
        <f t="shared" si="233"/>
        <v>0</v>
      </c>
      <c r="O458" s="2">
        <f t="shared" si="233"/>
        <v>4</v>
      </c>
      <c r="P458" s="15">
        <f t="shared" si="233"/>
        <v>4</v>
      </c>
      <c r="Q458" t="str">
        <f t="shared" si="228"/>
        <v>Общий итог0000000000044</v>
      </c>
    </row>
    <row r="459" spans="2:17" x14ac:dyDescent="0.3">
      <c r="Q459" t="str">
        <f t="shared" si="228"/>
        <v/>
      </c>
    </row>
    <row r="460" spans="2:17" x14ac:dyDescent="0.3">
      <c r="Q460" t="str">
        <f t="shared" si="228"/>
        <v/>
      </c>
    </row>
    <row r="461" spans="2:17" x14ac:dyDescent="0.3">
      <c r="B461" s="7" t="s">
        <v>209</v>
      </c>
      <c r="Q461" t="str">
        <f t="shared" si="228"/>
        <v>1010601507</v>
      </c>
    </row>
    <row r="462" spans="2:17" x14ac:dyDescent="0.3">
      <c r="B462" s="11" t="s">
        <v>17</v>
      </c>
      <c r="C462" s="11" t="s">
        <v>0</v>
      </c>
      <c r="D462" s="12" t="s">
        <v>2</v>
      </c>
      <c r="E462" s="12" t="s">
        <v>3</v>
      </c>
      <c r="F462" s="12" t="s">
        <v>13</v>
      </c>
      <c r="G462" s="12" t="s">
        <v>4</v>
      </c>
      <c r="H462" s="12" t="s">
        <v>5</v>
      </c>
      <c r="I462" s="12" t="s">
        <v>6</v>
      </c>
      <c r="J462" s="12" t="s">
        <v>7</v>
      </c>
      <c r="K462" s="12" t="s">
        <v>8</v>
      </c>
      <c r="L462" s="12" t="s">
        <v>9</v>
      </c>
      <c r="M462" s="12" t="s">
        <v>10</v>
      </c>
      <c r="N462" s="12" t="s">
        <v>11</v>
      </c>
      <c r="O462" s="12" t="s">
        <v>12</v>
      </c>
      <c r="P462" s="14" t="s">
        <v>1</v>
      </c>
      <c r="Q462" t="str">
        <f t="shared" si="228"/>
        <v>НоменклатураАртикулЯнварь  Февраль  МартАпрель  Май  Июнь  Июль  Август  Сентябрь  Октябрь  Ноябрь  Декабрь  Итог</v>
      </c>
    </row>
    <row r="463" spans="2:17" x14ac:dyDescent="0.3">
      <c r="B463" s="8" t="s">
        <v>228</v>
      </c>
      <c r="C463" s="5">
        <v>1010601507</v>
      </c>
      <c r="D463" s="1">
        <v>6</v>
      </c>
      <c r="E463" s="1">
        <v>7</v>
      </c>
      <c r="F463" s="1">
        <v>6</v>
      </c>
      <c r="G463" s="1">
        <v>14</v>
      </c>
      <c r="H463" s="1">
        <v>8</v>
      </c>
      <c r="I463" s="1">
        <v>1</v>
      </c>
      <c r="J463" s="1">
        <v>10</v>
      </c>
      <c r="K463" s="1">
        <v>8</v>
      </c>
      <c r="L463" s="1">
        <v>16</v>
      </c>
      <c r="M463" s="1">
        <v>10</v>
      </c>
      <c r="N463" s="1">
        <v>11</v>
      </c>
      <c r="O463" s="1">
        <v>12</v>
      </c>
      <c r="P463" s="14">
        <f>SUM(D463:O463)</f>
        <v>109</v>
      </c>
      <c r="Q463" t="str">
        <f t="shared" si="228"/>
        <v>Фильтр гидравлический 157061899901010601507676148110816101112109</v>
      </c>
    </row>
    <row r="464" spans="2:17" x14ac:dyDescent="0.3">
      <c r="B464" s="5" t="s">
        <v>15</v>
      </c>
      <c r="C464" s="5"/>
      <c r="D464" s="1">
        <f t="shared" ref="D464:O464" si="234">SUM(D463:D463)</f>
        <v>6</v>
      </c>
      <c r="E464" s="1">
        <f t="shared" si="234"/>
        <v>7</v>
      </c>
      <c r="F464" s="1">
        <f t="shared" si="234"/>
        <v>6</v>
      </c>
      <c r="G464" s="1">
        <f t="shared" si="234"/>
        <v>14</v>
      </c>
      <c r="H464" s="1">
        <f t="shared" si="234"/>
        <v>8</v>
      </c>
      <c r="I464" s="1">
        <f t="shared" si="234"/>
        <v>1</v>
      </c>
      <c r="J464" s="1">
        <f t="shared" si="234"/>
        <v>10</v>
      </c>
      <c r="K464" s="1">
        <f t="shared" si="234"/>
        <v>8</v>
      </c>
      <c r="L464" s="1">
        <f t="shared" si="234"/>
        <v>16</v>
      </c>
      <c r="M464" s="1">
        <f t="shared" si="234"/>
        <v>10</v>
      </c>
      <c r="N464" s="1">
        <f t="shared" si="234"/>
        <v>11</v>
      </c>
      <c r="O464" s="1">
        <f t="shared" si="234"/>
        <v>12</v>
      </c>
      <c r="P464" s="14">
        <f t="shared" ref="P464" si="235">SUM(D464:O464)</f>
        <v>109</v>
      </c>
      <c r="Q464" t="str">
        <f t="shared" si="228"/>
        <v>Итог ПРОДАЖА676148110816101112109</v>
      </c>
    </row>
    <row r="465" spans="2:17" x14ac:dyDescent="0.3">
      <c r="B465" s="11" t="s">
        <v>17</v>
      </c>
      <c r="C465" s="11" t="s">
        <v>0</v>
      </c>
      <c r="D465" s="13" t="s">
        <v>2</v>
      </c>
      <c r="E465" s="13" t="s">
        <v>3</v>
      </c>
      <c r="F465" s="13" t="s">
        <v>13</v>
      </c>
      <c r="G465" s="13" t="s">
        <v>4</v>
      </c>
      <c r="H465" s="13" t="s">
        <v>5</v>
      </c>
      <c r="I465" s="13" t="s">
        <v>6</v>
      </c>
      <c r="J465" s="13" t="s">
        <v>7</v>
      </c>
      <c r="K465" s="13" t="s">
        <v>8</v>
      </c>
      <c r="L465" s="13" t="s">
        <v>9</v>
      </c>
      <c r="M465" s="13" t="s">
        <v>10</v>
      </c>
      <c r="N465" s="13" t="s">
        <v>11</v>
      </c>
      <c r="O465" s="13" t="s">
        <v>12</v>
      </c>
      <c r="P465" s="12"/>
      <c r="Q465" t="str">
        <f t="shared" si="228"/>
        <v xml:space="preserve">НоменклатураАртикулЯнварь  Февраль  МартАпрель  Май  Июнь  Июль  Август  Сентябрь  Октябрь  Ноябрь  Декабрь  </v>
      </c>
    </row>
    <row r="466" spans="2:17" x14ac:dyDescent="0.3">
      <c r="B466" s="8" t="s">
        <v>228</v>
      </c>
      <c r="C466" s="5">
        <v>1010601507</v>
      </c>
      <c r="D466" s="1"/>
      <c r="E466" s="1"/>
      <c r="F466" s="1">
        <v>2</v>
      </c>
      <c r="G466" s="1"/>
      <c r="H466" s="1"/>
      <c r="I466" s="1"/>
      <c r="J466" s="1">
        <v>4</v>
      </c>
      <c r="K466" s="1"/>
      <c r="L466" s="1">
        <v>2</v>
      </c>
      <c r="M466" s="1">
        <v>3</v>
      </c>
      <c r="N466" s="1"/>
      <c r="O466" s="1">
        <v>5</v>
      </c>
      <c r="P466" s="14">
        <f>SUM(D466:O466)</f>
        <v>16</v>
      </c>
      <c r="Q466" t="str">
        <f t="shared" si="228"/>
        <v>Фильтр гидравлический 1570618999010106015072423516</v>
      </c>
    </row>
    <row r="467" spans="2:17" x14ac:dyDescent="0.3">
      <c r="B467" s="5" t="s">
        <v>16</v>
      </c>
      <c r="C467" s="5"/>
      <c r="D467" s="1">
        <f t="shared" ref="D467:O467" si="236">SUM(D466:D466)</f>
        <v>0</v>
      </c>
      <c r="E467" s="1">
        <f t="shared" si="236"/>
        <v>0</v>
      </c>
      <c r="F467" s="1">
        <f t="shared" si="236"/>
        <v>2</v>
      </c>
      <c r="G467" s="1">
        <f t="shared" si="236"/>
        <v>0</v>
      </c>
      <c r="H467" s="1">
        <f t="shared" si="236"/>
        <v>0</v>
      </c>
      <c r="I467" s="1">
        <f t="shared" si="236"/>
        <v>0</v>
      </c>
      <c r="J467" s="1">
        <f t="shared" si="236"/>
        <v>4</v>
      </c>
      <c r="K467" s="1">
        <f t="shared" si="236"/>
        <v>0</v>
      </c>
      <c r="L467" s="1">
        <f t="shared" si="236"/>
        <v>2</v>
      </c>
      <c r="M467" s="1">
        <f t="shared" si="236"/>
        <v>3</v>
      </c>
      <c r="N467" s="1">
        <f t="shared" si="236"/>
        <v>0</v>
      </c>
      <c r="O467" s="1">
        <f t="shared" si="236"/>
        <v>5</v>
      </c>
      <c r="P467" s="14">
        <f t="shared" ref="P467" si="237">SUM(D467:O467)</f>
        <v>16</v>
      </c>
      <c r="Q467" t="str">
        <f t="shared" si="228"/>
        <v>Итог СПИСАНИЕ00200040230516</v>
      </c>
    </row>
    <row r="468" spans="2:17" x14ac:dyDescent="0.3">
      <c r="B468" s="6" t="s">
        <v>14</v>
      </c>
      <c r="C468" s="6"/>
      <c r="D468" s="2">
        <f t="shared" ref="D468:P468" si="238">D467+D464</f>
        <v>6</v>
      </c>
      <c r="E468" s="2">
        <f t="shared" si="238"/>
        <v>7</v>
      </c>
      <c r="F468" s="2">
        <f t="shared" si="238"/>
        <v>8</v>
      </c>
      <c r="G468" s="2">
        <f t="shared" si="238"/>
        <v>14</v>
      </c>
      <c r="H468" s="2">
        <f t="shared" si="238"/>
        <v>8</v>
      </c>
      <c r="I468" s="2">
        <f t="shared" si="238"/>
        <v>1</v>
      </c>
      <c r="J468" s="2">
        <f t="shared" si="238"/>
        <v>14</v>
      </c>
      <c r="K468" s="2">
        <f t="shared" si="238"/>
        <v>8</v>
      </c>
      <c r="L468" s="2">
        <f t="shared" si="238"/>
        <v>18</v>
      </c>
      <c r="M468" s="2">
        <f t="shared" si="238"/>
        <v>13</v>
      </c>
      <c r="N468" s="2">
        <f t="shared" si="238"/>
        <v>11</v>
      </c>
      <c r="O468" s="2">
        <f t="shared" si="238"/>
        <v>17</v>
      </c>
      <c r="P468" s="15">
        <f t="shared" si="238"/>
        <v>125</v>
      </c>
      <c r="Q468" t="str">
        <f t="shared" si="228"/>
        <v>Общий итог678148114818131117125</v>
      </c>
    </row>
    <row r="469" spans="2:17" x14ac:dyDescent="0.3">
      <c r="Q469" t="str">
        <f t="shared" si="228"/>
        <v/>
      </c>
    </row>
    <row r="470" spans="2:17" x14ac:dyDescent="0.3">
      <c r="Q470" t="str">
        <f t="shared" si="228"/>
        <v/>
      </c>
    </row>
    <row r="471" spans="2:17" x14ac:dyDescent="0.3">
      <c r="B471" s="7" t="s">
        <v>210</v>
      </c>
      <c r="Q471" t="str">
        <f t="shared" si="228"/>
        <v>1010601513</v>
      </c>
    </row>
    <row r="472" spans="2:17" x14ac:dyDescent="0.3">
      <c r="B472" s="11" t="s">
        <v>17</v>
      </c>
      <c r="C472" s="11" t="s">
        <v>0</v>
      </c>
      <c r="D472" s="12" t="s">
        <v>2</v>
      </c>
      <c r="E472" s="12" t="s">
        <v>3</v>
      </c>
      <c r="F472" s="12" t="s">
        <v>13</v>
      </c>
      <c r="G472" s="12" t="s">
        <v>4</v>
      </c>
      <c r="H472" s="12" t="s">
        <v>5</v>
      </c>
      <c r="I472" s="12" t="s">
        <v>6</v>
      </c>
      <c r="J472" s="12" t="s">
        <v>7</v>
      </c>
      <c r="K472" s="12" t="s">
        <v>8</v>
      </c>
      <c r="L472" s="12" t="s">
        <v>9</v>
      </c>
      <c r="M472" s="12" t="s">
        <v>10</v>
      </c>
      <c r="N472" s="12" t="s">
        <v>11</v>
      </c>
      <c r="O472" s="12" t="s">
        <v>12</v>
      </c>
      <c r="P472" s="14" t="s">
        <v>1</v>
      </c>
      <c r="Q472" t="str">
        <f t="shared" si="228"/>
        <v>НоменклатураАртикулЯнварь  Февраль  МартАпрель  Май  Июнь  Июль  Август  Сентябрь  Октябрь  Ноябрь  Декабрь  Итог</v>
      </c>
    </row>
    <row r="473" spans="2:17" x14ac:dyDescent="0.3">
      <c r="B473" s="8" t="s">
        <v>229</v>
      </c>
      <c r="C473" s="5">
        <v>1010601513</v>
      </c>
      <c r="D473" s="1">
        <v>2</v>
      </c>
      <c r="E473" s="1"/>
      <c r="F473" s="1"/>
      <c r="G473" s="1"/>
      <c r="H473" s="1"/>
      <c r="I473" s="1"/>
      <c r="J473" s="1">
        <v>1</v>
      </c>
      <c r="K473" s="1"/>
      <c r="L473" s="1">
        <v>1</v>
      </c>
      <c r="M473" s="1"/>
      <c r="N473" s="1">
        <v>3</v>
      </c>
      <c r="O473" s="1">
        <v>1</v>
      </c>
      <c r="P473" s="14">
        <f>SUM(D473:O473)</f>
        <v>8</v>
      </c>
      <c r="Q473" t="str">
        <f t="shared" si="228"/>
        <v>Фильтр гидравлический 10106015131010601513211318</v>
      </c>
    </row>
    <row r="474" spans="2:17" x14ac:dyDescent="0.3">
      <c r="B474" s="5" t="s">
        <v>15</v>
      </c>
      <c r="C474" s="5"/>
      <c r="D474" s="1">
        <f t="shared" ref="D474:O474" si="239">SUM(D473:D473)</f>
        <v>2</v>
      </c>
      <c r="E474" s="1">
        <f t="shared" si="239"/>
        <v>0</v>
      </c>
      <c r="F474" s="1">
        <f t="shared" si="239"/>
        <v>0</v>
      </c>
      <c r="G474" s="1">
        <f t="shared" si="239"/>
        <v>0</v>
      </c>
      <c r="H474" s="1">
        <f t="shared" si="239"/>
        <v>0</v>
      </c>
      <c r="I474" s="1">
        <f t="shared" si="239"/>
        <v>0</v>
      </c>
      <c r="J474" s="1">
        <f t="shared" si="239"/>
        <v>1</v>
      </c>
      <c r="K474" s="1">
        <f t="shared" si="239"/>
        <v>0</v>
      </c>
      <c r="L474" s="1">
        <f t="shared" si="239"/>
        <v>1</v>
      </c>
      <c r="M474" s="1">
        <f t="shared" si="239"/>
        <v>0</v>
      </c>
      <c r="N474" s="1">
        <f t="shared" si="239"/>
        <v>3</v>
      </c>
      <c r="O474" s="1">
        <f t="shared" si="239"/>
        <v>1</v>
      </c>
      <c r="P474" s="14">
        <f t="shared" ref="P474" si="240">SUM(D474:O474)</f>
        <v>8</v>
      </c>
      <c r="Q474" t="str">
        <f t="shared" si="228"/>
        <v>Итог ПРОДАЖА2000001010318</v>
      </c>
    </row>
    <row r="475" spans="2:17" x14ac:dyDescent="0.3">
      <c r="B475" s="11" t="s">
        <v>17</v>
      </c>
      <c r="C475" s="11" t="s">
        <v>0</v>
      </c>
      <c r="D475" s="13" t="s">
        <v>2</v>
      </c>
      <c r="E475" s="13" t="s">
        <v>3</v>
      </c>
      <c r="F475" s="13" t="s">
        <v>13</v>
      </c>
      <c r="G475" s="13" t="s">
        <v>4</v>
      </c>
      <c r="H475" s="13" t="s">
        <v>5</v>
      </c>
      <c r="I475" s="13" t="s">
        <v>6</v>
      </c>
      <c r="J475" s="13" t="s">
        <v>7</v>
      </c>
      <c r="K475" s="13" t="s">
        <v>8</v>
      </c>
      <c r="L475" s="13" t="s">
        <v>9</v>
      </c>
      <c r="M475" s="13" t="s">
        <v>10</v>
      </c>
      <c r="N475" s="13" t="s">
        <v>11</v>
      </c>
      <c r="O475" s="13" t="s">
        <v>12</v>
      </c>
      <c r="P475" s="12"/>
      <c r="Q475" t="str">
        <f t="shared" si="228"/>
        <v xml:space="preserve">НоменклатураАртикулЯнварь  Февраль  МартАпрель  Май  Июнь  Июль  Август  Сентябрь  Октябрь  Ноябрь  Декабрь  </v>
      </c>
    </row>
    <row r="476" spans="2:17" x14ac:dyDescent="0.3">
      <c r="B476" s="5"/>
      <c r="C476" s="10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4">
        <f>SUM(D476:O476)</f>
        <v>0</v>
      </c>
      <c r="Q476" t="str">
        <f t="shared" si="228"/>
        <v>0</v>
      </c>
    </row>
    <row r="477" spans="2:17" x14ac:dyDescent="0.3">
      <c r="B477" s="5" t="s">
        <v>16</v>
      </c>
      <c r="C477" s="5"/>
      <c r="D477" s="1">
        <f t="shared" ref="D477:O477" si="241">SUM(D476:D476)</f>
        <v>0</v>
      </c>
      <c r="E477" s="1">
        <f t="shared" si="241"/>
        <v>0</v>
      </c>
      <c r="F477" s="1">
        <f t="shared" si="241"/>
        <v>0</v>
      </c>
      <c r="G477" s="1">
        <f t="shared" si="241"/>
        <v>0</v>
      </c>
      <c r="H477" s="1">
        <f t="shared" si="241"/>
        <v>0</v>
      </c>
      <c r="I477" s="1">
        <f t="shared" si="241"/>
        <v>0</v>
      </c>
      <c r="J477" s="1">
        <f t="shared" si="241"/>
        <v>0</v>
      </c>
      <c r="K477" s="1">
        <f t="shared" si="241"/>
        <v>0</v>
      </c>
      <c r="L477" s="1">
        <f t="shared" si="241"/>
        <v>0</v>
      </c>
      <c r="M477" s="1">
        <f t="shared" si="241"/>
        <v>0</v>
      </c>
      <c r="N477" s="1">
        <f t="shared" si="241"/>
        <v>0</v>
      </c>
      <c r="O477" s="1">
        <f t="shared" si="241"/>
        <v>0</v>
      </c>
      <c r="P477" s="14">
        <f t="shared" ref="P477" si="242">SUM(D477:O477)</f>
        <v>0</v>
      </c>
      <c r="Q477" t="str">
        <f t="shared" si="228"/>
        <v>Итог СПИСАНИЕ0000000000000</v>
      </c>
    </row>
    <row r="478" spans="2:17" x14ac:dyDescent="0.3">
      <c r="B478" s="6" t="s">
        <v>14</v>
      </c>
      <c r="C478" s="6"/>
      <c r="D478" s="2">
        <f t="shared" ref="D478:P478" si="243">D477+D474</f>
        <v>2</v>
      </c>
      <c r="E478" s="2">
        <f t="shared" si="243"/>
        <v>0</v>
      </c>
      <c r="F478" s="2">
        <f t="shared" si="243"/>
        <v>0</v>
      </c>
      <c r="G478" s="2">
        <f t="shared" si="243"/>
        <v>0</v>
      </c>
      <c r="H478" s="2">
        <f t="shared" si="243"/>
        <v>0</v>
      </c>
      <c r="I478" s="2">
        <f t="shared" si="243"/>
        <v>0</v>
      </c>
      <c r="J478" s="2">
        <f t="shared" si="243"/>
        <v>1</v>
      </c>
      <c r="K478" s="2">
        <f t="shared" si="243"/>
        <v>0</v>
      </c>
      <c r="L478" s="2">
        <f t="shared" si="243"/>
        <v>1</v>
      </c>
      <c r="M478" s="2">
        <f t="shared" si="243"/>
        <v>0</v>
      </c>
      <c r="N478" s="2">
        <f t="shared" si="243"/>
        <v>3</v>
      </c>
      <c r="O478" s="2">
        <f t="shared" si="243"/>
        <v>1</v>
      </c>
      <c r="P478" s="15">
        <f t="shared" si="243"/>
        <v>8</v>
      </c>
      <c r="Q478" t="str">
        <f t="shared" si="228"/>
        <v>Общий итог2000001010318</v>
      </c>
    </row>
    <row r="479" spans="2:17" x14ac:dyDescent="0.3">
      <c r="Q479" t="str">
        <f t="shared" si="228"/>
        <v/>
      </c>
    </row>
  </sheetData>
  <autoFilter ref="B2:P478" xr:uid="{00000000-0001-0000-0000-000000000000}"/>
  <sortState ref="B9:P12">
    <sortCondition ref="C9:C12"/>
  </sortState>
  <conditionalFormatting sqref="Q1:Q1048576 R1:AC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Давыденко Роман Дмитриевич</dc:creator>
  <cp:lastModifiedBy>Ворона Арсений Константинович</cp:lastModifiedBy>
  <dcterms:created xsi:type="dcterms:W3CDTF">2015-06-05T18:19:34Z</dcterms:created>
  <dcterms:modified xsi:type="dcterms:W3CDTF">2026-03-11T11:04:08Z</dcterms:modified>
</cp:coreProperties>
</file>